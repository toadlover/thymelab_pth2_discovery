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ugs To Order" sheetId="1" r:id="rId5"/>
    <sheet state="visible" name="res122 filter best placements" sheetId="2" r:id="rId6"/>
    <sheet state="visible" name="res269 filter best placements" sheetId="3" r:id="rId7"/>
    <sheet state="visible" name="res122 All Thoughts" sheetId="4" r:id="rId8"/>
    <sheet state="visible" name="res269 All Thoughts" sheetId="5" r:id="rId9"/>
    <sheet state="visible" name="res122 Ari" sheetId="6" r:id="rId10"/>
    <sheet state="visible" name="res269 Ari" sheetId="7" r:id="rId11"/>
    <sheet state="visible" name="res122 Summer" sheetId="8" r:id="rId12"/>
    <sheet state="visible" name="res269 Summer" sheetId="9" r:id="rId13"/>
    <sheet state="visible" name="res269 Summer (old)" sheetId="10" r:id="rId14"/>
    <sheet state="visible" name="Copy of res122 Summer" sheetId="11" r:id="rId15"/>
    <sheet state="visible" name="res122 Mary Shay" sheetId="12" r:id="rId16"/>
    <sheet state="visible" name="res269 Mary Shay" sheetId="13" r:id="rId17"/>
    <sheet state="visible" name="res122 Ari full" sheetId="14" r:id="rId18"/>
    <sheet state="visible" name="res269 Ari full" sheetId="15" r:id="rId19"/>
    <sheet state="visible" name="copy statement res122" sheetId="16" r:id="rId20"/>
    <sheet state="visible" name="copy statement res269" sheetId="17" r:id="rId21"/>
    <sheet state="visible" name="res122 sorted backup" sheetId="18" r:id="rId22"/>
    <sheet state="visible" name="res269 sorted backup" sheetId="19" r:id="rId23"/>
    <sheet state="visible" name="anchor identified" sheetId="20" r:id="rId24"/>
    <sheet state="visible" name="raw (backup DO NOT EDIT)" sheetId="21" r:id="rId25"/>
  </sheets>
  <definedNames/>
  <calcPr/>
</workbook>
</file>

<file path=xl/sharedStrings.xml><?xml version="1.0" encoding="utf-8"?>
<sst xmlns="http://schemas.openxmlformats.org/spreadsheetml/2006/main" count="8318" uniqueCount="1061">
  <si>
    <t>file</t>
  </si>
  <si>
    <t>ligand_name</t>
  </si>
  <si>
    <t>smiles</t>
  </si>
  <si>
    <t>Does Ari Like?</t>
  </si>
  <si>
    <t>Comments</t>
  </si>
  <si>
    <t>Does Summer Like?</t>
  </si>
  <si>
    <t>Final Thoughts/Selection?</t>
  </si>
  <si>
    <t>cLogp</t>
  </si>
  <si>
    <t>anchor</t>
  </si>
  <si>
    <t>ddg</t>
  </si>
  <si>
    <t>total_motifs</t>
  </si>
  <si>
    <t>significant_motifs</t>
  </si>
  <si>
    <t>real_motif_ratio</t>
  </si>
  <si>
    <t>hbond_motif_count</t>
  </si>
  <si>
    <t>hbond_motif_energy_sum</t>
  </si>
  <si>
    <t>closest_autodock_recovery_rmsd</t>
  </si>
  <si>
    <t>closest_autodock_recovery_ddg</t>
  </si>
  <si>
    <t>strain_energy</t>
  </si>
  <si>
    <t>total</t>
  </si>
  <si>
    <t>cp</t>
  </si>
  <si>
    <t>../../all/res122/res122_7F16_receptor_only_PV-003476110573_20_3.pdb</t>
  </si>
  <si>
    <t>/pi/summer.thyme-umw/rosetta_discovery_space/pth2/shapedb_results/refined_conformers/3_30_26_top_hits_to_investigate_hbonds/best_hits_review_4_6_26/122</t>
  </si>
  <si>
    <t>PV-003476110573</t>
  </si>
  <si>
    <t>c1(n(nc([C@H](CCC)C)n1)C1CC1)c1ccc2ncn(C)c(=O)c2c1</t>
  </si>
  <si>
    <t>maybe</t>
  </si>
  <si>
    <t>probably reject over how it hits arg160 and asn402</t>
  </si>
  <si>
    <t>yes</t>
  </si>
  <si>
    <t>lean toward keeping</t>
  </si>
  <si>
    <t>none</t>
  </si>
  <si>
    <t>../../all/res122/res122_7F16_receptor_only_PV-004506718703_31_1.pdb</t>
  </si>
  <si>
    <t>PV-004506718703</t>
  </si>
  <si>
    <t>[C@H]1(NC(=O)Cc2nonc2C)CN(C(=O)c2c(C)n(C)c3ccccc23)C[C@H]1C</t>
  </si>
  <si>
    <t>misses res122 but pose looks not terrible</t>
  </si>
  <si>
    <t>decent</t>
  </si>
  <si>
    <t>../../all/res122/res122_7F16_receptor_only_PV-004655902680_26_5.pdb</t>
  </si>
  <si>
    <t>PV-004655902680</t>
  </si>
  <si>
    <t>C1[C@@H](N(CCCN1C(=O)c1c(cc(C)[nH]1)C)C(=O)[C@@H]1CCOC1)c1ccccc1</t>
  </si>
  <si>
    <t>can carbonyl point into tyrosine like into a benzene?</t>
  </si>
  <si>
    <t>risky, but lean towards keeping</t>
  </si>
  <si>
    <t>../../all/res122/res122_7F16_receptor_only_PV-005424082445_136_0.pdb</t>
  </si>
  <si>
    <t>PV-005424082445</t>
  </si>
  <si>
    <t>[C@@H]1(CCN(C(=O)Cc2cnccc2OC)[C@@H]1C)NC(=O)Cc1cc(C)cc(C)c1</t>
  </si>
  <si>
    <t>isn't amazing, but diverse placement</t>
  </si>
  <si>
    <t>../../all/res122/res122_7F16_receptor_only_PV-005510814641_23_0.pdb</t>
  </si>
  <si>
    <t>PV-005510814641</t>
  </si>
  <si>
    <t>C1N(CCCC[C@H]1N(C(=O)c1c(c(C)[nH]n1)F)C)C(=O)CCS(=O)(=O)C</t>
  </si>
  <si>
    <t>I like all the intereactions and maybe tyr188 could work</t>
  </si>
  <si>
    <t>little floppy, but lots of good interactions</t>
  </si>
  <si>
    <t>../../all/res122/res122_7F16_receptor_only_PV-005890621085_19_0.pdb</t>
  </si>
  <si>
    <t>PV-005890621085</t>
  </si>
  <si>
    <t>C([C@@H]1C[C@@H](CCN1C(=O)c1c(C)nco1)C)NC(=O)C1(c2ccccc2)CCC1</t>
  </si>
  <si>
    <t>leaning toward keeping</t>
  </si>
  <si>
    <t>../../all/res122/res122_7F16_receptor_only_PV-006198527401_21_4.pdb</t>
  </si>
  <si>
    <t>PV-006198527401</t>
  </si>
  <si>
    <t>C(CN(C(=O)c1cnccc1C)C)[C@@H](NC(=O)c1c[nH]c(=O)cn1)C(C)(C)C</t>
  </si>
  <si>
    <t>a lot of questionable interactions seem corroborated by real motifs</t>
  </si>
  <si>
    <t>isn't perfect, but overall unique and if things rotate could be good</t>
  </si>
  <si>
    <t>../../all/res122/res122_7F16_receptor_only_PV-006630775433_204_2.pdb</t>
  </si>
  <si>
    <t>PV-006630775433</t>
  </si>
  <si>
    <t>N(C[C@@H]1CC(CN1C(=O)CC(C)(C)C)(C)C)C(=O)Cc1nn(C(C)(C)C)nn1</t>
  </si>
  <si>
    <t>leaning toward keeping, kind of stringy but good hbonds</t>
  </si>
  <si>
    <t>../../all/res122/res122_7F16_receptor_only_Z1472467618_141_1.pdb</t>
  </si>
  <si>
    <t>Z1472467618</t>
  </si>
  <si>
    <t>N(C(=O)Nc1c(ccc(C)c1)n1cc(C)cn1)Cc1cccc(C(=O)N2CCOCC2)c1</t>
  </si>
  <si>
    <t>../../all/res122/res122_7F16_receptor_only_Z373510144_152_4.pdb</t>
  </si>
  <si>
    <t>Z373510144</t>
  </si>
  <si>
    <t>c1(ccccc1NC(=O)c1ccc(OC)cc1)C(=O)N[C@H](C)c1ccc2OCC(=O)Nc2c1</t>
  </si>
  <si>
    <t>I don't really see anything bad about this, it is stabilized with multiple hbonds across the pocket</t>
  </si>
  <si>
    <t>../../all/res122/res122_7F16_receptor_only_Z410608138_27_7.pdb</t>
  </si>
  <si>
    <t>Z410608138</t>
  </si>
  <si>
    <t>N(C[C@@H](c1cccc(OC)c1)N1CCCC1)C(=O)Nc1cc(Cl)ccc1N1CCOCC1</t>
  </si>
  <si>
    <t>some issues with nitrogen hydrogens, but asn344 could rotate</t>
  </si>
  <si>
    <t>../../all/res269/res269_7F16_receptor_only_PV-000518115177_94_0.pdb</t>
  </si>
  <si>
    <t>/pi/summer.thyme-umw/rosetta_discovery_space/pth2/shapedb_results/refined_conformers/3_30_26_top_hits_to_investigate_hbonds/best_hits_review_4_6_26/269</t>
  </si>
  <si>
    <t>PV-000518115177</t>
  </si>
  <si>
    <t>C1N(CCCC[C@H]1NC(=O)c1n(C)c(=O)ccc1)C(=O)CC1(C)CCCCC1</t>
  </si>
  <si>
    <t>../../all/res269/res269_7F16_receptor_only_PV-001699308763_175_2.pdb</t>
  </si>
  <si>
    <t>PV-001699308763</t>
  </si>
  <si>
    <t>[C@@]1(CCCN(C(=O)c2c(cnc(C)n2)Cl)C1)(C)CNC(=O)CN1CCCC1</t>
  </si>
  <si>
    <t>../../all/res269/res269_7F16_receptor_only_PV-005175010208_60_0.pdb</t>
  </si>
  <si>
    <t>PV-005175010208</t>
  </si>
  <si>
    <t>N1(C(=O)Cc2c(onc2CC)CC)CC[C@@H](O)[C@H](NC(=O)c2cccnc2)C1</t>
  </si>
  <si>
    <t>N on 6 member ring could twist to hit TYR122 and be much better</t>
  </si>
  <si>
    <t>../../all/res269/res269_7F16_receptor_only_PV-006596664813_71_2.pdb</t>
  </si>
  <si>
    <t>PV-006596664813</t>
  </si>
  <si>
    <t>C1(C[C@H](C)NC(=O)c2cn(C)nn2)CN(C(=O)c2c3CC(C)(C)Cc3ccc2)C1</t>
  </si>
  <si>
    <t>../../all/res269/res269_7F16_receptor_only_PV-006598988224_102_4.pdb</t>
  </si>
  <si>
    <t>PV-006598988224</t>
  </si>
  <si>
    <t>[C@@H]1(NC(=O)CC2CCCC2)CCN(C(=O)c2cc(=O)[nH]nc2)[C@H]1c1ccccc1</t>
  </si>
  <si>
    <t>../../all/res269/res269_7F16_receptor_only_PV-006712468448_190_0.pdb</t>
  </si>
  <si>
    <t>PV-006712468448</t>
  </si>
  <si>
    <t>C(=O)(N1C[C@H](NC(=O)C(C)C)[C@@H](C1)C)Cc1ccccc1Oc1ccncc1</t>
  </si>
  <si>
    <t>same pose as PV-006712468449, enantiomer</t>
  </si>
  <si>
    <t>../../all/res122/res122_7F16_receptor_only_PV-004506477178_31_0.pdb</t>
  </si>
  <si>
    <t>PV-004506477178</t>
  </si>
  <si>
    <t>no</t>
  </si>
  <si>
    <t>will it even form this bendy thing?</t>
  </si>
  <si>
    <t>C(CCN(C(=O)c1nccc(C)n1)C)N(C)C(=O)c1ccc2CCC(=O)Nc2c1</t>
  </si>
  <si>
    <t>../../all/res122/res122_7F16_receptor_only_PV-004887538871_10_3.pdb</t>
  </si>
  <si>
    <t>PV-004887538871</t>
  </si>
  <si>
    <t>will tyr122 be ok? skipping</t>
  </si>
  <si>
    <t>[C@H]1(CN(C(=O)c2c(cccc2C)F)C)COCCN1C(=O)CC1CN(C)C1</t>
  </si>
  <si>
    <t>../../all/res122/res122_7F16_receptor_only_Z1521810617_4_7.pdb</t>
  </si>
  <si>
    <t>Z1521810617</t>
  </si>
  <si>
    <t>leaning toward skipping</t>
  </si>
  <si>
    <t>N([C@H](C(=O)N1C[C@H](C)O[C@@H](C1)C)c1ccccc1)C(=O)c1cncc(N2CCOCC2)c1</t>
  </si>
  <si>
    <t>../../all/res122/res122_7F16_receptor_only_Z1712441482_38_2.pdb</t>
  </si>
  <si>
    <t>Z1712441482</t>
  </si>
  <si>
    <t>C(=O)([C@H](C)NC1=NS(=O)(=O)c2ccccc12)N[C@H](C)C(c1ccccc1)c1ccccc1</t>
  </si>
  <si>
    <t>../../all/res122/res122_7F16_receptor_only_Z3011172425_6_0.pdb</t>
  </si>
  <si>
    <t>Z3011172425</t>
  </si>
  <si>
    <t>skip</t>
  </si>
  <si>
    <t>N([C@@H]1CC[C@@H](CC)CC1)(C)c1nnc(c2cccnn2)n1C[C@@H]1CCOC1</t>
  </si>
  <si>
    <t>../../all/res122/res122_7F16_receptor_only_Z4403343830_181_8.pdb</t>
  </si>
  <si>
    <t>Z4403343830</t>
  </si>
  <si>
    <t>N1(CCC[C@@H]([C@@H](C)CC(=O)O)C1)C(=O)c1ccc(Cl)c(N2CCCC2=O)c1</t>
  </si>
  <si>
    <t>../../all/res269/res269_7F16_receptor_only_PV-000366782609_149_11.pdb</t>
  </si>
  <si>
    <t>PV-000366782609</t>
  </si>
  <si>
    <t>O(C1CN(C(=O)C(C)(C)N2CCCCC2)C1)C1CCN(C(=O)CC2CC2)CC1</t>
  </si>
  <si>
    <t>../../all/res269/res269_7F16_receptor_only_PV-001577237854_122_9.pdb</t>
  </si>
  <si>
    <t>PV-001577237854</t>
  </si>
  <si>
    <t>C1N(CCC[C@H]1[C@H](NC(=O)CC(C)C)C)C(=O)c1ccccc1n1cccc1</t>
  </si>
  <si>
    <t>../../all/res269/res269_7F16_receptor_only_PV-004563691650_194_8.pdb</t>
  </si>
  <si>
    <t>PV-004563691650</t>
  </si>
  <si>
    <t>C([C@H](N(C(=O)c1ccccc1C)C)C1CC1)NC(=O)c1nn2CCCC(=O)c2c1</t>
  </si>
  <si>
    <t>../../all/res269/res269_7F16_receptor_only_PV-004702335537_21_10.pdb</t>
  </si>
  <si>
    <t>PV-004702335537</t>
  </si>
  <si>
    <t>C1[C@@H](C[C@H](OC)CN1C(=O)[C@H]1CCCN1C(C)C)NC(=O)[C@@H](O)C1CCC1</t>
  </si>
  <si>
    <t>../../all/res269/res269_7F16_receptor_only_PV-004860315998_45_2.pdb</t>
  </si>
  <si>
    <t>PV-004860315998</t>
  </si>
  <si>
    <t>C(CNC(=O)CN1CCCCC1)[C@@H]1CCN(C(=O)[C@@H]2CCCC3(CCC3)O2)C1</t>
  </si>
  <si>
    <t>../../all/res269/res269_7F16_receptor_only_PV-005397290947_10_1.pdb</t>
  </si>
  <si>
    <t>PV-005397290947</t>
  </si>
  <si>
    <t>C(=O)([C@@H]1CC[C@@H](NC(=O)C)CC1)N1C[C@@H]2CC[C@H](C1)N2C(=O)c1csnc1</t>
  </si>
  <si>
    <t>../../all/res269/res269_7F16_receptor_only_PV-005409743762_202_0.pdb</t>
  </si>
  <si>
    <t>PV-005409743762</t>
  </si>
  <si>
    <t>C(NC(=O)Cc1onc(C)c1)[C@]1(C)CN(C(=O)[C@@H]2CCCCC2(C)C)CCO1</t>
  </si>
  <si>
    <t>../../all/res269/res269_7F16_receptor_only_PV-005460257111_135_1.pdb</t>
  </si>
  <si>
    <t>PV-005460257111</t>
  </si>
  <si>
    <t>[C@@H](CNC(=O)[C@H]1N=C(C)Nc2[nH]ccc12)(C)CNC(=O)[C@@]12CCC[C@@H]1CCC2</t>
  </si>
  <si>
    <t>../../all/res269/res269_7F16_receptor_only_PV-005771589697_43_4.pdb</t>
  </si>
  <si>
    <t>PV-005771589697</t>
  </si>
  <si>
    <t>N(C(=O)CSc1ccc(C)cc1)[C@@H]1[C@H]2CCN(C(=O)c3c(C)cnc(C)c3)[C@@H]12</t>
  </si>
  <si>
    <t>../../all/res269/res269_7F16_receptor_only_PV-005792794357_162_6.pdb</t>
  </si>
  <si>
    <t>PV-005792794357</t>
  </si>
  <si>
    <t>C(NC(=O)C[C@@H](c1ccccc1C)C)[C@H]1CCCN(C(=O)c2cc(N)ccn2)C1</t>
  </si>
  <si>
    <t>../../all/res269/res269_7F16_receptor_only_PV-005904922341_54_3.pdb</t>
  </si>
  <si>
    <t>PV-005904922341</t>
  </si>
  <si>
    <t>[C@H]1(NC(=O)c2c(ccc(C)n2)C)CCCN(C(=O)C2(CO)CCOCC2)C1</t>
  </si>
  <si>
    <t>../../all/res269/res269_7F16_receptor_only_PV-006074144815_132_2.pdb</t>
  </si>
  <si>
    <t>PV-006074144815</t>
  </si>
  <si>
    <t>[C@@H]1(N(CC)C(=O)COCC(C)(C)C)CCCN(C(=O)c2ccc(C)c(O)n2)C1</t>
  </si>
  <si>
    <t>../../all/res269/res269_7F16_receptor_only_PV-006143645773_78_1.pdb</t>
  </si>
  <si>
    <t>PV-006143645773</t>
  </si>
  <si>
    <t>C(NC(=O)C(C)(C)N1CCCCC1)[C@@H]1CCCN1C(=O)[C@@H](O)C1CCOCC1</t>
  </si>
  <si>
    <t>../../all/res269/res269_7F16_receptor_only_PV-006252057578_235_16.pdb</t>
  </si>
  <si>
    <t>PV-006252057578</t>
  </si>
  <si>
    <t>[C@@H]1(CNC(=O)c2cc3ccccc3c(=O)[nH]2)C[C@H]1CNC(=O)[C@@H]1COCCO1</t>
  </si>
  <si>
    <t>../../all/res269/res269_7F16_receptor_only_PV-006279077450_73_15.pdb</t>
  </si>
  <si>
    <t>PV-006279077450</t>
  </si>
  <si>
    <t>[C@H]1(CCC[C@@H](NC(=O)c2ccc[nH]2)C1)NC(=O)C1(N2CCOCC2)CCCC1</t>
  </si>
  <si>
    <t>../../all/res269/res269_7F16_receptor_only_PV-006336543198_32_3.pdb</t>
  </si>
  <si>
    <t>PV-006336543198</t>
  </si>
  <si>
    <t>C(NC(=O)c1n2nc(C)sc2nc1C)C1(NC(=O)CC2CCCC2)CCC1</t>
  </si>
  <si>
    <t>../../all/res269/res269_7F16_receptor_only_PV-006604268399_13_1.pdb</t>
  </si>
  <si>
    <t>PV-006604268399</t>
  </si>
  <si>
    <t>C1N(CC[C@@H]1CNC(=O)c1c(C)nns1)C(=O)Cc1ccccc1C(C)C</t>
  </si>
  <si>
    <t>../../all/res269/res269_7F16_receptor_only_Z1159218881_192_3.pdb</t>
  </si>
  <si>
    <t>Z1159218881</t>
  </si>
  <si>
    <t>C(=O)(NC(c1ccc(OC)cc1)c1ccc(OC)cc1)CN1CCC(N2CCCC2)CC1</t>
  </si>
  <si>
    <t>../../all/res269/res269_7F16_receptor_only_Z1634233487_99_4.pdb</t>
  </si>
  <si>
    <t>Z1634233487</t>
  </si>
  <si>
    <t>N([C@@H]1CCCc2cn(CCOC)nc12)C(=O)c1ccc(S(=O)(=O)N2CCCCC2)o1</t>
  </si>
  <si>
    <t>../../all/res269/res269_7F16_receptor_only_Z1998434183_30_67.pdb</t>
  </si>
  <si>
    <t>Z1998434183</t>
  </si>
  <si>
    <t>C(=O)([C@@H](CC(C)C)NC1=NS(=O)(=O)c2ccccc12)N[C@@H](CCO)Cc1ccccc1</t>
  </si>
  <si>
    <t>../../all/res269/res269_7F16_receptor_only_Z395775478_134_52.pdb</t>
  </si>
  <si>
    <t>Z395775478</t>
  </si>
  <si>
    <t>C(CNS(=O)(=O)c1ccc(C)cc1)C(=O)N1CCCC[C@H]1CNS(=O)(=O)C</t>
  </si>
  <si>
    <t>../../all/res269/res269_7F16_receptor_only_Z4322826053_15_0.pdb</t>
  </si>
  <si>
    <t>Z4322826053</t>
  </si>
  <si>
    <t>c1(C(=O)N[C@H](CC(=O)O)C2CCCCC2)cccc(C(=O)N2CCCCC2)c1</t>
  </si>
  <si>
    <t>../../all/res269/res269_7F16_receptor_only_Z4322826055_15_0.pdb</t>
  </si>
  <si>
    <t>Z4322826055</t>
  </si>
  <si>
    <t>../../all/res269/res269_7F16_receptor_only_Z4881795942_226_8.pdb</t>
  </si>
  <si>
    <t>Z4881795942</t>
  </si>
  <si>
    <t>N1(CCC[C@@H](NC(=O)[C@H]2CCC(=O)NC2)C1)C(=O)[C@@H]1CCC(=O)N(c2cc(F)ccc2)C1</t>
  </si>
  <si>
    <t>Does Mary Shay Like?</t>
  </si>
  <si>
    <t>/pi/summer.thyme-umw/rosetta_discovery_space/pth2/shapedb_results/refined_conformers/lower_res1_11_shifted/0/PV-003476110573/122/placement/res122_7F16_receptor_only_PV-003476110573_20_3.pdb</t>
  </si>
  <si>
    <t>/pi/summer.thyme-umw/rosetta_discovery_space/pth2/shapedb_results/refined_conformers/lower_res5_11_shifted/7/PV-004363072660/122/placement/res122_7F16_receptor_only_PV-004363072660_208_3.pdb</t>
  </si>
  <si>
    <t>PV-004363072660</t>
  </si>
  <si>
    <t>/pi/summer.thyme-umw/rosetta_discovery_space/pth2/shapedb_results/refined_conformers/lower_res5_11_shifted/4/PV-004434805041/122/placement/res122_7F16_receptor_only_PV-004434805041_203_1.pdb</t>
  </si>
  <si>
    <t>PV-004434805041</t>
  </si>
  <si>
    <t>/pi/summer.thyme-umw/rosetta_discovery_space/pth2/shapedb_results/refined_conformers/lower_res1_11_shifted/16/PV-004444948705/122/placement/res122_7F16_receptor_only_PV-004444948705_47_1.pdb</t>
  </si>
  <si>
    <t>PV-004444948705</t>
  </si>
  <si>
    <t>/pi/summer.thyme-umw/rosetta_discovery_space/pth2/shapedb_results/refined_conformers/lower_res1_11_shifted/24/PV-004502754221/122/placement/res122_7F16_receptor_only_PV-004502754221_27_2.pdb</t>
  </si>
  <si>
    <t>PV-004502754221</t>
  </si>
  <si>
    <t>/pi/summer.thyme-umw/rosetta_discovery_space/pth2/shapedb_results/refined_conformers/lower_res1_11_shifted/30/PV-004506477178/122/placement/res122_7F16_receptor_only_PV-004506477178_31_0.pdb</t>
  </si>
  <si>
    <t>/pi/summer.thyme-umw/rosetta_discovery_space/pth2/shapedb_results/refined_conformers/lower_res1_11_shifted/18/PV-004506718703/122/placement/res122_7F16_receptor_only_PV-004506718703_31_1.pdb</t>
  </si>
  <si>
    <t>/pi/summer.thyme-umw/rosetta_discovery_space/pth2/shapedb_results/refined_conformers/lower_res1_11_shifted/1/PV-004576257327/122/placement/res122_7F16_receptor_only_PV-004576257327_176_5.pdb</t>
  </si>
  <si>
    <t>PV-004576257327</t>
  </si>
  <si>
    <t>/pi/summer.thyme-umw/rosetta_discovery_space/pth2/shapedb_results/refined_conformers/lower_res1_11_shifted/23/PV-004655902680/122/placement/res122_7F16_receptor_only_PV-004655902680_26_5.pdb</t>
  </si>
  <si>
    <t>/pi/summer.thyme-umw/rosetta_discovery_space/pth2/shapedb_results/refined_conformers/lower_res1_11_shifted/17/PV-004798493641/122/placement/res122_7F16_receptor_only_PV-004798493641_166_0.pdb</t>
  </si>
  <si>
    <t>PV-004798493641</t>
  </si>
  <si>
    <t>/pi/summer.thyme-umw/rosetta_discovery_space/pth2/shapedb_results/refined_conformers/lower_res5_11_shifted/1/PV-004887538871/122/placement/res122_7F16_receptor_only_PV-004887538871_10_3.pdb</t>
  </si>
  <si>
    <t>/pi/summer.thyme-umw/rosetta_discovery_space/pth2/shapedb_results/refined_conformers/lower_res5_11_shifted/10/PV-004894803557/122/placement/res122_7F16_receptor_only_PV-004894803557_120_3.pdb</t>
  </si>
  <si>
    <t>PV-004894803557</t>
  </si>
  <si>
    <t>/pi/summer.thyme-umw/rosetta_discovery_space/pth2/shapedb_results/refined_conformers/lower_res1_11_shifted/17/PV-004938971812/122/placement/res122_7F16_receptor_only_PV-004938971812_58_0.pdb</t>
  </si>
  <si>
    <t>PV-004938971812</t>
  </si>
  <si>
    <t>/pi/summer.thyme-umw/rosetta_discovery_space/pth2/shapedb_results/refined_conformers/lower_res5_11_shifted/2/PV-004986901707/122/placement/res122_7F16_receptor_only_PV-004986901707_31_1.pdb</t>
  </si>
  <si>
    <t>PV-004986901707</t>
  </si>
  <si>
    <t>/pi/summer.thyme-umw/rosetta_discovery_space/pth2/shapedb_results/refined_conformers/lower_res1_11_shifted/0/PV-005198202028/122/placement/res122_7F16_receptor_only_PV-005198202028_82_1.pdb</t>
  </si>
  <si>
    <t>PV-005198202028</t>
  </si>
  <si>
    <t>/pi/summer.thyme-umw/rosetta_discovery_space/pth2/shapedb_results/refined_conformers/lower_res1_11_shifted/2/PV-005424082445/122/placement/res122_7F16_receptor_only_PV-005424082445_136_0.pdb</t>
  </si>
  <si>
    <t>/pi/summer.thyme-umw/rosetta_discovery_space/pth2/shapedb_results/refined_conformers/lower_res1_11_shifted/25/PV-005510814641/122/placement/res122_7F16_receptor_only_PV-005510814641_23_0.pdb</t>
  </si>
  <si>
    <t>/pi/summer.thyme-umw/rosetta_discovery_space/pth2/shapedb_results/refined_conformers/lower_res1_11_shifted/39/PV-005707415833/122/placement/res122_7F16_receptor_only_PV-005707415833_54_0.pdb</t>
  </si>
  <si>
    <t>PV-005707415833</t>
  </si>
  <si>
    <t>/pi/summer.thyme-umw/rosetta_discovery_space/pth2/shapedb_results/refined_conformers/lower_res5_11_shifted/6/PV-005718401883/122/placement/res122_7F16_receptor_only_PV-005718401883_69_3.pdb</t>
  </si>
  <si>
    <t>PV-005718401883</t>
  </si>
  <si>
    <t>/pi/summer.thyme-umw/rosetta_discovery_space/pth2/shapedb_results/refined_conformers/lower_res1_11_shifted/33/PV-005755365192/122/placement/res122_7F16_receptor_only_PV-005755365192_61_5.pdb</t>
  </si>
  <si>
    <t>PV-005755365192</t>
  </si>
  <si>
    <t>/pi/summer.thyme-umw/rosetta_discovery_space/pth2/shapedb_results/refined_conformers/lower_res1_11_shifted/26/PV-005853342661/122/placement/res122_7F16_receptor_only_PV-005853342661_19_1.pdb</t>
  </si>
  <si>
    <t>PV-005853342661</t>
  </si>
  <si>
    <t>/pi/summer.thyme-umw/rosetta_discovery_space/pth2/shapedb_results/refined_conformers/lower_res1_11_shifted/33/PV-005890621085/122/placement/res122_7F16_receptor_only_PV-005890621085_19_0.pdb</t>
  </si>
  <si>
    <t>/pi/summer.thyme-umw/rosetta_discovery_space/pth2/shapedb_results/refined_conformers/lower_res1_11_shifted/0/PV-006198527401/122/placement/res122_7F16_receptor_only_PV-006198527401_21_4.pdb</t>
  </si>
  <si>
    <t>/pi/summer.thyme-umw/rosetta_discovery_space/pth2/shapedb_results/refined_conformers/lower_res1_11_shifted/18/PV-006238161235/122/placement/res122_7F16_receptor_only_PV-006238161235_54_0.pdb</t>
  </si>
  <si>
    <t>PV-006238161235</t>
  </si>
  <si>
    <t>/pi/summer.thyme-umw/rosetta_discovery_space/pth2/shapedb_results/refined_conformers/lower_res1_11_shifted/34/PV-006332485654/122/placement/res122_7F16_receptor_only_PV-006332485654_195_1.pdb</t>
  </si>
  <si>
    <t>PV-006332485654</t>
  </si>
  <si>
    <t>/pi/summer.thyme-umw/rosetta_discovery_space/pth2/shapedb_results/refined_conformers/lower_res1_11_shifted/34/PV-006630775433/122/placement/res122_7F16_receptor_only_PV-006630775433_204_2.pdb</t>
  </si>
  <si>
    <t>/pi/summer.thyme-umw/rosetta_discovery_space/pth2/shapedb_results/refined_conformers/lower_res1_11_shifted/35/Z1449053877/122/placement/res122_7F16_receptor_only_Z1449053877_143_1.pdb</t>
  </si>
  <si>
    <t>Z1449053877</t>
  </si>
  <si>
    <t>/pi/summer.thyme-umw/rosetta_discovery_space/pth2/shapedb_results/refined_conformers/lower_res1_11_shifted/39/Z1472467618/122/placement/res122_7F16_receptor_only_Z1472467618_141_1.pdb</t>
  </si>
  <si>
    <t>/pi/summer.thyme-umw/rosetta_discovery_space/pth2/shapedb_results/refined_conformers/lower_res1_11_shifted/4/Z1521810617/122/placement/res122_7F16_receptor_only_Z1521810617_4_7.pdb</t>
  </si>
  <si>
    <t>/pi/summer.thyme-umw/rosetta_discovery_space/pth2/shapedb_results/refined_conformers/lower_res5_11_shifted/7/Z1635074496/122/placement/res122_7F16_receptor_only_Z1635074496_50_0.pdb</t>
  </si>
  <si>
    <t>Z1635074496</t>
  </si>
  <si>
    <t>/pi/summer.thyme-umw/rosetta_discovery_space/pth2/shapedb_results/refined_conformers/lower_res1_11_shifted/18/Z1712441482/122/placement/res122_7F16_receptor_only_Z1712441482_38_2.pdb</t>
  </si>
  <si>
    <t>/pi/summer.thyme-umw/rosetta_discovery_space/pth2/shapedb_results/refined_conformers/lower_res1_11_shifted/22/Z1890281904/122/placement/res122_7F16_receptor_only_Z1890281904_170_0.pdb</t>
  </si>
  <si>
    <t>Z1890281904</t>
  </si>
  <si>
    <t>/pi/summer.thyme-umw/rosetta_discovery_space/pth2/shapedb_results/refined_conformers/lower_res1_11_shifted/11/Z1900476180/122/placement/res122_7F16_receptor_only_Z1900476180_242_0.pdb</t>
  </si>
  <si>
    <t>Z1900476180</t>
  </si>
  <si>
    <t>/pi/summer.thyme-umw/rosetta_discovery_space/pth2/shapedb_results/refined_conformers/lower_res1_11_shifted/1/Z2172130424/122/placement/res122_7F16_receptor_only_Z2172130424_163_1.pdb</t>
  </si>
  <si>
    <t>Z2172130424</t>
  </si>
  <si>
    <t>/pi/summer.thyme-umw/rosetta_discovery_space/pth2/shapedb_results/refined_conformers/lower_res5_11_shifted/5/Z2185392665/122/placement/res122_7F16_receptor_only_Z2185392665_53_4.pdb</t>
  </si>
  <si>
    <t>Z2185392665</t>
  </si>
  <si>
    <t>/pi/summer.thyme-umw/rosetta_discovery_space/pth2/shapedb_results/refined_conformers/lower_res1_11_shifted/38/Z2230306060/122/placement/res122_7F16_receptor_only_Z2230306060_14_2.pdb</t>
  </si>
  <si>
    <t>Z2230306060</t>
  </si>
  <si>
    <t>/pi/summer.thyme-umw/rosetta_discovery_space/pth2/shapedb_results/refined_conformers/lower_res5_11_shifted/0/Z3011172425/122/placement/res122_7F16_receptor_only_Z3011172425_6_0.pdb</t>
  </si>
  <si>
    <t>/pi/summer.thyme-umw/rosetta_discovery_space/pth2/shapedb_results/refined_conformers/lower_res1_11_shifted/23/Z3541565108/122/placement/res122_7F16_receptor_only_Z3541565108_89_7.pdb</t>
  </si>
  <si>
    <t>Z3541565108</t>
  </si>
  <si>
    <t>/pi/summer.thyme-umw/rosetta_discovery_space/pth2/shapedb_results/refined_conformers/lower_res1_11_shifted/4/Z373510144/122/placement/res122_7F16_receptor_only_Z373510144_152_4.pdb</t>
  </si>
  <si>
    <t>/pi/summer.thyme-umw/rosetta_discovery_space/pth2/shapedb_results/refined_conformers/lower_res1_11_shifted/32/Z410608138/122/placement/res122_7F16_receptor_only_Z410608138_27_7.pdb</t>
  </si>
  <si>
    <t>/pi/summer.thyme-umw/rosetta_discovery_space/pth2/shapedb_results/refined_conformers/lower_res1_11_shifted/23/Z4403343830/122/placement/res122_7F16_receptor_only_Z4403343830_181_8.pdb</t>
  </si>
  <si>
    <t>/pi/summer.thyme-umw/rosetta_discovery_space/pth2/shapedb_results/refined_conformers/lower_res1_11_shifted/19/Z4510084000/122/placement/res122_7F16_receptor_only_Z4510084000_121_0.pdb</t>
  </si>
  <si>
    <t>Z4510084000</t>
  </si>
  <si>
    <t>/pi/summer.thyme-umw/rosetta_discovery_space/pth2/shapedb_results/refined_conformers/lower_res5_11_shifted/0/Z994147138/122/placement/res122_7F16_receptor_only_Z994147138_207_0.pdb</t>
  </si>
  <si>
    <t>Z994147138</t>
  </si>
  <si>
    <t>/pi/summer.thyme-umw/rosetta_discovery_space/pth2/shapedb_results/refined_conformers/lower_res1_11_shifted/36/PV-000366782609/269/placement/res269_7F16_receptor_only_PV-000366782609_149_11.pdb</t>
  </si>
  <si>
    <t>/pi/summer.thyme-umw/rosetta_discovery_space/pth2/shapedb_results/refined_conformers/lower_res1_11_shifted/20/PV-000431210683/269/placement/res269_7F16_receptor_only_PV-000431210683_22_9.pdb</t>
  </si>
  <si>
    <t>PV-000431210683</t>
  </si>
  <si>
    <t>/pi/summer.thyme-umw/rosetta_discovery_space/pth2/shapedb_results/refined_conformers/lower_res1_11_shifted/14/PV-000431376370/269/placement/res269_7F16_receptor_only_PV-000431376370_22_7.pdb</t>
  </si>
  <si>
    <t>PV-000431376370</t>
  </si>
  <si>
    <t>/pi/summer.thyme-umw/rosetta_discovery_space/pth2/shapedb_results/refined_conformers/lower_res5_11_shifted/1/PV-000518115177/269/placement/res269_7F16_receptor_only_PV-000518115177_94_0.pdb</t>
  </si>
  <si>
    <t>/pi/summer.thyme-umw/rosetta_discovery_space/pth2/shapedb_results/refined_conformers/lower_res1_11_shifted/19/PV-001297977758/269/placement/res269_7F16_receptor_only_PV-001297977758_137_5.pdb</t>
  </si>
  <si>
    <t>PV-001297977758</t>
  </si>
  <si>
    <t>/pi/summer.thyme-umw/rosetta_discovery_space/pth2/shapedb_results/refined_conformers/lower_res1_11_shifted/26/PV-001577237854/269/placement/res269_7F16_receptor_only_PV-001577237854_122_9.pdb</t>
  </si>
  <si>
    <t>/pi/summer.thyme-umw/rosetta_discovery_space/pth2/shapedb_results/refined_conformers/lower_res5_11_shifted/1/PV-001699308763/269/placement/res269_7F16_receptor_only_PV-001699308763_175_2.pdb</t>
  </si>
  <si>
    <t>/pi/summer.thyme-umw/rosetta_discovery_space/pth2/shapedb_results/refined_conformers/lower_res1_11_shifted/24/PV-002679704048/269/placement/res269_7F16_receptor_only_PV-002679704048_67_2.pdb</t>
  </si>
  <si>
    <t>PV-002679704048</t>
  </si>
  <si>
    <t>/pi/summer.thyme-umw/rosetta_discovery_space/pth2/shapedb_results/refined_conformers/lower_res1_11_shifted/20/PV-004219895018/269/placement/res269_7F16_receptor_only_PV-004219895018_173_2.pdb</t>
  </si>
  <si>
    <t>PV-004219895018</t>
  </si>
  <si>
    <t>/pi/summer.thyme-umw/rosetta_discovery_space/pth2/shapedb_results/refined_conformers/lower_res1_11_shifted/28/PV-004359981113/269/placement/res269_7F16_receptor_only_PV-004359981113_214_0.pdb</t>
  </si>
  <si>
    <t>PV-004359981113</t>
  </si>
  <si>
    <t>/pi/summer.thyme-umw/rosetta_discovery_space/pth2/shapedb_results/refined_conformers/lower_res1_11_shifted/28/PV-004359981114/269/placement/res269_7F16_receptor_only_PV-004359981114_214_0.pdb</t>
  </si>
  <si>
    <t>PV-004359981114</t>
  </si>
  <si>
    <t>/pi/summer.thyme-umw/rosetta_discovery_space/pth2/shapedb_results/refined_conformers/lower_res5_11_shifted/5/PV-004375868397/269/placement/res269_7F16_receptor_only_PV-004375868397_169_0.pdb</t>
  </si>
  <si>
    <t>PV-004375868397</t>
  </si>
  <si>
    <t>/pi/summer.thyme-umw/rosetta_discovery_space/pth2/shapedb_results/refined_conformers/lower_res1_11_shifted/19/PV-004453173376/269/placement/res269_7F16_receptor_only_PV-004453173376_75_18.pdb</t>
  </si>
  <si>
    <t>PV-004453173376</t>
  </si>
  <si>
    <t>/pi/summer.thyme-umw/rosetta_discovery_space/pth2/shapedb_results/refined_conformers/lower_res1_11_shifted/24/PV-004563691650/269/placement/res269_7F16_receptor_only_PV-004563691650_194_8.pdb</t>
  </si>
  <si>
    <t>/pi/summer.thyme-umw/rosetta_discovery_space/pth2/shapedb_results/refined_conformers/lower_res1_11_shifted/37/PV-004702335537/269/placement/res269_7F16_receptor_only_PV-004702335537_21_10.pdb</t>
  </si>
  <si>
    <t>/pi/summer.thyme-umw/rosetta_discovery_space/pth2/shapedb_results/refined_conformers/lower_res1_11_shifted/21/PV-004826583086/269/placement/res269_7F16_receptor_only_PV-004826583086_90_2.pdb</t>
  </si>
  <si>
    <t>PV-004826583086</t>
  </si>
  <si>
    <t>/pi/summer.thyme-umw/rosetta_discovery_space/pth2/shapedb_results/refined_conformers/lower_res1_11_shifted/34/PV-004860315998/269/placement/res269_7F16_receptor_only_PV-004860315998_45_2.pdb</t>
  </si>
  <si>
    <t>/pi/summer.thyme-umw/rosetta_discovery_space/pth2/shapedb_results/refined_conformers/lower_res1_11_shifted/16/PV-004960793237/269/placement/res269_7F16_receptor_only_PV-004960793237_98_6.pdb</t>
  </si>
  <si>
    <t>PV-004960793237</t>
  </si>
  <si>
    <t>/pi/summer.thyme-umw/rosetta_discovery_space/pth2/shapedb_results/refined_conformers/lower_res1_11_shifted/37/PV-004961619894/269/placement/res269_7F16_receptor_only_PV-004961619894_53_10.pdb</t>
  </si>
  <si>
    <t>PV-004961619894</t>
  </si>
  <si>
    <t>/pi/summer.thyme-umw/rosetta_discovery_space/pth2/shapedb_results/refined_conformers/lower_res1_11_shifted/21/PV-005175010208/269/placement/res269_7F16_receptor_only_PV-005175010208_60_0.pdb</t>
  </si>
  <si>
    <t>/pi/summer.thyme-umw/rosetta_discovery_space/pth2/shapedb_results/refined_conformers/lower_res5_11_shifted/7/PV-005299302519/269/placement/res269_7F16_receptor_only_PV-005299302519_62_4.pdb</t>
  </si>
  <si>
    <t>PV-005299302519</t>
  </si>
  <si>
    <t>/pi/summer.thyme-umw/rosetta_discovery_space/pth2/shapedb_results/refined_conformers/lower_res1_11_shifted/16/PV-005376893059/269/placement/res269_7F16_receptor_only_PV-005376893059_118_4.pdb</t>
  </si>
  <si>
    <t>PV-005376893059</t>
  </si>
  <si>
    <t>/pi/summer.thyme-umw/rosetta_discovery_space/pth2/shapedb_results/refined_conformers/lower_res5_11_shifted/6/PV-005379501786/269/placement/res269_7F16_receptor_only_PV-005379501786_150_2.pdb</t>
  </si>
  <si>
    <t>PV-005379501786</t>
  </si>
  <si>
    <t>/pi/summer.thyme-umw/rosetta_discovery_space/pth2/shapedb_results/refined_conformers/lower_res5_11_shifted/0/PV-005397290947/269/placement/res269_7F16_receptor_only_PV-005397290947_10_1.pdb</t>
  </si>
  <si>
    <t>/pi/summer.thyme-umw/rosetta_discovery_space/pth2/shapedb_results/refined_conformers/lower_res5_11_shifted/6/PV-005409743762/269/placement/res269_7F16_receptor_only_PV-005409743762_202_0.pdb</t>
  </si>
  <si>
    <t>/pi/summer.thyme-umw/rosetta_discovery_space/pth2/shapedb_results/refined_conformers/lower_res1_11_shifted/20/PV-005460257111/269/placement/res269_7F16_receptor_only_PV-005460257111_135_1.pdb</t>
  </si>
  <si>
    <t>/pi/summer.thyme-umw/rosetta_discovery_space/pth2/shapedb_results/refined_conformers/lower_res1_11_shifted/20/PV-005460257113/269/placement/res269_7F16_receptor_only_PV-005460257113_135_1.pdb</t>
  </si>
  <si>
    <t>PV-005460257113</t>
  </si>
  <si>
    <t>/pi/summer.thyme-umw/rosetta_discovery_space/pth2/shapedb_results/refined_conformers/lower_res1_11_shifted/12/PV-005461322877/269/placement/res269_7F16_receptor_only_PV-005461322877_164_2.pdb</t>
  </si>
  <si>
    <t>PV-005461322877</t>
  </si>
  <si>
    <t>/pi/summer.thyme-umw/rosetta_discovery_space/pth2/shapedb_results/refined_conformers/lower_res1_11_shifted/38/PV-005469944476/269/placement/res269_7F16_receptor_only_PV-005469944476_215_6.pdb</t>
  </si>
  <si>
    <t>PV-005469944476</t>
  </si>
  <si>
    <t>/pi/summer.thyme-umw/rosetta_discovery_space/pth2/shapedb_results/refined_conformers/lower_res1_11_shifted/13/PV-005628811316/269/placement/res269_7F16_receptor_only_PV-005628811316_82_5.pdb</t>
  </si>
  <si>
    <t>PV-005628811316</t>
  </si>
  <si>
    <t>/pi/summer.thyme-umw/rosetta_discovery_space/pth2/shapedb_results/refined_conformers/lower_res1_11_shifted/18/PV-005762936890/269/placement/res269_7F16_receptor_only_PV-005762936890_203_15.pdb</t>
  </si>
  <si>
    <t>PV-005762936890</t>
  </si>
  <si>
    <t>/pi/summer.thyme-umw/rosetta_discovery_space/pth2/shapedb_results/refined_conformers/lower_res5_11_shifted/7/PV-005771589697/269/placement/res269_7F16_receptor_only_PV-005771589697_43_4.pdb</t>
  </si>
  <si>
    <t>/pi/summer.thyme-umw/rosetta_discovery_space/pth2/shapedb_results/refined_conformers/lower_res1_11_shifted/33/PV-005792794357/269/placement/res269_7F16_receptor_only_PV-005792794357_162_6.pdb</t>
  </si>
  <si>
    <t>/pi/summer.thyme-umw/rosetta_discovery_space/pth2/shapedb_results/refined_conformers/lower_res5_11_shifted/3/PV-005904922341/269/placement/res269_7F16_receptor_only_PV-005904922341_54_3.pdb</t>
  </si>
  <si>
    <t>/pi/summer.thyme-umw/rosetta_discovery_space/pth2/shapedb_results/refined_conformers/lower_res1_11_shifted/39/PV-005941960676/269/placement/res269_7F16_receptor_only_PV-005941960676_114_0.pdb</t>
  </si>
  <si>
    <t>PV-005941960676</t>
  </si>
  <si>
    <t>/pi/summer.thyme-umw/rosetta_discovery_space/pth2/shapedb_results/refined_conformers/lower_res1_11_shifted/0/PV-005946081927/269/placement/res269_7F16_receptor_only_PV-005946081927_44_6.pdb</t>
  </si>
  <si>
    <t>PV-005946081927</t>
  </si>
  <si>
    <t>/pi/summer.thyme-umw/rosetta_discovery_space/pth2/shapedb_results/refined_conformers/lower_res5_11_shifted/3/PV-005999281346/269/placement/res269_7F16_receptor_only_PV-005999281346_166_3.pdb</t>
  </si>
  <si>
    <t>PV-005999281346</t>
  </si>
  <si>
    <t>/pi/summer.thyme-umw/rosetta_discovery_space/pth2/shapedb_results/refined_conformers/lower_res1_11_shifted/11/PV-006059242376/269/placement/res269_7F16_receptor_only_PV-006059242376_180_2.pdb</t>
  </si>
  <si>
    <t>PV-006059242376</t>
  </si>
  <si>
    <t>/pi/summer.thyme-umw/rosetta_discovery_space/pth2/shapedb_results/refined_conformers/lower_res1_11_shifted/39/PV-006074144815/269/placement/res269_7F16_receptor_only_PV-006074144815_132_2.pdb</t>
  </si>
  <si>
    <t>/pi/summer.thyme-umw/rosetta_discovery_space/pth2/shapedb_results/refined_conformers/lower_res1_11_shifted/14/PV-006143645773/269/placement/res269_7F16_receptor_only_PV-006143645773_78_1.pdb</t>
  </si>
  <si>
    <t>/pi/summer.thyme-umw/rosetta_discovery_space/pth2/shapedb_results/refined_conformers/lower_res1_11_shifted/14/PV-006143645775/269/placement/res269_7F16_receptor_only_PV-006143645775_78_1.pdb</t>
  </si>
  <si>
    <t>PV-006143645775</t>
  </si>
  <si>
    <t>/pi/summer.thyme-umw/rosetta_discovery_space/pth2/shapedb_results/refined_conformers/lower_res1_11_shifted/14/PV-006143645776/269/placement/res269_7F16_receptor_only_PV-006143645776_78_1.pdb</t>
  </si>
  <si>
    <t>PV-006143645776</t>
  </si>
  <si>
    <t>/pi/summer.thyme-umw/rosetta_discovery_space/pth2/shapedb_results/refined_conformers/lower_res1_11_shifted/17/PV-006186949995/269/placement/res269_7F16_receptor_only_PV-006186949995_106_0.pdb</t>
  </si>
  <si>
    <t>PV-006186949995</t>
  </si>
  <si>
    <t>/pi/summer.thyme-umw/rosetta_discovery_space/pth2/shapedb_results/refined_conformers/lower_res1_11_shifted/34/PV-006252057578/269/placement/res269_7F16_receptor_only_PV-006252057578_235_16.pdb</t>
  </si>
  <si>
    <t>/pi/summer.thyme-umw/rosetta_discovery_space/pth2/shapedb_results/refined_conformers/lower_res5_11_shifted/0/PV-006275168072/269/placement/res269_7F16_receptor_only_PV-006275168072_126_0.pdb</t>
  </si>
  <si>
    <t>PV-006275168072</t>
  </si>
  <si>
    <t>/pi/summer.thyme-umw/rosetta_discovery_space/pth2/shapedb_results/refined_conformers/lower_res1_11_shifted/23/PV-006279077450/269/placement/res269_7F16_receptor_only_PV-006279077450_73_15.pdb</t>
  </si>
  <si>
    <t>/pi/summer.thyme-umw/rosetta_discovery_space/pth2/shapedb_results/refined_conformers/lower_res1_11_shifted/27/PV-006328895684/269/placement/res269_7F16_receptor_only_PV-006328895684_180_8.pdb</t>
  </si>
  <si>
    <t>PV-006328895684</t>
  </si>
  <si>
    <t>/pi/summer.thyme-umw/rosetta_discovery_space/pth2/shapedb_results/refined_conformers/lower_res1_11_shifted/38/PV-006336543198/269/placement/res269_7F16_receptor_only_PV-006336543198_32_3.pdb</t>
  </si>
  <si>
    <t>/pi/summer.thyme-umw/rosetta_discovery_space/pth2/shapedb_results/refined_conformers/lower_res1_11_shifted/26/PV-006446974219/269/placement/res269_7F16_receptor_only_PV-006446974219_136_10.pdb</t>
  </si>
  <si>
    <t>PV-006446974219</t>
  </si>
  <si>
    <t>/pi/summer.thyme-umw/rosetta_discovery_space/pth2/shapedb_results/refined_conformers/lower_res5_11_shifted/6/PV-006460901879/269/placement/res269_7F16_receptor_only_PV-006460901879_4_1.pdb</t>
  </si>
  <si>
    <t>PV-006460901879</t>
  </si>
  <si>
    <t>/pi/summer.thyme-umw/rosetta_discovery_space/pth2/shapedb_results/refined_conformers/lower_res1_11_shifted/24/PV-006531537045/269/placement/res269_7F16_receptor_only_PV-006531537045_114_1.pdb</t>
  </si>
  <si>
    <t>PV-006531537045</t>
  </si>
  <si>
    <t>/pi/summer.thyme-umw/rosetta_discovery_space/pth2/shapedb_results/refined_conformers/lower_res1_11_shifted/29/PV-006596664813/269/placement/res269_7F16_receptor_only_PV-006596664813_71_2.pdb</t>
  </si>
  <si>
    <t>/pi/summer.thyme-umw/rosetta_discovery_space/pth2/shapedb_results/refined_conformers/lower_res1_11_shifted/17/PV-006598988224/269/placement/res269_7F16_receptor_only_PV-006598988224_102_4.pdb</t>
  </si>
  <si>
    <t>/pi/summer.thyme-umw/rosetta_discovery_space/pth2/shapedb_results/refined_conformers/lower_res1_11_shifted/14/PV-006604268399/269/placement/res269_7F16_receptor_only_PV-006604268399_13_1.pdb</t>
  </si>
  <si>
    <t>/pi/summer.thyme-umw/rosetta_discovery_space/pth2/shapedb_results/refined_conformers/lower_res1_11_shifted/30/PV-006645946899/269/placement/res269_7F16_receptor_only_PV-006645946899_27_1.pdb</t>
  </si>
  <si>
    <t>PV-006645946899</t>
  </si>
  <si>
    <t>/pi/summer.thyme-umw/rosetta_discovery_space/pth2/shapedb_results/refined_conformers/lower_res5_11_shifted/5/PV-006694441016/269/placement/res269_7F16_receptor_only_PV-006694441016_243_2.pdb</t>
  </si>
  <si>
    <t>PV-006694441016</t>
  </si>
  <si>
    <t>/pi/summer.thyme-umw/rosetta_discovery_space/pth2/shapedb_results/refined_conformers/lower_res1_11_shifted/23/PV-006706606184/269/placement/res269_7F16_receptor_only_PV-006706606184_97_3.pdb</t>
  </si>
  <si>
    <t>PV-006706606184</t>
  </si>
  <si>
    <t>/pi/summer.thyme-umw/rosetta_discovery_space/pth2/shapedb_results/refined_conformers/lower_res1_11_shifted/16/PV-006712468448/269/placement/res269_7F16_receptor_only_PV-006712468448_190_0.pdb</t>
  </si>
  <si>
    <t>/pi/summer.thyme-umw/rosetta_discovery_space/pth2/shapedb_results/refined_conformers/lower_res1_11_shifted/16/PV-006712468449/269/placement/res269_7F16_receptor_only_PV-006712468449_190_0.pdb</t>
  </si>
  <si>
    <t>PV-006712468449</t>
  </si>
  <si>
    <t>/pi/summer.thyme-umw/rosetta_discovery_space/pth2/shapedb_results/refined_conformers/lower_res1_11_shifted/20/Z1134920381/269/placement/res269_7F16_receptor_only_Z1134920381_127_4.pdb</t>
  </si>
  <si>
    <t>Z1134920381</t>
  </si>
  <si>
    <t>/pi/summer.thyme-umw/rosetta_discovery_space/pth2/shapedb_results/refined_conformers/lower_res5_11_shifted/6/Z1158277734/269/placement/res269_7F16_receptor_only_Z1158277734_64_18.pdb</t>
  </si>
  <si>
    <t>Z1158277734</t>
  </si>
  <si>
    <t>/pi/summer.thyme-umw/rosetta_discovery_space/pth2/shapedb_results/refined_conformers/lower_res1_11_shifted/11/Z1159218881/269/placement/res269_7F16_receptor_only_Z1159218881_192_3.pdb</t>
  </si>
  <si>
    <t>/pi/summer.thyme-umw/rosetta_discovery_space/pth2/shapedb_results/refined_conformers/lower_res5_11_shifted/0/Z1251516267/269/placement/res269_7F16_receptor_only_Z1251516267_57_24.pdb</t>
  </si>
  <si>
    <t>Z1251516267</t>
  </si>
  <si>
    <t>/pi/summer.thyme-umw/rosetta_discovery_space/pth2/shapedb_results/refined_conformers/lower_res5_11_shifted/4/Z1261227846/269/placement/res269_7F16_receptor_only_Z1261227846_96_6.pdb</t>
  </si>
  <si>
    <t>Z1261227846</t>
  </si>
  <si>
    <t>/pi/summer.thyme-umw/rosetta_discovery_space/pth2/shapedb_results/refined_conformers/lower_res1_11_shifted/30/Z1337997284/269/placement/res269_7F16_receptor_only_Z1337997284_46_11.pdb</t>
  </si>
  <si>
    <t>Z1337997284</t>
  </si>
  <si>
    <t>/pi/summer.thyme-umw/rosetta_discovery_space/pth2/shapedb_results/refined_conformers/lower_res5_11_shifted/5/Z1359735366/269/placement/res269_7F16_receptor_only_Z1359735366_149_10.pdb</t>
  </si>
  <si>
    <t>Z1359735366</t>
  </si>
  <si>
    <t>/pi/summer.thyme-umw/rosetta_discovery_space/pth2/shapedb_results/refined_conformers/lower_res1_11_shifted/15/Z1367829528/269/placement/res269_7F16_receptor_only_Z1367829528_140_3.pdb</t>
  </si>
  <si>
    <t>Z1367829528</t>
  </si>
  <si>
    <t>/pi/summer.thyme-umw/rosetta_discovery_space/pth2/shapedb_results/refined_conformers/lower_res1_11_shifted/24/Z1444094132/269/placement/res269_7F16_receptor_only_Z1444094132_108_6.pdb</t>
  </si>
  <si>
    <t>Z1444094132</t>
  </si>
  <si>
    <t>/pi/summer.thyme-umw/rosetta_discovery_space/pth2/shapedb_results/refined_conformers/lower_res1_11_shifted/31/Z1465195447/269/placement/res269_7F16_receptor_only_Z1465195447_53_4.pdb</t>
  </si>
  <si>
    <t>Z1465195447</t>
  </si>
  <si>
    <t>/pi/summer.thyme-umw/rosetta_discovery_space/pth2/shapedb_results/refined_conformers/lower_res1_11_shifted/26/Z1497805820/269/placement/res269_7F16_receptor_only_Z1497805820_150_11.pdb</t>
  </si>
  <si>
    <t>Z1497805820</t>
  </si>
  <si>
    <t>/pi/summer.thyme-umw/rosetta_discovery_space/pth2/shapedb_results/refined_conformers/lower_res1_11_shifted/20/Z1634233487/269/placement/res269_7F16_receptor_only_Z1634233487_99_4.pdb</t>
  </si>
  <si>
    <t>/pi/summer.thyme-umw/rosetta_discovery_space/pth2/shapedb_results/refined_conformers/lower_res1_11_shifted/12/Z1998434183/269/placement/res269_7F16_receptor_only_Z1998434183_30_67.pdb</t>
  </si>
  <si>
    <t>/pi/summer.thyme-umw/rosetta_discovery_space/pth2/shapedb_results/refined_conformers/lower_res1_11_shifted/38/Z2094209260/269/placement/res269_7F16_receptor_only_Z2094209260_97_1.pdb</t>
  </si>
  <si>
    <t>Z2094209260</t>
  </si>
  <si>
    <t>/pi/summer.thyme-umw/rosetta_discovery_space/pth2/shapedb_results/refined_conformers/lower_res5_11_shifted/3/Z3080952359/269/placement/res269_7F16_receptor_only_Z3080952359_52_0.pdb</t>
  </si>
  <si>
    <t>Z3080952359</t>
  </si>
  <si>
    <t>/pi/summer.thyme-umw/rosetta_discovery_space/pth2/shapedb_results/refined_conformers/lower_res1_11_shifted/17/Z363295334/269/placement/res269_7F16_receptor_only_Z363295334_112_11.pdb</t>
  </si>
  <si>
    <t>Z363295334</t>
  </si>
  <si>
    <t>/pi/summer.thyme-umw/rosetta_discovery_space/pth2/shapedb_results/refined_conformers/lower_res1_11_shifted/42/Z395775478/269/placement/res269_7F16_receptor_only_Z395775478_134_52.pdb</t>
  </si>
  <si>
    <t>/pi/summer.thyme-umw/rosetta_discovery_space/pth2/shapedb_results/refined_conformers/lower_res1_11_shifted/1/Z4322826053/269/placement/res269_7F16_receptor_only_Z4322826053_15_0.pdb</t>
  </si>
  <si>
    <t>/pi/summer.thyme-umw/rosetta_discovery_space/pth2/shapedb_results/refined_conformers/lower_res1_11_shifted/1/Z4322826055/269/placement/res269_7F16_receptor_only_Z4322826055_15_0.pdb</t>
  </si>
  <si>
    <t>/pi/summer.thyme-umw/rosetta_discovery_space/pth2/shapedb_results/refined_conformers/lower_res1_11_shifted/14/Z4881795915/269/placement/res269_7F16_receptor_only_Z4881795915_226_8.pdb</t>
  </si>
  <si>
    <t>Z4881795915</t>
  </si>
  <si>
    <t>/pi/summer.thyme-umw/rosetta_discovery_space/pth2/shapedb_results/refined_conformers/lower_res1_11_shifted/14/Z4881795942/269/placement/res269_7F16_receptor_only_Z4881795942_226_8.pdb</t>
  </si>
  <si>
    <t>/pi/summer.thyme-umw/rosetta_discovery_space/pth2/shapedb_results/refined_conformers/lower_res1_11_shifted/21/Z606021628/269/placement/res269_7F16_receptor_only_Z606021628_7_1.pdb</t>
  </si>
  <si>
    <t>Z606021628</t>
  </si>
  <si>
    <t>/pi/summer.thyme-umw/rosetta_discovery_space/pth2/shapedb_results/refined_conformers/lower_res1_11_shifted/30/Z735508476/269/placement/res269_7F16_receptor_only_Z735508476_101_2.pdb</t>
  </si>
  <si>
    <t>Z735508476</t>
  </si>
  <si>
    <t>/pi/summer.thyme-umw/rosetta_discovery_space/pth2/shapedb_results/refined_conformers/lower_res1_11_shifted/24/Z768140560/269/placement/res269_7F16_receptor_only_Z768140560_208_0.pdb</t>
  </si>
  <si>
    <t>Z768140560</t>
  </si>
  <si>
    <t>/pi/summer.thyme-umw/rosetta_discovery_space/pth2/shapedb_results/refined_conformers/lower_res1_11_shifted/19/Z940680074/269/placement/res269_7F16_receptor_only_Z940680074_25_66.pdb</t>
  </si>
  <si>
    <t>Z940680074</t>
  </si>
  <si>
    <t>not best around middle and has ester</t>
  </si>
  <si>
    <t>probably bad, but I do kind of like how it snakes up and interaction with TYR122 is apparently real. carbonyl into val191 is probably really bad</t>
  </si>
  <si>
    <t>could maybe flex to hit glu398</t>
  </si>
  <si>
    <t>if tyr122 H moves, could form hbond</t>
  </si>
  <si>
    <t>it's bendy, but I like how it hits overall. check strain score</t>
  </si>
  <si>
    <t>I like binding profile at bottom, but ASN402 could be a problem</t>
  </si>
  <si>
    <t>not great against tyr122</t>
  </si>
  <si>
    <t>carbonyl in middle could maybe hit water?</t>
  </si>
  <si>
    <t>phe194 interaction could be bad</t>
  </si>
  <si>
    <t>maybe water could satisfy glu398</t>
  </si>
  <si>
    <t>this looks pretty good and the ring with S and N could maybe just flip to hit PHE111 a lot better</t>
  </si>
  <si>
    <t>if we trust that N ring to hit waters, it's probably fine</t>
  </si>
  <si>
    <t>very similar to PV-000431376370 with different terminal ring</t>
  </si>
  <si>
    <t>very similar to PV-000431210683 with different terminal ring</t>
  </si>
  <si>
    <t>same pose as PV-004359981114, enantiomer</t>
  </si>
  <si>
    <t>same pose as PV-004359981113, enantiomer</t>
  </si>
  <si>
    <t>placement seems ok, but do we want the bridged ring?</t>
  </si>
  <si>
    <t>it sits high, but I like all of its interactions</t>
  </si>
  <si>
    <t>lots of good interactions and extends across the pocket, even if there are a lot of interactions not considered real; enantiomer with PV-005460257111</t>
  </si>
  <si>
    <t>lots of good interactions and extends across the pocket, even if there are a lot of interactions not considered real; enantiomer with PV-005460257113</t>
  </si>
  <si>
    <t>I think this could hit TYR269 better</t>
  </si>
  <si>
    <t>could hit glu398 better</t>
  </si>
  <si>
    <t>I think tyr202 could hbond with the hydroxyl</t>
  </si>
  <si>
    <t>same pose as PV-006143645775 and PV-006143645776, enantiomer</t>
  </si>
  <si>
    <t>same pose as PV-006143645773 and PV-006143645776, enantiomer</t>
  </si>
  <si>
    <t>same pose as PV-006143645775 and PV-006143645773, enantiomer</t>
  </si>
  <si>
    <t>same pose as PV-006712468448, enantiomer</t>
  </si>
  <si>
    <t>probably not good</t>
  </si>
  <si>
    <t>unsatisfied sulfonamide O is probably bad</t>
  </si>
  <si>
    <t>same pose as Z4322826055, enantiomer</t>
  </si>
  <si>
    <t>same pose as Z4322826053, enantiomer</t>
  </si>
  <si>
    <t>same pose as Z4881795942, enantiomer</t>
  </si>
  <si>
    <t>same pose as Z4881795915, enantiomer</t>
  </si>
  <si>
    <t>issue with carbonyl</t>
  </si>
  <si>
    <t>same</t>
  </si>
  <si>
    <t>/pi/summer.thyme-umw/rosetta_discovery_space/pth2/shapedb_results/refined_conformers/lower_res1_11_shifted/30/PV-000357770180/269/placement/res269_7F16_receptor_only_PV-000357770180_22_1.pdb</t>
  </si>
  <si>
    <t>PV-000357770180</t>
  </si>
  <si>
    <t>/pi/summer.thyme-umw/rosetta_discovery_space/pth2/shapedb_results/refined_conformers/lower_res1_11_shifted/17/PV-000514868499/269/placement/res269_7F16_receptor_only_PV-000514868499_67_8.pdb</t>
  </si>
  <si>
    <t>PV-000514868499</t>
  </si>
  <si>
    <t>/pi/summer.thyme-umw/rosetta_discovery_space/pth2/shapedb_results/refined_conformers/lower_res1_11_shifted/33/PV-000517629015/269/placement/res269_7F16_receptor_only_PV-000517629015_112_7.pdb</t>
  </si>
  <si>
    <t>PV-000517629015</t>
  </si>
  <si>
    <t>/pi/summer.thyme-umw/rosetta_discovery_space/pth2/shapedb_results/refined_conformers/lower_res5_11_shifted/4/PV-000575450241/269/placement/res269_7F16_receptor_only_PV-000575450241_66_8.pdb</t>
  </si>
  <si>
    <t>PV-000575450241</t>
  </si>
  <si>
    <t>/pi/summer.thyme-umw/rosetta_discovery_space/pth2/shapedb_results/refined_conformers/lower_res5_11_shifted/4/PV-000575869137/269/placement/res269_7F16_receptor_only_PV-000575869137_28_13.pdb</t>
  </si>
  <si>
    <t>PV-000575869137</t>
  </si>
  <si>
    <t>/pi/summer.thyme-umw/rosetta_discovery_space/pth2/shapedb_results/refined_conformers/lower_res1_11_shifted/25/PV-001130223944/269/placement/res269_7F16_receptor_only_PV-001130223944_141_4.pdb</t>
  </si>
  <si>
    <t>PV-001130223944</t>
  </si>
  <si>
    <t>/pi/summer.thyme-umw/rosetta_discovery_space/pth2/shapedb_results/refined_conformers/lower_res5_11_shifted/9/PV-001700379032/269/placement/res269_7F16_receptor_only_PV-001700379032_168_2.pdb</t>
  </si>
  <si>
    <t>PV-001700379032</t>
  </si>
  <si>
    <t>/pi/summer.thyme-umw/rosetta_discovery_space/pth2/shapedb_results/refined_conformers/lower_res1_11_shifted/14/PV-002571072385/269/placement/res269_7F16_receptor_only_PV-002571072385_41_10.pdb</t>
  </si>
  <si>
    <t>PV-002571072385</t>
  </si>
  <si>
    <t>/pi/summer.thyme-umw/rosetta_discovery_space/pth2/shapedb_results/refined_conformers/lower_res1_11_shifted/14/PV-004162311080/269/placement/res269_7F16_receptor_only_PV-004162311080_239_7.pdb</t>
  </si>
  <si>
    <t>PV-004162311080</t>
  </si>
  <si>
    <t>/pi/summer.thyme-umw/rosetta_discovery_space/pth2/shapedb_results/refined_conformers/lower_res1_11_shifted/10/PV-004240215777/269/placement/res269_7F16_receptor_only_PV-004240215777_172_38.pdb</t>
  </si>
  <si>
    <t>PV-004240215777</t>
  </si>
  <si>
    <t>/pi/summer.thyme-umw/rosetta_discovery_space/pth2/shapedb_results/refined_conformers/lower_res1_11_shifted/10/PV-004240215781/269/placement/res269_7F16_receptor_only_PV-004240215781_172_38.pdb</t>
  </si>
  <si>
    <t>PV-004240215781</t>
  </si>
  <si>
    <t>/pi/summer.thyme-umw/rosetta_discovery_space/pth2/shapedb_results/refined_conformers/lower_res1_11_shifted/18/PV-004250642905/269/placement/res269_7F16_receptor_only_PV-004250642905_98_2.pdb</t>
  </si>
  <si>
    <t>PV-004250642905</t>
  </si>
  <si>
    <t>/pi/summer.thyme-umw/rosetta_discovery_space/pth2/shapedb_results/refined_conformers/lower_res1_11_shifted/16/PV-004423095863/269/placement/res269_7F16_receptor_only_PV-004423095863_41_1.pdb</t>
  </si>
  <si>
    <t>PV-004423095863</t>
  </si>
  <si>
    <t>/pi/summer.thyme-umw/rosetta_discovery_space/pth2/shapedb_results/refined_conformers/lower_res5_11_shifted/1/PV-004451097503/269/placement/res269_7F16_receptor_only_PV-004451097503_133_21.pdb</t>
  </si>
  <si>
    <t>PV-004451097503</t>
  </si>
  <si>
    <t>/pi/summer.thyme-umw/rosetta_discovery_space/pth2/shapedb_results/refined_conformers/lower_res5_11_shifted/10/PV-004484744628/269/placement/res269_7F16_receptor_only_PV-004484744628_105_3.pdb</t>
  </si>
  <si>
    <t>PV-004484744628</t>
  </si>
  <si>
    <t>/pi/summer.thyme-umw/rosetta_discovery_space/pth2/shapedb_results/refined_conformers/lower_res1_11_shifted/32/PV-004499033942/269/placement/res269_7F16_receptor_only_PV-004499033942_20_0.pdb</t>
  </si>
  <si>
    <t>PV-004499033942</t>
  </si>
  <si>
    <t>/pi/summer.thyme-umw/rosetta_discovery_space/pth2/shapedb_results/refined_conformers/lower_res1_11_shifted/13/PV-004603685997/269/placement/res269_7F16_receptor_only_PV-004603685997_118_4.pdb</t>
  </si>
  <si>
    <t>PV-004603685997</t>
  </si>
  <si>
    <t>/pi/summer.thyme-umw/rosetta_discovery_space/pth2/shapedb_results/refined_conformers/lower_res1_11_shifted/35/PV-004610215663/269/placement/res269_7F16_receptor_only_PV-004610215663_90_9.pdb</t>
  </si>
  <si>
    <t>PV-004610215663</t>
  </si>
  <si>
    <t>/pi/summer.thyme-umw/rosetta_discovery_space/pth2/shapedb_results/refined_conformers/lower_res1_11_shifted/26/PV-004616724786/269/placement/res269_7F16_receptor_only_PV-004616724786_222_10.pdb</t>
  </si>
  <si>
    <t>PV-004616724786</t>
  </si>
  <si>
    <t>/pi/summer.thyme-umw/rosetta_discovery_space/pth2/shapedb_results/refined_conformers/lower_res5_11_shifted/7/PV-004652266261/269/placement/res269_7F16_receptor_only_PV-004652266261_193_1.pdb</t>
  </si>
  <si>
    <t>PV-004652266261</t>
  </si>
  <si>
    <t>/pi/summer.thyme-umw/rosetta_discovery_space/pth2/shapedb_results/refined_conformers/lower_res1_11_shifted/36/PV-004657079975/269/placement/res269_7F16_receptor_only_PV-004657079975_189_1.pdb</t>
  </si>
  <si>
    <t>PV-004657079975</t>
  </si>
  <si>
    <t>/pi/summer.thyme-umw/rosetta_discovery_space/pth2/shapedb_results/refined_conformers/lower_res1_11_shifted/16/PV-004711828768/269/placement/res269_7F16_receptor_only_PV-004711828768_97_1.pdb</t>
  </si>
  <si>
    <t>PV-004711828768</t>
  </si>
  <si>
    <t>/pi/summer.thyme-umw/rosetta_discovery_space/pth2/shapedb_results/refined_conformers/lower_res5_11_shifted/7/PV-004774872382/269/placement/res269_7F16_receptor_only_PV-004774872382_1_3.pdb</t>
  </si>
  <si>
    <t>PV-004774872382</t>
  </si>
  <si>
    <t>/pi/summer.thyme-umw/rosetta_discovery_space/pth2/shapedb_results/refined_conformers/lower_res1_11_shifted/18/PV-004881905100/269/placement/res269_7F16_receptor_only_PV-004881905100_60_3.pdb</t>
  </si>
  <si>
    <t>PV-004881905100</t>
  </si>
  <si>
    <t>/pi/summer.thyme-umw/rosetta_discovery_space/pth2/shapedb_results/refined_conformers/lower_res1_11_shifted/21/PV-004888073952/269/placement/res269_7F16_receptor_only_PV-004888073952_148_1.pdb</t>
  </si>
  <si>
    <t>PV-004888073952</t>
  </si>
  <si>
    <t>/pi/summer.thyme-umw/rosetta_discovery_space/pth2/shapedb_results/refined_conformers/lower_res1_11_shifted/16/PV-004897476699/269/placement/res269_7F16_receptor_only_PV-004897476699_25_15.pdb</t>
  </si>
  <si>
    <t>PV-004897476699</t>
  </si>
  <si>
    <t>/pi/summer.thyme-umw/rosetta_discovery_space/pth2/shapedb_results/refined_conformers/lower_res1_11_shifted/33/PV-004979765699/269/placement/res269_7F16_receptor_only_PV-004979765699_221_5.pdb</t>
  </si>
  <si>
    <t>PV-004979765699</t>
  </si>
  <si>
    <t>/pi/summer.thyme-umw/rosetta_discovery_space/pth2/shapedb_results/refined_conformers/lower_res1_11_shifted/33/PV-005006990870/269/placement/res269_7F16_receptor_only_PV-005006990870_3_5.pdb</t>
  </si>
  <si>
    <t>PV-005006990870</t>
  </si>
  <si>
    <t>/pi/summer.thyme-umw/rosetta_discovery_space/pth2/shapedb_results/refined_conformers/lower_res1_11_shifted/28/PV-005007037652/269/placement/res269_7F16_receptor_only_PV-005007037652_99_5.pdb</t>
  </si>
  <si>
    <t>PV-005007037652</t>
  </si>
  <si>
    <t>/pi/summer.thyme-umw/rosetta_discovery_space/pth2/shapedb_results/refined_conformers/lower_res1_11_shifted/37/PV-005020357724/269/placement/res269_7F16_receptor_only_PV-005020357724_11_24.pdb</t>
  </si>
  <si>
    <t>PV-005020357724</t>
  </si>
  <si>
    <t>/pi/summer.thyme-umw/rosetta_discovery_space/pth2/shapedb_results/refined_conformers/lower_res5_11_shifted/7/PV-005074558206/269/placement/res269_7F16_receptor_only_PV-005074558206_32_1.pdb</t>
  </si>
  <si>
    <t>PV-005074558206</t>
  </si>
  <si>
    <t>/pi/summer.thyme-umw/rosetta_discovery_space/pth2/shapedb_results/refined_conformers/lower_res5_11_shifted/7/PV-005074558207/269/placement/res269_7F16_receptor_only_PV-005074558207_32_1.pdb</t>
  </si>
  <si>
    <t>PV-005074558207</t>
  </si>
  <si>
    <t>/pi/summer.thyme-umw/rosetta_discovery_space/pth2/shapedb_results/refined_conformers/lower_res5_11_shifted/0/PV-005125285398/269/placement/res269_7F16_receptor_only_PV-005125285398_58_6.pdb</t>
  </si>
  <si>
    <t>PV-005125285398</t>
  </si>
  <si>
    <t>/pi/summer.thyme-umw/rosetta_discovery_space/pth2/shapedb_results/refined_conformers/lower_res5_11_shifted/1/PV-005134309868/269/placement/res269_7F16_receptor_only_PV-005134309868_26_0.pdb</t>
  </si>
  <si>
    <t>PV-005134309868</t>
  </si>
  <si>
    <t>/pi/summer.thyme-umw/rosetta_discovery_space/pth2/shapedb_results/refined_conformers/lower_res1_11_shifted/40/PV-005183025986/269/placement/res269_7F16_receptor_only_PV-005183025986_136_3.pdb</t>
  </si>
  <si>
    <t>PV-005183025986</t>
  </si>
  <si>
    <t>/pi/summer.thyme-umw/rosetta_discovery_space/pth2/shapedb_results/refined_conformers/lower_res1_11_shifted/33/PV-005260694229/269/placement/res269_7F16_receptor_only_PV-005260694229_86_6.pdb</t>
  </si>
  <si>
    <t>PV-005260694229</t>
  </si>
  <si>
    <t>/pi/summer.thyme-umw/rosetta_discovery_space/pth2/shapedb_results/refined_conformers/lower_res1_11_shifted/18/PV-005362011774/269/placement/res269_7F16_receptor_only_PV-005362011774_42_3.pdb</t>
  </si>
  <si>
    <t>PV-005362011774</t>
  </si>
  <si>
    <t>/pi/summer.thyme-umw/rosetta_discovery_space/pth2/shapedb_results/refined_conformers/lower_res1_11_shifted/22/PV-005369158587/269/placement/res269_7F16_receptor_only_PV-005369158587_153_4.pdb</t>
  </si>
  <si>
    <t>PV-005369158587</t>
  </si>
  <si>
    <t>/pi/summer.thyme-umw/rosetta_discovery_space/pth2/shapedb_results/refined_conformers/lower_res1_11_shifted/35/PV-005423061419/269/placement/res269_7F16_receptor_only_PV-005423061419_3_6.pdb</t>
  </si>
  <si>
    <t>PV-005423061419</t>
  </si>
  <si>
    <t>/pi/summer.thyme-umw/rosetta_discovery_space/pth2/shapedb_results/refined_conformers/lower_res5_11_shifted/4/PV-005431522925/269/placement/res269_7F16_receptor_only_PV-005431522925_155_25.pdb</t>
  </si>
  <si>
    <t>PV-005431522925</t>
  </si>
  <si>
    <t>/pi/summer.thyme-umw/rosetta_discovery_space/pth2/shapedb_results/refined_conformers/lower_res1_11_shifted/37/PV-005493421040/269/placement/res269_7F16_receptor_only_PV-005493421040_193_0.pdb</t>
  </si>
  <si>
    <t>PV-005493421040</t>
  </si>
  <si>
    <t>/pi/summer.thyme-umw/rosetta_discovery_space/pth2/shapedb_results/refined_conformers/lower_res5_11_shifted/5/PV-005526596522/269/placement/res269_7F16_receptor_only_PV-005526596522_32_11.pdb</t>
  </si>
  <si>
    <t>PV-005526596522</t>
  </si>
  <si>
    <t>/pi/summer.thyme-umw/rosetta_discovery_space/pth2/shapedb_results/refined_conformers/lower_res1_11_shifted/34/PV-005555597311/269/placement/res269_7F16_receptor_only_PV-005555597311_200_14.pdb</t>
  </si>
  <si>
    <t>PV-005555597311</t>
  </si>
  <si>
    <t>/pi/summer.thyme-umw/rosetta_discovery_space/pth2/shapedb_results/refined_conformers/lower_res1_11_shifted/29/PV-005575808887/269/placement/res269_7F16_receptor_only_PV-005575808887_11_7.pdb</t>
  </si>
  <si>
    <t>PV-005575808887</t>
  </si>
  <si>
    <t>/pi/summer.thyme-umw/rosetta_discovery_space/pth2/shapedb_results/refined_conformers/lower_res1_11_shifted/21/PV-005594439519/269/placement/res269_7F16_receptor_only_PV-005594439519_239_6.pdb</t>
  </si>
  <si>
    <t>PV-005594439519</t>
  </si>
  <si>
    <t>/pi/summer.thyme-umw/rosetta_discovery_space/pth2/shapedb_results/refined_conformers/lower_res1_11_shifted/15/PV-005694117860/269/placement/res269_7F16_receptor_only_PV-005694117860_159_7.pdb</t>
  </si>
  <si>
    <t>PV-005694117860</t>
  </si>
  <si>
    <t>/pi/summer.thyme-umw/rosetta_discovery_space/pth2/shapedb_results/refined_conformers/lower_res1_11_shifted/32/PV-005808267669/269/placement/res269_7F16_receptor_only_PV-005808267669_230_16.pdb</t>
  </si>
  <si>
    <t>PV-005808267669</t>
  </si>
  <si>
    <t>/pi/summer.thyme-umw/rosetta_discovery_space/pth2/shapedb_results/refined_conformers/lower_res1_11_shifted/17/PV-005837726251/269/placement/res269_7F16_receptor_only_PV-005837726251_21_9.pdb</t>
  </si>
  <si>
    <t>PV-005837726251</t>
  </si>
  <si>
    <t>/pi/summer.thyme-umw/rosetta_discovery_space/pth2/shapedb_results/refined_conformers/lower_res1_11_shifted/39/PV-005855367955/269/placement/res269_7F16_receptor_only_PV-005855367955_142_0.pdb</t>
  </si>
  <si>
    <t>PV-005855367955</t>
  </si>
  <si>
    <t>/pi/summer.thyme-umw/rosetta_discovery_space/pth2/shapedb_results/refined_conformers/lower_res1_11_shifted/39/PV-005855367962/269/placement/res269_7F16_receptor_only_PV-005855367962_142_0.pdb</t>
  </si>
  <si>
    <t>PV-005855367962</t>
  </si>
  <si>
    <t>/pi/summer.thyme-umw/rosetta_discovery_space/pth2/shapedb_results/refined_conformers/lower_res5_11_shifted/0/PV-005867694537/269/placement/res269_7F16_receptor_only_PV-005867694537_20_11.pdb</t>
  </si>
  <si>
    <t>PV-005867694537</t>
  </si>
  <si>
    <t>/pi/summer.thyme-umw/rosetta_discovery_space/pth2/shapedb_results/refined_conformers/lower_res1_11_shifted/35/PV-005977963094/269/placement/res269_7F16_receptor_only_PV-005977963094_193_2.pdb</t>
  </si>
  <si>
    <t>PV-005977963094</t>
  </si>
  <si>
    <t>/pi/summer.thyme-umw/rosetta_discovery_space/pth2/shapedb_results/refined_conformers/lower_res1_11_shifted/23/PV-006014304887/269/placement/res269_7F16_receptor_only_PV-006014304887_137_5.pdb</t>
  </si>
  <si>
    <t>PV-006014304887</t>
  </si>
  <si>
    <t>/pi/summer.thyme-umw/rosetta_discovery_space/pth2/shapedb_results/refined_conformers/lower_res5_11_shifted/0/PV-006025159867/269/placement/res269_7F16_receptor_only_PV-006025159867_129_2.pdb</t>
  </si>
  <si>
    <t>PV-006025159867</t>
  </si>
  <si>
    <t>/pi/summer.thyme-umw/rosetta_discovery_space/pth2/shapedb_results/refined_conformers/lower_res1_11_shifted/39/PV-006062182568/269/placement/res269_7F16_receptor_only_PV-006062182568_57_15.pdb</t>
  </si>
  <si>
    <t>PV-006062182568</t>
  </si>
  <si>
    <t>/pi/summer.thyme-umw/rosetta_discovery_space/pth2/shapedb_results/refined_conformers/lower_res1_11_shifted/28/PV-006092098630/269/placement/res269_7F16_receptor_only_PV-006092098630_56_6.pdb</t>
  </si>
  <si>
    <t>PV-006092098630</t>
  </si>
  <si>
    <t>/pi/summer.thyme-umw/rosetta_discovery_space/pth2/shapedb_results/refined_conformers/lower_res1_11_shifted/22/PV-006127486011/269/placement/res269_7F16_receptor_only_PV-006127486011_89_30.pdb</t>
  </si>
  <si>
    <t>PV-006127486011</t>
  </si>
  <si>
    <t>/pi/summer.thyme-umw/rosetta_discovery_space/pth2/shapedb_results/refined_conformers/lower_res5_11_shifted/10/PV-006140457674/269/placement/res269_7F16_receptor_only_PV-006140457674_66_6.pdb</t>
  </si>
  <si>
    <t>PV-006140457674</t>
  </si>
  <si>
    <t>/pi/summer.thyme-umw/rosetta_discovery_space/pth2/shapedb_results/refined_conformers/lower_res1_11_shifted/19/PV-006195831737/269/placement/res269_7F16_receptor_only_PV-006195831737_39_2.pdb</t>
  </si>
  <si>
    <t>PV-006195831737</t>
  </si>
  <si>
    <t>/pi/summer.thyme-umw/rosetta_discovery_space/pth2/shapedb_results/refined_conformers/lower_res1_11_shifted/27/PV-006208356098/269/placement/res269_7F16_receptor_only_PV-006208356098_122_7.pdb</t>
  </si>
  <si>
    <t>PV-006208356098</t>
  </si>
  <si>
    <t>/pi/summer.thyme-umw/rosetta_discovery_space/pth2/shapedb_results/refined_conformers/lower_res5_11_shifted/0/PV-006246745076/269/placement/res269_7F16_receptor_only_PV-006246745076_58_6.pdb</t>
  </si>
  <si>
    <t>PV-006246745076</t>
  </si>
  <si>
    <t>/pi/summer.thyme-umw/rosetta_discovery_space/pth2/shapedb_results/refined_conformers/lower_res5_11_shifted/3/PV-006291935055/269/placement/res269_7F16_receptor_only_PV-006291935055_157_6.pdb</t>
  </si>
  <si>
    <t>PV-006291935055</t>
  </si>
  <si>
    <t>/pi/summer.thyme-umw/rosetta_discovery_space/pth2/shapedb_results/refined_conformers/lower_res1_11_shifted/32/PV-006295834093/269/placement/res269_7F16_receptor_only_PV-006295834093_3_5.pdb</t>
  </si>
  <si>
    <t>PV-006295834093</t>
  </si>
  <si>
    <t>/pi/summer.thyme-umw/rosetta_discovery_space/pth2/shapedb_results/refined_conformers/lower_res1_11_shifted/36/PV-006335928805/269/placement/res269_7F16_receptor_only_PV-006335928805_47_3.pdb</t>
  </si>
  <si>
    <t>PV-006335928805</t>
  </si>
  <si>
    <t>/pi/summer.thyme-umw/rosetta_discovery_space/pth2/shapedb_results/refined_conformers/lower_res5_11_shifted/4/PV-006345914221/269/placement/res269_7F16_receptor_only_PV-006345914221_2_3.pdb</t>
  </si>
  <si>
    <t>PV-006345914221</t>
  </si>
  <si>
    <t>/pi/summer.thyme-umw/rosetta_discovery_space/pth2/shapedb_results/refined_conformers/lower_res1_11_shifted/37/PV-006354264879/269/placement/res269_7F16_receptor_only_PV-006354264879_66_0.pdb</t>
  </si>
  <si>
    <t>PV-006354264879</t>
  </si>
  <si>
    <t>/pi/summer.thyme-umw/rosetta_discovery_space/pth2/shapedb_results/refined_conformers/lower_res1_11_shifted/17/PV-006376240786/269/placement/res269_7F16_receptor_only_PV-006376240786_180_8.pdb</t>
  </si>
  <si>
    <t>PV-006376240786</t>
  </si>
  <si>
    <t>/pi/summer.thyme-umw/rosetta_discovery_space/pth2/shapedb_results/refined_conformers/lower_res1_11_shifted/26/PV-006427857667/269/placement/res269_7F16_receptor_only_PV-006427857667_17_11.pdb</t>
  </si>
  <si>
    <t>PV-006427857667</t>
  </si>
  <si>
    <t>/pi/summer.thyme-umw/rosetta_discovery_space/pth2/shapedb_results/refined_conformers/lower_res1_11_shifted/20/PV-006466868252/269/placement/res269_7F16_receptor_only_PV-006466868252_43_20.pdb</t>
  </si>
  <si>
    <t>PV-006466868252</t>
  </si>
  <si>
    <t>/pi/summer.thyme-umw/rosetta_discovery_space/pth2/shapedb_results/refined_conformers/lower_res5_11_shifted/6/PV-006544363960/269/placement/res269_7F16_receptor_only_PV-006544363960_162_10.pdb</t>
  </si>
  <si>
    <t>PV-006544363960</t>
  </si>
  <si>
    <t>/pi/summer.thyme-umw/rosetta_discovery_space/pth2/shapedb_results/refined_conformers/lower_res1_11_shifted/17/PV-006558380500/269/placement/res269_7F16_receptor_only_PV-006558380500_24_1.pdb</t>
  </si>
  <si>
    <t>PV-006558380500</t>
  </si>
  <si>
    <t>/pi/summer.thyme-umw/rosetta_discovery_space/pth2/shapedb_results/refined_conformers/lower_res1_11_shifted/21/PV-006574172275/269/placement/res269_7F16_receptor_only_PV-006574172275_162_5.pdb</t>
  </si>
  <si>
    <t>PV-006574172275</t>
  </si>
  <si>
    <t>/pi/summer.thyme-umw/rosetta_discovery_space/pth2/shapedb_results/refined_conformers/lower_res1_11_shifted/28/PV-006663908133/269/placement/res269_7F16_receptor_only_PV-006663908133_115_0.pdb</t>
  </si>
  <si>
    <t>PV-006663908133</t>
  </si>
  <si>
    <t>/pi/summer.thyme-umw/rosetta_discovery_space/pth2/shapedb_results/refined_conformers/lower_res1_11_shifted/16/PV-006677442633/269/placement/res269_7F16_receptor_only_PV-006677442633_219_53.pdb</t>
  </si>
  <si>
    <t>PV-006677442633</t>
  </si>
  <si>
    <t>/pi/summer.thyme-umw/rosetta_discovery_space/pth2/shapedb_results/refined_conformers/lower_res1_11_shifted/36/PV-006685418913/269/placement/res269_7F16_receptor_only_PV-006685418913_14_10.pdb</t>
  </si>
  <si>
    <t>PV-006685418913</t>
  </si>
  <si>
    <t>/pi/summer.thyme-umw/rosetta_discovery_space/pth2/shapedb_results/refined_conformers/lower_res1_11_shifted/28/Z1022784750/269/placement/res269_7F16_receptor_only_Z1022784750_150_92.pdb</t>
  </si>
  <si>
    <t>Z1022784750</t>
  </si>
  <si>
    <t>/pi/summer.thyme-umw/rosetta_discovery_space/pth2/shapedb_results/refined_conformers/lower_res1_11_shifted/31/Z1023657582/269/placement/res269_7F16_receptor_only_Z1023657582_99_27.pdb</t>
  </si>
  <si>
    <t>Z1023657582</t>
  </si>
  <si>
    <t>/pi/summer.thyme-umw/rosetta_discovery_space/pth2/shapedb_results/refined_conformers/lower_res5_11_shifted/3/Z1024101920/269/placement/res269_7F16_receptor_only_Z1024101920_7_1.pdb</t>
  </si>
  <si>
    <t>Z1024101920</t>
  </si>
  <si>
    <t>/pi/summer.thyme-umw/rosetta_discovery_space/pth2/shapedb_results/refined_conformers/lower_res1_11_shifted/38/Z1028057700/269/placement/res269_7F16_receptor_only_Z1028057700_26_1.pdb</t>
  </si>
  <si>
    <t>Z1028057700</t>
  </si>
  <si>
    <t>/pi/summer.thyme-umw/rosetta_discovery_space/pth2/shapedb_results/refined_conformers/lower_res1_11_shifted/17/Z1028300092/269/placement/res269_7F16_receptor_only_Z1028300092_39_8.pdb</t>
  </si>
  <si>
    <t>Z1028300092</t>
  </si>
  <si>
    <t>/pi/summer.thyme-umw/rosetta_discovery_space/pth2/shapedb_results/refined_conformers/lower_res1_11_shifted/60/Z1082205856/269/placement/res269_7F16_receptor_only_Z1082205856_105_31.pdb</t>
  </si>
  <si>
    <t>Z1082205856</t>
  </si>
  <si>
    <t>/pi/summer.thyme-umw/rosetta_discovery_space/pth2/shapedb_results/refined_conformers/lower_res1_11_shifted/31/Z1097376996/269/placement/res269_7F16_receptor_only_Z1097376996_219_14.pdb</t>
  </si>
  <si>
    <t>Z1097376996</t>
  </si>
  <si>
    <t>/pi/summer.thyme-umw/rosetta_discovery_space/pth2/shapedb_results/refined_conformers/lower_res1_11_shifted/14/Z1104676822/269/placement/res269_7F16_receptor_only_Z1104676822_1_36.pdb</t>
  </si>
  <si>
    <t>Z1104676822</t>
  </si>
  <si>
    <t>/pi/summer.thyme-umw/rosetta_discovery_space/pth2/shapedb_results/refined_conformers/lower_res1_11_shifted/31/Z1117460976/269/placement/res269_7F16_receptor_only_Z1117460976_182_9.pdb</t>
  </si>
  <si>
    <t>Z1117460976</t>
  </si>
  <si>
    <t>/pi/summer.thyme-umw/rosetta_discovery_space/pth2/shapedb_results/refined_conformers/lower_res1_11_shifted/11/Z1126824060/269/placement/res269_7F16_receptor_only_Z1126824060_53_30.pdb</t>
  </si>
  <si>
    <t>Z1126824060</t>
  </si>
  <si>
    <t>/pi/summer.thyme-umw/rosetta_discovery_space/pth2/shapedb_results/refined_conformers/lower_res1_11_shifted/28/Z1129967663/269/placement/res269_7F16_receptor_only_Z1129967663_129_17.pdb</t>
  </si>
  <si>
    <t>Z1129967663</t>
  </si>
  <si>
    <t>/pi/summer.thyme-umw/rosetta_discovery_space/pth2/shapedb_results/refined_conformers/lower_res1_11_shifted/22/Z1130695142/269/placement/res269_7F16_receptor_only_Z1130695142_189_25.pdb</t>
  </si>
  <si>
    <t>Z1130695142</t>
  </si>
  <si>
    <t>/pi/summer.thyme-umw/rosetta_discovery_space/pth2/shapedb_results/refined_conformers/lower_res5_11_shifted/4/Z1138226869/269/placement/res269_7F16_receptor_only_Z1138226869_169_3.pdb</t>
  </si>
  <si>
    <t>Z1138226869</t>
  </si>
  <si>
    <t>/pi/summer.thyme-umw/rosetta_discovery_space/pth2/shapedb_results/refined_conformers/lower_res1_11_shifted/20/Z1144367757/269/placement/res269_7F16_receptor_only_Z1144367757_45_0.pdb</t>
  </si>
  <si>
    <t>Z1144367757</t>
  </si>
  <si>
    <t>/pi/summer.thyme-umw/rosetta_discovery_space/pth2/shapedb_results/refined_conformers/lower_res1_11_shifted/28/Z1147592763/269/placement/res269_7F16_receptor_only_Z1147592763_192_44.pdb</t>
  </si>
  <si>
    <t>Z1147592763</t>
  </si>
  <si>
    <t>/pi/summer.thyme-umw/rosetta_discovery_space/pth2/shapedb_results/refined_conformers/lower_res1_11_shifted/19/Z1151913854/269/placement/res269_7F16_receptor_only_Z1151913854_106_3.pdb</t>
  </si>
  <si>
    <t>Z1151913854</t>
  </si>
  <si>
    <t>/pi/summer.thyme-umw/rosetta_discovery_space/pth2/shapedb_results/refined_conformers/lower_res5_11_shifted/8/Z1176930828/269/placement/res269_7F16_receptor_only_Z1176930828_95_22.pdb</t>
  </si>
  <si>
    <t>Z1176930828</t>
  </si>
  <si>
    <t>/pi/summer.thyme-umw/rosetta_discovery_space/pth2/shapedb_results/refined_conformers/lower_res1_11_shifted/12/Z1177133487/269/placement/res269_7F16_receptor_only_Z1177133487_161_3.pdb</t>
  </si>
  <si>
    <t>Z1177133487</t>
  </si>
  <si>
    <t>/pi/summer.thyme-umw/rosetta_discovery_space/pth2/shapedb_results/refined_conformers/lower_res1_11_shifted/16/Z1188929785/269/placement/res269_7F16_receptor_only_Z1188929785_74_59.pdb</t>
  </si>
  <si>
    <t>Z1188929785</t>
  </si>
  <si>
    <t>/pi/summer.thyme-umw/rosetta_discovery_space/pth2/shapedb_results/refined_conformers/lower_res1_11_shifted/12/Z1193165232/269/placement/res269_7F16_receptor_only_Z1193165232_74_36.pdb</t>
  </si>
  <si>
    <t>Z1193165232</t>
  </si>
  <si>
    <t>/pi/summer.thyme-umw/rosetta_discovery_space/pth2/shapedb_results/refined_conformers/lower_res1_11_shifted/23/Z1207644720/269/placement/res269_7F16_receptor_only_Z1207644720_172_2.pdb</t>
  </si>
  <si>
    <t>Z1207644720</t>
  </si>
  <si>
    <t>/pi/summer.thyme-umw/rosetta_discovery_space/pth2/shapedb_results/refined_conformers/lower_res1_11_shifted/26/Z1212647042/269/placement/res269_7F16_receptor_only_Z1212647042_11_16.pdb</t>
  </si>
  <si>
    <t>Z1212647042</t>
  </si>
  <si>
    <t>/pi/summer.thyme-umw/rosetta_discovery_space/pth2/shapedb_results/refined_conformers/lower_res1_11_shifted/24/Z1228559724/269/placement/res269_7F16_receptor_only_Z1228559724_118_0.pdb</t>
  </si>
  <si>
    <t>Z1228559724</t>
  </si>
  <si>
    <t>/pi/summer.thyme-umw/rosetta_discovery_space/pth2/shapedb_results/refined_conformers/lower_res5_11_shifted/4/Z1232925017/269/placement/res269_7F16_receptor_only_Z1232925017_118_23.pdb</t>
  </si>
  <si>
    <t>Z1232925017</t>
  </si>
  <si>
    <t>/pi/summer.thyme-umw/rosetta_discovery_space/pth2/shapedb_results/refined_conformers/lower_res1_11_shifted/3/Z1233792658/269/placement/res269_7F16_receptor_only_Z1233792658_13_5.pdb</t>
  </si>
  <si>
    <t>Z1233792658</t>
  </si>
  <si>
    <t>/pi/summer.thyme-umw/rosetta_discovery_space/pth2/shapedb_results/refined_conformers/lower_res1_11_shifted/14/Z1239519500/269/placement/res269_7F16_receptor_only_Z1239519500_46_0.pdb</t>
  </si>
  <si>
    <t>Z1239519500</t>
  </si>
  <si>
    <t>/pi/summer.thyme-umw/rosetta_discovery_space/pth2/shapedb_results/refined_conformers/lower_res5_11_shifted/7/Z1239726721/269/placement/res269_7F16_receptor_only_Z1239726721_188_2.pdb</t>
  </si>
  <si>
    <t>Z1239726721</t>
  </si>
  <si>
    <t>/pi/summer.thyme-umw/rosetta_discovery_space/pth2/shapedb_results/refined_conformers/lower_res1_11_shifted/33/Z1254403730/269/placement/res269_7F16_receptor_only_Z1254403730_109_6.pdb</t>
  </si>
  <si>
    <t>Z1254403730</t>
  </si>
  <si>
    <t>/pi/summer.thyme-umw/rosetta_discovery_space/pth2/shapedb_results/refined_conformers/lower_res1_11_shifted/22/Z1265208161/269/placement/res269_7F16_receptor_only_Z1265208161_141_34.pdb</t>
  </si>
  <si>
    <t>Z1265208161</t>
  </si>
  <si>
    <t>/pi/summer.thyme-umw/rosetta_discovery_space/pth2/shapedb_results/refined_conformers/lower_res1_11_shifted/38/Z1265598610/269/placement/res269_7F16_receptor_only_Z1265598610_104_30.pdb</t>
  </si>
  <si>
    <t>Z1265598610</t>
  </si>
  <si>
    <t>/pi/summer.thyme-umw/rosetta_discovery_space/pth2/shapedb_results/refined_conformers/lower_res1_11_shifted/38/Z1275984583/269/placement/res269_7F16_receptor_only_Z1275984583_17_3.pdb</t>
  </si>
  <si>
    <t>Z1275984583</t>
  </si>
  <si>
    <t>/pi/summer.thyme-umw/rosetta_discovery_space/pth2/shapedb_results/refined_conformers/lower_res1_11_shifted/30/Z1276841699/269/placement/res269_7F16_receptor_only_Z1276841699_144_8.pdb</t>
  </si>
  <si>
    <t>Z1276841699</t>
  </si>
  <si>
    <t>/pi/summer.thyme-umw/rosetta_discovery_space/pth2/shapedb_results/refined_conformers/lower_res5_11_shifted/4/Z1336999503/269/placement/res269_7F16_receptor_only_Z1336999503_20_21.pdb</t>
  </si>
  <si>
    <t>Z1336999503</t>
  </si>
  <si>
    <t>/pi/summer.thyme-umw/rosetta_discovery_space/pth2/shapedb_results/refined_conformers/lower_res1_11_shifted/29/Z1347903981/269/placement/res269_7F16_receptor_only_Z1347903981_51_18.pdb</t>
  </si>
  <si>
    <t>Z1347903981</t>
  </si>
  <si>
    <t>/pi/summer.thyme-umw/rosetta_discovery_space/pth2/shapedb_results/refined_conformers/lower_res1_11_shifted/25/Z1363993438/269/placement/res269_7F16_receptor_only_Z1363993438_110_0.pdb</t>
  </si>
  <si>
    <t>Z1363993438</t>
  </si>
  <si>
    <t>/pi/summer.thyme-umw/rosetta_discovery_space/pth2/shapedb_results/refined_conformers/lower_res1_11_shifted/28/Z1376527916/269/placement/res269_7F16_receptor_only_Z1376527916_87_1.pdb</t>
  </si>
  <si>
    <t>Z1376527916</t>
  </si>
  <si>
    <t>/pi/summer.thyme-umw/rosetta_discovery_space/pth2/shapedb_results/refined_conformers/lower_res1_11_shifted/17/Z1390526548/269/placement/res269_7F16_receptor_only_Z1390526548_139_18.pdb</t>
  </si>
  <si>
    <t>Z1390526548</t>
  </si>
  <si>
    <t>/pi/summer.thyme-umw/rosetta_discovery_space/pth2/shapedb_results/refined_conformers/lower_res1_11_shifted/26/Z1407999873/269/placement/res269_7F16_receptor_only_Z1407999873_93_12.pdb</t>
  </si>
  <si>
    <t>Z1407999873</t>
  </si>
  <si>
    <t>/pi/summer.thyme-umw/rosetta_discovery_space/pth2/shapedb_results/refined_conformers/lower_res1_11_shifted/28/Z1417401080/269/placement/res269_7F16_receptor_only_Z1417401080_71_30.pdb</t>
  </si>
  <si>
    <t>Z1417401080</t>
  </si>
  <si>
    <t>/pi/summer.thyme-umw/rosetta_discovery_space/pth2/shapedb_results/refined_conformers/lower_res1_11_shifted/19/Z1419062145/269/placement/res269_7F16_receptor_only_Z1419062145_104_2.pdb</t>
  </si>
  <si>
    <t>Z1419062145</t>
  </si>
  <si>
    <t>/pi/summer.thyme-umw/rosetta_discovery_space/pth2/shapedb_results/refined_conformers/lower_res1_11_shifted/32/Z1420063707/269/placement/res269_7F16_receptor_only_Z1420063707_1_10.pdb</t>
  </si>
  <si>
    <t>Z1420063707</t>
  </si>
  <si>
    <t>/pi/summer.thyme-umw/rosetta_discovery_space/pth2/shapedb_results/refined_conformers/lower_res5_11_shifted/5/Z1440861653/269/placement/res269_7F16_receptor_only_Z1440861653_118_0.pdb</t>
  </si>
  <si>
    <t>Z1440861653</t>
  </si>
  <si>
    <t>/pi/summer.thyme-umw/rosetta_discovery_space/pth2/shapedb_results/refined_conformers/lower_res1_11_shifted/12/Z1447269964/269/placement/res269_7F16_receptor_only_Z1447269964_125_13.pdb</t>
  </si>
  <si>
    <t>Z1447269964</t>
  </si>
  <si>
    <t>/pi/summer.thyme-umw/rosetta_discovery_space/pth2/shapedb_results/refined_conformers/lower_res1_11_shifted/33/Z1447718091/269/placement/res269_7F16_receptor_only_Z1447718091_113_13.pdb</t>
  </si>
  <si>
    <t>Z1447718091</t>
  </si>
  <si>
    <t>/pi/summer.thyme-umw/rosetta_discovery_space/pth2/shapedb_results/refined_conformers/lower_res1_11_shifted/24/Z1452698995/269/placement/res269_7F16_receptor_only_Z1452698995_159_14.pdb</t>
  </si>
  <si>
    <t>Z1452698995</t>
  </si>
  <si>
    <t>/pi/summer.thyme-umw/rosetta_discovery_space/pth2/shapedb_results/refined_conformers/lower_res1_11_shifted/20/Z1461575538/269/placement/res269_7F16_receptor_only_Z1461575538_206_1.pdb</t>
  </si>
  <si>
    <t>Z1461575538</t>
  </si>
  <si>
    <t>/pi/summer.thyme-umw/rosetta_discovery_space/pth2/shapedb_results/refined_conformers/lower_res1_11_shifted/12/Z1473197885/269/placement/res269_7F16_receptor_only_Z1473197885_18_5.pdb</t>
  </si>
  <si>
    <t>Z1473197885</t>
  </si>
  <si>
    <t>/pi/summer.thyme-umw/rosetta_discovery_space/pth2/shapedb_results/refined_conformers/lower_res1_11_shifted/19/Z1482422171/269/placement/res269_7F16_receptor_only_Z1482422171_53_19.pdb</t>
  </si>
  <si>
    <t>Z1482422171</t>
  </si>
  <si>
    <t>/pi/summer.thyme-umw/rosetta_discovery_space/pth2/shapedb_results/refined_conformers/lower_res5_11_shifted/7/Z1495348829/269/placement/res269_7F16_receptor_only_Z1495348829_53_2.pdb</t>
  </si>
  <si>
    <t>Z1495348829</t>
  </si>
  <si>
    <t>/pi/summer.thyme-umw/rosetta_discovery_space/pth2/shapedb_results/refined_conformers/lower_res1_11_shifted/11/Z1498662450/269/placement/res269_7F16_receptor_only_Z1498662450_113_12.pdb</t>
  </si>
  <si>
    <t>Z1498662450</t>
  </si>
  <si>
    <t>/pi/summer.thyme-umw/rosetta_discovery_space/pth2/shapedb_results/refined_conformers/lower_res1_11_shifted/12/Z1506535049/269/placement/res269_7F16_receptor_only_Z1506535049_19_9.pdb</t>
  </si>
  <si>
    <t>Z1506535049</t>
  </si>
  <si>
    <t>/pi/summer.thyme-umw/rosetta_discovery_space/pth2/shapedb_results/refined_conformers/lower_res1_11_shifted/22/Z1515129422/269/placement/res269_7F16_receptor_only_Z1515129422_43_28.pdb</t>
  </si>
  <si>
    <t>Z1515129422</t>
  </si>
  <si>
    <t>/pi/summer.thyme-umw/rosetta_discovery_space/pth2/shapedb_results/refined_conformers/lower_res5_11_shifted/9/Z1537428459/269/placement/res269_7F16_receptor_only_Z1537428459_137_7.pdb</t>
  </si>
  <si>
    <t>Z1537428459</t>
  </si>
  <si>
    <t>/pi/summer.thyme-umw/rosetta_discovery_space/pth2/shapedb_results/refined_conformers/lower_res1_11_shifted/18/Z1542289455/269/placement/res269_7F16_receptor_only_Z1542289455_168_5.pdb</t>
  </si>
  <si>
    <t>Z1542289455</t>
  </si>
  <si>
    <t>/pi/summer.thyme-umw/rosetta_discovery_space/pth2/shapedb_results/refined_conformers/lower_res1_11_shifted/18/Z1560053836/269/placement/res269_7F16_receptor_only_Z1560053836_155_26.pdb</t>
  </si>
  <si>
    <t>Z1560053836</t>
  </si>
  <si>
    <t>/pi/summer.thyme-umw/rosetta_discovery_space/pth2/shapedb_results/refined_conformers/lower_res1_11_shifted/30/Z1563626220/269/placement/res269_7F16_receptor_only_Z1563626220_116_1.pdb</t>
  </si>
  <si>
    <t>Z1563626220</t>
  </si>
  <si>
    <t>/pi/summer.thyme-umw/rosetta_discovery_space/pth2/shapedb_results/refined_conformers/lower_res1_11_shifted/27/Z1563724540/269/placement/res269_7F16_receptor_only_Z1563724540_31_3.pdb</t>
  </si>
  <si>
    <t>Z1563724540</t>
  </si>
  <si>
    <t>/pi/summer.thyme-umw/rosetta_discovery_space/pth2/shapedb_results/refined_conformers/lower_res1_11_shifted/11/Z1569561651/269/placement/res269_7F16_receptor_only_Z1569561651_9_15.pdb</t>
  </si>
  <si>
    <t>Z1569561651</t>
  </si>
  <si>
    <t>/pi/summer.thyme-umw/rosetta_discovery_space/pth2/shapedb_results/refined_conformers/lower_res5_11_shifted/2/Z1581209458/269/placement/res269_7F16_receptor_only_Z1581209458_162_14.pdb</t>
  </si>
  <si>
    <t>Z1581209458</t>
  </si>
  <si>
    <t>/pi/summer.thyme-umw/rosetta_discovery_space/pth2/shapedb_results/refined_conformers/lower_res1_11_shifted/35/Z1583660532/269/placement/res269_7F16_receptor_only_Z1583660532_176_1.pdb</t>
  </si>
  <si>
    <t>Z1583660532</t>
  </si>
  <si>
    <t>/pi/summer.thyme-umw/rosetta_discovery_space/pth2/shapedb_results/refined_conformers/lower_res1_11_shifted/56/Z1589159202/269/placement/res269_7F16_receptor_only_Z1589159202_118_2.pdb</t>
  </si>
  <si>
    <t>Z1589159202</t>
  </si>
  <si>
    <t>/pi/summer.thyme-umw/rosetta_discovery_space/pth2/shapedb_results/refined_conformers/lower_res1_11_shifted/31/Z1627050122/269/placement/res269_7F16_receptor_only_Z1627050122_171_5.pdb</t>
  </si>
  <si>
    <t>Z1627050122</t>
  </si>
  <si>
    <t>/pi/summer.thyme-umw/rosetta_discovery_space/pth2/shapedb_results/refined_conformers/lower_res1_11_shifted/15/Z1650832471/269/placement/res269_7F16_receptor_only_Z1650832471_46_12.pdb</t>
  </si>
  <si>
    <t>Z1650832471</t>
  </si>
  <si>
    <t>/pi/summer.thyme-umw/rosetta_discovery_space/pth2/shapedb_results/refined_conformers/lower_res1_11_shifted/24/Z167970426/269/placement/res269_7F16_receptor_only_Z167970426_79_16.pdb</t>
  </si>
  <si>
    <t>Z167970426</t>
  </si>
  <si>
    <t>/pi/summer.thyme-umw/rosetta_discovery_space/pth2/shapedb_results/refined_conformers/lower_res1_11_shifted/20/Z1699563449/269/placement/res269_7F16_receptor_only_Z1699563449_11_20.pdb</t>
  </si>
  <si>
    <t>Z1699563449</t>
  </si>
  <si>
    <t>/pi/summer.thyme-umw/rosetta_discovery_space/pth2/shapedb_results/refined_conformers/lower_res5_11_shifted/7/Z1703992938/269/placement/res269_7F16_receptor_only_Z1703992938_14_22.pdb</t>
  </si>
  <si>
    <t>Z1703992938</t>
  </si>
  <si>
    <t>/pi/summer.thyme-umw/rosetta_discovery_space/pth2/shapedb_results/refined_conformers/lower_res5_11_shifted/6/Z1733664930/269/placement/res269_7F16_receptor_only_Z1733664930_68_27.pdb</t>
  </si>
  <si>
    <t>Z1733664930</t>
  </si>
  <si>
    <t>/pi/summer.thyme-umw/rosetta_discovery_space/pth2/shapedb_results/refined_conformers/lower_res5_11_shifted/8/Z1763706889/269/placement/res269_7F16_receptor_only_Z1763706889_170_22.pdb</t>
  </si>
  <si>
    <t>Z1763706889</t>
  </si>
  <si>
    <t>/pi/summer.thyme-umw/rosetta_discovery_space/pth2/shapedb_results/refined_conformers/lower_res1_11_shifted/23/Z1765715265/269/placement/res269_7F16_receptor_only_Z1765715265_78_107.pdb</t>
  </si>
  <si>
    <t>Z1765715265</t>
  </si>
  <si>
    <t>/pi/summer.thyme-umw/rosetta_discovery_space/pth2/shapedb_results/refined_conformers/lower_res1_11_shifted/28/Z1769597175/269/placement/res269_7F16_receptor_only_Z1769597175_107_8.pdb</t>
  </si>
  <si>
    <t>Z1769597175</t>
  </si>
  <si>
    <t>/pi/summer.thyme-umw/rosetta_discovery_space/pth2/shapedb_results/refined_conformers/lower_res1_11_shifted/34/Z1779982868/269/placement/res269_7F16_receptor_only_Z1779982868_108_1.pdb</t>
  </si>
  <si>
    <t>Z1779982868</t>
  </si>
  <si>
    <t>/pi/summer.thyme-umw/rosetta_discovery_space/pth2/shapedb_results/refined_conformers/lower_res1_11_shifted/23/Z1816876241/269/placement/res269_7F16_receptor_only_Z1816876241_74_32.pdb</t>
  </si>
  <si>
    <t>Z1816876241</t>
  </si>
  <si>
    <t>/pi/summer.thyme-umw/rosetta_discovery_space/pth2/shapedb_results/refined_conformers/lower_res1_11_shifted/28/Z18173568/269/placement/res269_7F16_receptor_only_Z18173568_26_0.pdb</t>
  </si>
  <si>
    <t>Z18173568</t>
  </si>
  <si>
    <t>/pi/summer.thyme-umw/rosetta_discovery_space/pth2/shapedb_results/refined_conformers/lower_res1_11_shifted/37/Z1829469664/269/placement/res269_7F16_receptor_only_Z1829469664_8_2.pdb</t>
  </si>
  <si>
    <t>Z1829469664</t>
  </si>
  <si>
    <t>/pi/summer.thyme-umw/rosetta_discovery_space/pth2/shapedb_results/refined_conformers/lower_res1_11_shifted/19/Z1829523119/269/placement/res269_7F16_receptor_only_Z1829523119_103_4.pdb</t>
  </si>
  <si>
    <t>Z1829523119</t>
  </si>
  <si>
    <t>/pi/summer.thyme-umw/rosetta_discovery_space/pth2/shapedb_results/refined_conformers/lower_res1_11_shifted/32/Z1834075637/269/placement/res269_7F16_receptor_only_Z1834075637_80_16.pdb</t>
  </si>
  <si>
    <t>Z1834075637</t>
  </si>
  <si>
    <t>/pi/summer.thyme-umw/rosetta_discovery_space/pth2/shapedb_results/refined_conformers/lower_res1_11_shifted/18/Z1840451279/269/placement/res269_7F16_receptor_only_Z1840451279_48_1.pdb</t>
  </si>
  <si>
    <t>Z1840451279</t>
  </si>
  <si>
    <t>/pi/summer.thyme-umw/rosetta_discovery_space/pth2/shapedb_results/refined_conformers/lower_res1_11_shifted/27/Z1841418795/269/placement/res269_7F16_receptor_only_Z1841418795_61_45.pdb</t>
  </si>
  <si>
    <t>Z1841418795</t>
  </si>
  <si>
    <t>/pi/summer.thyme-umw/rosetta_discovery_space/pth2/shapedb_results/refined_conformers/lower_res1_11_shifted/34/Z1866609786/269/placement/res269_7F16_receptor_only_Z1866609786_120_20.pdb</t>
  </si>
  <si>
    <t>Z1866609786</t>
  </si>
  <si>
    <t>/pi/summer.thyme-umw/rosetta_discovery_space/pth2/shapedb_results/refined_conformers/lower_res1_11_shifted/20/Z1885395964/269/placement/res269_7F16_receptor_only_Z1885395964_86_4.pdb</t>
  </si>
  <si>
    <t>Z1885395964</t>
  </si>
  <si>
    <t>/pi/summer.thyme-umw/rosetta_discovery_space/pth2/shapedb_results/refined_conformers/lower_res1_11_shifted/18/Z1887845265/269/placement/res269_7F16_receptor_only_Z1887845265_158_10.pdb</t>
  </si>
  <si>
    <t>Z1887845265</t>
  </si>
  <si>
    <t>/pi/summer.thyme-umw/rosetta_discovery_space/pth2/shapedb_results/refined_conformers/lower_res1_11_shifted/17/Z1888454611/269/placement/res269_7F16_receptor_only_Z1888454611_176_19.pdb</t>
  </si>
  <si>
    <t>Z1888454611</t>
  </si>
  <si>
    <t>/pi/summer.thyme-umw/rosetta_discovery_space/pth2/shapedb_results/refined_conformers/lower_res1_11_shifted/29/Z1893909896/269/placement/res269_7F16_receptor_only_Z1893909896_246_11.pdb</t>
  </si>
  <si>
    <t>Z1893909896</t>
  </si>
  <si>
    <t>/pi/summer.thyme-umw/rosetta_discovery_space/pth2/shapedb_results/refined_conformers/lower_res1_11_shifted/16/Z1897442168/269/placement/res269_7F16_receptor_only_Z1897442168_36_11.pdb</t>
  </si>
  <si>
    <t>Z1897442168</t>
  </si>
  <si>
    <t>/pi/summer.thyme-umw/rosetta_discovery_space/pth2/shapedb_results/refined_conformers/lower_res5_11_shifted/5/Z1897975115/269/placement/res269_7F16_receptor_only_Z1897975115_68_8.pdb</t>
  </si>
  <si>
    <t>Z1897975115</t>
  </si>
  <si>
    <t>/pi/summer.thyme-umw/rosetta_discovery_space/pth2/shapedb_results/refined_conformers/lower_res1_11_shifted/30/Z1900917650/269/placement/res269_7F16_receptor_only_Z1900917650_36_8.pdb</t>
  </si>
  <si>
    <t>Z1900917650</t>
  </si>
  <si>
    <t>/pi/summer.thyme-umw/rosetta_discovery_space/pth2/shapedb_results/refined_conformers/lower_res1_11_shifted/21/Z1903828569/269/placement/res269_7F16_receptor_only_Z1903828569_2_10.pdb</t>
  </si>
  <si>
    <t>Z1903828569</t>
  </si>
  <si>
    <t>/pi/summer.thyme-umw/rosetta_discovery_space/pth2/shapedb_results/refined_conformers/lower_res1_11_shifted/12/Z1911470152/269/placement/res269_7F16_receptor_only_Z1911470152_148_8.pdb</t>
  </si>
  <si>
    <t>Z1911470152</t>
  </si>
  <si>
    <t>/pi/summer.thyme-umw/rosetta_discovery_space/pth2/shapedb_results/refined_conformers/lower_res1_11_shifted/21/Z1919761013/269/placement/res269_7F16_receptor_only_Z1919761013_15_1.pdb</t>
  </si>
  <si>
    <t>Z1919761013</t>
  </si>
  <si>
    <t>/pi/summer.thyme-umw/rosetta_discovery_space/pth2/shapedb_results/refined_conformers/lower_res1_11_shifted/35/Z1928894584/269/placement/res269_7F16_receptor_only_Z1928894584_81_32.pdb</t>
  </si>
  <si>
    <t>Z1928894584</t>
  </si>
  <si>
    <t>/pi/summer.thyme-umw/rosetta_discovery_space/pth2/shapedb_results/refined_conformers/lower_res1_11_shifted/14/Z1932594526/269/placement/res269_7F16_receptor_only_Z1932594526_73_0.pdb</t>
  </si>
  <si>
    <t>Z1932594526</t>
  </si>
  <si>
    <t>/pi/summer.thyme-umw/rosetta_discovery_space/pth2/shapedb_results/refined_conformers/lower_res1_11_shifted/29/Z1967069160/269/placement/res269_7F16_receptor_only_Z1967069160_38_3.pdb</t>
  </si>
  <si>
    <t>Z1967069160</t>
  </si>
  <si>
    <t>/pi/summer.thyme-umw/rosetta_discovery_space/pth2/shapedb_results/refined_conformers/lower_res1_11_shifted/14/Z1969474217/269/placement/res269_7F16_receptor_only_Z1969474217_139_11.pdb</t>
  </si>
  <si>
    <t>Z1969474217</t>
  </si>
  <si>
    <t>/pi/summer.thyme-umw/rosetta_discovery_space/pth2/shapedb_results/refined_conformers/lower_res1_11_shifted/13/Z1983118913/269/placement/res269_7F16_receptor_only_Z1983118913_70_3.pdb</t>
  </si>
  <si>
    <t>Z1983118913</t>
  </si>
  <si>
    <t>/pi/summer.thyme-umw/rosetta_discovery_space/pth2/shapedb_results/refined_conformers/lower_res1_11_shifted/18/Z2017678083/269/placement/res269_7F16_receptor_only_Z2017678083_194_15.pdb</t>
  </si>
  <si>
    <t>Z2017678083</t>
  </si>
  <si>
    <t>/pi/summer.thyme-umw/rosetta_discovery_space/pth2/shapedb_results/refined_conformers/lower_res5_11_shifted/1/Z2025257055/269/placement/res269_7F16_receptor_only_Z2025257055_6_14.pdb</t>
  </si>
  <si>
    <t>Z2025257055</t>
  </si>
  <si>
    <t>/pi/summer.thyme-umw/rosetta_discovery_space/pth2/shapedb_results/refined_conformers/lower_res1_11_shifted/16/Z2043320969/269/placement/res269_7F16_receptor_only_Z2043320969_57_18.pdb</t>
  </si>
  <si>
    <t>Z2043320969</t>
  </si>
  <si>
    <t>/pi/summer.thyme-umw/rosetta_discovery_space/pth2/shapedb_results/refined_conformers/lower_res1_11_shifted/19/Z2054873980/269/placement/res269_7F16_receptor_only_Z2054873980_105_3.pdb</t>
  </si>
  <si>
    <t>Z2054873980</t>
  </si>
  <si>
    <t>/pi/summer.thyme-umw/rosetta_discovery_space/pth2/shapedb_results/refined_conformers/lower_res5_11_shifted/10/Z2066300592/269/placement/res269_7F16_receptor_only_Z2066300592_9_0.pdb</t>
  </si>
  <si>
    <t>Z2066300592</t>
  </si>
  <si>
    <t>/pi/summer.thyme-umw/rosetta_discovery_space/pth2/shapedb_results/refined_conformers/lower_res1_11_shifted/18/Z2082287808/269/placement/res269_7F16_receptor_only_Z2082287808_137_10.pdb</t>
  </si>
  <si>
    <t>Z2082287808</t>
  </si>
  <si>
    <t>/pi/summer.thyme-umw/rosetta_discovery_space/pth2/shapedb_results/refined_conformers/lower_res1_11_shifted/42/Z2091277673/269/placement/res269_7F16_receptor_only_Z2091277673_81_22.pdb</t>
  </si>
  <si>
    <t>Z2091277673</t>
  </si>
  <si>
    <t>/pi/summer.thyme-umw/rosetta_discovery_space/pth2/shapedb_results/refined_conformers/lower_res1_11_shifted/14/Z2091671041/269/placement/res269_7F16_receptor_only_Z2091671041_24_3.pdb</t>
  </si>
  <si>
    <t>Z2091671041</t>
  </si>
  <si>
    <t>/pi/summer.thyme-umw/rosetta_discovery_space/pth2/shapedb_results/refined_conformers/lower_res1_11_shifted/33/Z2172203833/269/placement/res269_7F16_receptor_only_Z2172203833_88_36.pdb</t>
  </si>
  <si>
    <t>Z2172203833</t>
  </si>
  <si>
    <t>/pi/summer.thyme-umw/rosetta_discovery_space/pth2/shapedb_results/refined_conformers/lower_res1_11_shifted/12/Z2174169677/269/placement/res269_7F16_receptor_only_Z2174169677_38_5.pdb</t>
  </si>
  <si>
    <t>Z2174169677</t>
  </si>
  <si>
    <t>/pi/summer.thyme-umw/rosetta_discovery_space/pth2/shapedb_results/refined_conformers/lower_res1_11_shifted/27/Z2175728935/269/placement/res269_7F16_receptor_only_Z2175728935_132_46.pdb</t>
  </si>
  <si>
    <t>Z2175728935</t>
  </si>
  <si>
    <t>/pi/summer.thyme-umw/rosetta_discovery_space/pth2/shapedb_results/refined_conformers/lower_res1_11_shifted/33/Z2200679055/269/placement/res269_7F16_receptor_only_Z2200679055_93_1.pdb</t>
  </si>
  <si>
    <t>Z2200679055</t>
  </si>
  <si>
    <t>/pi/summer.thyme-umw/rosetta_discovery_space/pth2/shapedb_results/refined_conformers/lower_res1_11_shifted/30/Z2202668502/269/placement/res269_7F16_receptor_only_Z2202668502_106_2.pdb</t>
  </si>
  <si>
    <t>Z2202668502</t>
  </si>
  <si>
    <t>/pi/summer.thyme-umw/rosetta_discovery_space/pth2/shapedb_results/refined_conformers/lower_res1_11_shifted/18/Z2209147356/269/placement/res269_7F16_receptor_only_Z2209147356_158_8.pdb</t>
  </si>
  <si>
    <t>Z2209147356</t>
  </si>
  <si>
    <t>/pi/summer.thyme-umw/rosetta_discovery_space/pth2/shapedb_results/refined_conformers/lower_res5_11_shifted/6/Z2213033819/269/placement/res269_7F16_receptor_only_Z2213033819_173_15.pdb</t>
  </si>
  <si>
    <t>Z2213033819</t>
  </si>
  <si>
    <t>/pi/summer.thyme-umw/rosetta_discovery_space/pth2/shapedb_results/refined_conformers/lower_res1_11_shifted/25/Z221459558/269/placement/res269_7F16_receptor_only_Z221459558_216_10.pdb</t>
  </si>
  <si>
    <t>Z221459558</t>
  </si>
  <si>
    <t>/pi/summer.thyme-umw/rosetta_discovery_space/pth2/shapedb_results/refined_conformers/lower_res1_11_shifted/16/Z2585363843/269/placement/res269_7F16_receptor_only_Z2585363843_88_16.pdb</t>
  </si>
  <si>
    <t>Z2585363843</t>
  </si>
  <si>
    <t>/pi/summer.thyme-umw/rosetta_discovery_space/pth2/shapedb_results/refined_conformers/lower_res1_11_shifted/37/Z2600186379/269/placement/res269_7F16_receptor_only_Z2600186379_93_18.pdb</t>
  </si>
  <si>
    <t>Z2600186379</t>
  </si>
  <si>
    <t>/pi/summer.thyme-umw/rosetta_discovery_space/pth2/shapedb_results/refined_conformers/lower_res1_11_shifted/32/Z2652233234/269/placement/res269_7F16_receptor_only_Z2652233234_46_10.pdb</t>
  </si>
  <si>
    <t>Z2652233234</t>
  </si>
  <si>
    <t>/pi/summer.thyme-umw/rosetta_discovery_space/pth2/shapedb_results/refined_conformers/lower_res1_11_shifted/21/Z2669345601/269/placement/res269_7F16_receptor_only_Z2669345601_176_49.pdb</t>
  </si>
  <si>
    <t>Z2669345601</t>
  </si>
  <si>
    <t>/pi/summer.thyme-umw/rosetta_discovery_space/pth2/shapedb_results/refined_conformers/lower_res5_11_shifted/0/Z27028356/269/placement/res269_7F16_receptor_only_Z27028356_142_7.pdb</t>
  </si>
  <si>
    <t>Z27028356</t>
  </si>
  <si>
    <t>/pi/summer.thyme-umw/rosetta_discovery_space/pth2/shapedb_results/refined_conformers/lower_res1_11_shifted/31/Z27613814/269/placement/res269_7F16_receptor_only_Z27613814_15_12.pdb</t>
  </si>
  <si>
    <t>Z27613814</t>
  </si>
  <si>
    <t>/pi/summer.thyme-umw/rosetta_discovery_space/pth2/shapedb_results/refined_conformers/lower_res1_11_shifted/37/Z281761216/269/placement/res269_7F16_receptor_only_Z281761216_17_1.pdb</t>
  </si>
  <si>
    <t>Z281761216</t>
  </si>
  <si>
    <t>/pi/summer.thyme-umw/rosetta_discovery_space/pth2/shapedb_results/refined_conformers/lower_res1_11_shifted/20/Z33405000/269/placement/res269_7F16_receptor_only_Z33405000_66_94.pdb</t>
  </si>
  <si>
    <t>Z33405000</t>
  </si>
  <si>
    <t>/pi/summer.thyme-umw/rosetta_discovery_space/pth2/shapedb_results/refined_conformers/lower_res5_11_shifted/4/Z355267306/269/placement/res269_7F16_receptor_only_Z355267306_119_81.pdb</t>
  </si>
  <si>
    <t>Z355267306</t>
  </si>
  <si>
    <t>/pi/summer.thyme-umw/rosetta_discovery_space/pth2/shapedb_results/refined_conformers/lower_res1_11_shifted/11/Z360099332/269/placement/res269_7F16_receptor_only_Z360099332_209_7.pdb</t>
  </si>
  <si>
    <t>Z360099332</t>
  </si>
  <si>
    <t>/pi/summer.thyme-umw/rosetta_discovery_space/pth2/shapedb_results/refined_conformers/lower_res1_11_shifted/25/Z3714210008/269/placement/res269_7F16_receptor_only_Z3714210008_2_16.pdb</t>
  </si>
  <si>
    <t>Z3714210008</t>
  </si>
  <si>
    <t>/pi/summer.thyme-umw/rosetta_discovery_space/pth2/shapedb_results/refined_conformers/lower_res5_11_shifted/7/Z3802294323/269/placement/res269_7F16_receptor_only_Z3802294323_64_20.pdb</t>
  </si>
  <si>
    <t>Z3802294323</t>
  </si>
  <si>
    <t>/pi/summer.thyme-umw/rosetta_discovery_space/pth2/shapedb_results/refined_conformers/lower_res1_11_shifted/18/Z408784418/269/placement/res269_7F16_receptor_only_Z408784418_61_2.pdb</t>
  </si>
  <si>
    <t>Z408784418</t>
  </si>
  <si>
    <t>/pi/summer.thyme-umw/rosetta_discovery_space/pth2/shapedb_results/refined_conformers/lower_res1_11_shifted/34/Z409115362/269/placement/res269_7F16_receptor_only_Z409115362_173_30.pdb</t>
  </si>
  <si>
    <t>Z409115362</t>
  </si>
  <si>
    <t>/pi/summer.thyme-umw/rosetta_discovery_space/pth2/shapedb_results/refined_conformers/lower_res1_11_shifted/22/Z411508902/269/placement/res269_7F16_receptor_only_Z411508902_87_9.pdb</t>
  </si>
  <si>
    <t>Z411508902</t>
  </si>
  <si>
    <t>/pi/summer.thyme-umw/rosetta_discovery_space/pth2/shapedb_results/refined_conformers/lower_res1_11_shifted/15/Z411805978/269/placement/res269_7F16_receptor_only_Z411805978_52_4.pdb</t>
  </si>
  <si>
    <t>Z411805978</t>
  </si>
  <si>
    <t>/pi/summer.thyme-umw/rosetta_discovery_space/pth2/shapedb_results/refined_conformers/lower_res1_11_shifted/11/Z414072400/269/placement/res269_7F16_receptor_only_Z414072400_53_2.pdb</t>
  </si>
  <si>
    <t>Z414072400</t>
  </si>
  <si>
    <t>/pi/summer.thyme-umw/rosetta_discovery_space/pth2/shapedb_results/refined_conformers/lower_res1_11_shifted/28/Z435846934/269/placement/res269_7F16_receptor_only_Z435846934_154_2.pdb</t>
  </si>
  <si>
    <t>Z435846934</t>
  </si>
  <si>
    <t>/pi/summer.thyme-umw/rosetta_discovery_space/pth2/shapedb_results/refined_conformers/lower_res1_11_shifted/23/Z441994006/269/placement/res269_7F16_receptor_only_Z441994006_100_6.pdb</t>
  </si>
  <si>
    <t>Z441994006</t>
  </si>
  <si>
    <t>/pi/summer.thyme-umw/rosetta_discovery_space/pth2/shapedb_results/refined_conformers/lower_res1_11_shifted/20/Z649306160/269/placement/res269_7F16_receptor_only_Z649306160_157_1.pdb</t>
  </si>
  <si>
    <t>Z649306160</t>
  </si>
  <si>
    <t>/pi/summer.thyme-umw/rosetta_discovery_space/pth2/shapedb_results/refined_conformers/lower_res1_11_shifted/23/Z66310921/269/placement/res269_7F16_receptor_only_Z66310921_69_4.pdb</t>
  </si>
  <si>
    <t>Z66310921</t>
  </si>
  <si>
    <t>/pi/summer.thyme-umw/rosetta_discovery_space/pth2/shapedb_results/refined_conformers/lower_res1_11_shifted/21/Z71566393/269/placement/res269_7F16_receptor_only_Z71566393_138_16.pdb</t>
  </si>
  <si>
    <t>Z71566393</t>
  </si>
  <si>
    <t>/pi/summer.thyme-umw/rosetta_discovery_space/pth2/shapedb_results/refined_conformers/lower_res1_11_shifted/29/Z735124196/269/placement/res269_7F16_receptor_only_Z735124196_169_22.pdb</t>
  </si>
  <si>
    <t>Z735124196</t>
  </si>
  <si>
    <t>/pi/summer.thyme-umw/rosetta_discovery_space/pth2/shapedb_results/refined_conformers/lower_res1_11_shifted/32/Z737673936/269/placement/res269_7F16_receptor_only_Z737673936_89_15.pdb</t>
  </si>
  <si>
    <t>Z737673936</t>
  </si>
  <si>
    <t>/pi/summer.thyme-umw/rosetta_discovery_space/pth2/shapedb_results/refined_conformers/lower_res1_11_shifted/25/Z748393124/269/placement/res269_7F16_receptor_only_Z748393124_64_2.pdb</t>
  </si>
  <si>
    <t>Z748393124</t>
  </si>
  <si>
    <t>/pi/summer.thyme-umw/rosetta_discovery_space/pth2/shapedb_results/refined_conformers/lower_res1_11_shifted/31/Z775637890/269/placement/res269_7F16_receptor_only_Z775637890_97_9.pdb</t>
  </si>
  <si>
    <t>Z775637890</t>
  </si>
  <si>
    <t>/pi/summer.thyme-umw/rosetta_discovery_space/pth2/shapedb_results/refined_conformers/lower_res1_11_shifted/13/Z809720002/269/placement/res269_7F16_receptor_only_Z809720002_134_0.pdb</t>
  </si>
  <si>
    <t>Z809720002</t>
  </si>
  <si>
    <t>/pi/summer.thyme-umw/rosetta_discovery_space/pth2/shapedb_results/refined_conformers/lower_res1_11_shifted/25/Z813293038/269/placement/res269_7F16_receptor_only_Z813293038_169_20.pdb</t>
  </si>
  <si>
    <t>Z813293038</t>
  </si>
  <si>
    <t>/pi/summer.thyme-umw/rosetta_discovery_space/pth2/shapedb_results/refined_conformers/lower_res1_11_shifted/24/Z826748274/269/placement/res269_7F16_receptor_only_Z826748274_246_16.pdb</t>
  </si>
  <si>
    <t>Z826748274</t>
  </si>
  <si>
    <t>/pi/summer.thyme-umw/rosetta_discovery_space/pth2/shapedb_results/refined_conformers/lower_res1_11_shifted/28/Z82984706/269/placement/res269_7F16_receptor_only_Z82984706_148_72.pdb</t>
  </si>
  <si>
    <t>Z82984706</t>
  </si>
  <si>
    <t>/pi/summer.thyme-umw/rosetta_discovery_space/pth2/shapedb_results/refined_conformers/lower_res1_11_shifted/37/Z844073584/269/placement/res269_7F16_receptor_only_Z844073584_140_23.pdb</t>
  </si>
  <si>
    <t>Z844073584</t>
  </si>
  <si>
    <t>/pi/summer.thyme-umw/rosetta_discovery_space/pth2/shapedb_results/refined_conformers/lower_res1_11_shifted/11/Z873727986/269/placement/res269_7F16_receptor_only_Z873727986_39_7.pdb</t>
  </si>
  <si>
    <t>Z873727986</t>
  </si>
  <si>
    <t>/pi/summer.thyme-umw/rosetta_discovery_space/pth2/shapedb_results/refined_conformers/lower_res1_11_shifted/32/Z87579065/269/placement/res269_7F16_receptor_only_Z87579065_62_12.pdb</t>
  </si>
  <si>
    <t>Z87579065</t>
  </si>
  <si>
    <t>/pi/summer.thyme-umw/rosetta_discovery_space/pth2/shapedb_results/refined_conformers/lower_res1_11_shifted/35/Z918057542/269/placement/res269_7F16_receptor_only_Z918057542_154_14.pdb</t>
  </si>
  <si>
    <t>Z918057542</t>
  </si>
  <si>
    <t>/pi/summer.thyme-umw/rosetta_discovery_space/pth2/shapedb_results/refined_conformers/lower_res1_11_shifted/14/Z956080770/269/placement/res269_7F16_receptor_only_Z956080770_68_42.pdb</t>
  </si>
  <si>
    <t>Z956080770</t>
  </si>
  <si>
    <t>/pi/summer.thyme-umw/rosetta_discovery_space/pth2/shapedb_results/refined_conformers/lower_res1_11_shifted/22/Z956281588/269/placement/res269_7F16_receptor_only_Z956281588_42_33.pdb</t>
  </si>
  <si>
    <t>Z956281588</t>
  </si>
  <si>
    <t>/pi/summer.thyme-umw/rosetta_discovery_space/pth2/shapedb_results/refined_conformers/lower_res1_11_shifted/7/Z991750722/269/placement/res269_7F16_receptor_only_Z991750722_22_11.pdb</t>
  </si>
  <si>
    <t>Z991750722</t>
  </si>
  <si>
    <t>/pi/summer.thyme-umw/rosetta_discovery_space/pth2/shapedb_results/refined_conformers/lower_res5_11_shifted/0/Z997321208/269/placement/res269_7F16_receptor_only_Z997321208_36_55.pdb</t>
  </si>
  <si>
    <t>Z997321208</t>
  </si>
  <si>
    <t>/pi/summer.thyme-umw/rosetta_discovery_space/pth2/shapedb_results/refined_conformers/lower_res1_11_shifted/26/Z997323568/269/placement/res269_7F16_receptor_only_Z997323568_75_31.pdb</t>
  </si>
  <si>
    <t>Z997323568</t>
  </si>
  <si>
    <t>/pi/summer.thyme-umw/rosetta_discovery_space/pth2/shapedb_results/refined_conformers/lower_res1_11_shifted/19/Z997846288/269/placement/res269_7F16_receptor_only_Z997846288_98_13.pdb</t>
  </si>
  <si>
    <t>Z997846288</t>
  </si>
  <si>
    <t>/pi/summer.thyme-umw/rosetta_discovery_space/pth2/shapedb_results/refined_conformers/lower_res1_11_shifted/13/Z999725592/269/placement/res269_7F16_receptor_only_Z999725592_93_27.pdb</t>
  </si>
  <si>
    <t>Z999725592</t>
  </si>
  <si>
    <t>/pi/summer.thyme-umw/rosetta_discovery_space/pth2/shapedb_results/refined_conformers/lower_res1_11_shifted/33/PV-004283482601/122/placement/res122_7F16_receptor_only_PV-004283482601_143_3.pdb</t>
  </si>
  <si>
    <t>PV-004283482601</t>
  </si>
  <si>
    <t>/pi/summer.thyme-umw/rosetta_discovery_space/pth2/shapedb_results/refined_conformers/lower_res1_11_shifted/30/PV-004318485472/122/placement/res122_7F16_receptor_only_PV-004318485472_10_0.pdb</t>
  </si>
  <si>
    <t>PV-004318485472</t>
  </si>
  <si>
    <t>/pi/summer.thyme-umw/rosetta_discovery_space/pth2/shapedb_results/refined_conformers/lower_res1_11_shifted/24/PV-004337776654/122/placement/res122_7F16_receptor_only_PV-004337776654_5_2.pdb</t>
  </si>
  <si>
    <t>PV-004337776654</t>
  </si>
  <si>
    <t>/pi/summer.thyme-umw/rosetta_discovery_space/pth2/shapedb_results/refined_conformers/lower_res1_11_shifted/26/PV-004386142981/122/placement/res122_7F16_receptor_only_PV-004386142981_228_3.pdb</t>
  </si>
  <si>
    <t>PV-004386142981</t>
  </si>
  <si>
    <t>/pi/summer.thyme-umw/rosetta_discovery_space/pth2/shapedb_results/refined_conformers/lower_res1_11_shifted/25/PV-004411779711/122/placement/res122_7F16_receptor_only_PV-004411779711_109_7.pdb</t>
  </si>
  <si>
    <t>PV-004411779711</t>
  </si>
  <si>
    <t>/pi/summer.thyme-umw/rosetta_discovery_space/pth2/shapedb_results/refined_conformers/lower_res5_11_shifted/10/PV-004470556370/122/placement/res122_7F16_receptor_only_PV-004470556370_74_1.pdb</t>
  </si>
  <si>
    <t>PV-004470556370</t>
  </si>
  <si>
    <t>/pi/summer.thyme-umw/rosetta_discovery_space/pth2/shapedb_results/refined_conformers/lower_res1_11_shifted/4/PV-004482678676/122/placement/res122_7F16_receptor_only_PV-004482678676_114_2.pdb</t>
  </si>
  <si>
    <t>PV-004482678676</t>
  </si>
  <si>
    <t>/pi/summer.thyme-umw/rosetta_discovery_space/pth2/shapedb_results/refined_conformers/lower_res5_11_shifted/3/PV-004516439356/122/placement/res122_7F16_receptor_only_PV-004516439356_161_5.pdb</t>
  </si>
  <si>
    <t>PV-004516439356</t>
  </si>
  <si>
    <t>/pi/summer.thyme-umw/rosetta_discovery_space/pth2/shapedb_results/refined_conformers/lower_res1_11_shifted/21/PV-004648079684/122/placement/res122_7F16_receptor_only_PV-004648079684_135_0.pdb</t>
  </si>
  <si>
    <t>PV-004648079684</t>
  </si>
  <si>
    <t>/pi/summer.thyme-umw/rosetta_discovery_space/pth2/shapedb_results/refined_conformers/lower_res1_11_shifted/26/PV-004683761849/122/placement/res122_7F16_receptor_only_PV-004683761849_133_6.pdb</t>
  </si>
  <si>
    <t>PV-004683761849</t>
  </si>
  <si>
    <t>/pi/summer.thyme-umw/rosetta_discovery_space/pth2/shapedb_results/refined_conformers/lower_res5_11_shifted/9/PV-004778322961/122/placement/res122_7F16_receptor_only_PV-004778322961_102_2.pdb</t>
  </si>
  <si>
    <t>PV-004778322961</t>
  </si>
  <si>
    <t>/pi/summer.thyme-umw/rosetta_discovery_space/pth2/shapedb_results/refined_conformers/lower_res1_11_shifted/16/PV-004824891556/122/placement/res122_7F16_receptor_only_PV-004824891556_87_3.pdb</t>
  </si>
  <si>
    <t>PV-004824891556</t>
  </si>
  <si>
    <t>/pi/summer.thyme-umw/rosetta_discovery_space/pth2/shapedb_results/refined_conformers/lower_res5_11_shifted/5/PV-004832011412/122/placement/res122_7F16_receptor_only_PV-004832011412_77_13.pdb</t>
  </si>
  <si>
    <t>PV-004832011412</t>
  </si>
  <si>
    <t>/pi/summer.thyme-umw/rosetta_discovery_space/pth2/shapedb_results/refined_conformers/lower_res1_11_shifted/34/PV-004953148652/122/placement/res122_7F16_receptor_only_PV-004953148652_19_0.pdb</t>
  </si>
  <si>
    <t>PV-004953148652</t>
  </si>
  <si>
    <t>/pi/summer.thyme-umw/rosetta_discovery_space/pth2/shapedb_results/refined_conformers/lower_res1_11_shifted/16/PV-005052642585/122/placement/res122_7F16_receptor_only_PV-005052642585_3_4.pdb</t>
  </si>
  <si>
    <t>PV-005052642585</t>
  </si>
  <si>
    <t>/pi/summer.thyme-umw/rosetta_discovery_space/pth2/shapedb_results/refined_conformers/lower_res1_11_shifted/39/PV-005073625087/122/placement/res122_7F16_receptor_only_PV-005073625087_20_1.pdb</t>
  </si>
  <si>
    <t>PV-005073625087</t>
  </si>
  <si>
    <t>/pi/summer.thyme-umw/rosetta_discovery_space/pth2/shapedb_results/refined_conformers/lower_res5_11_shifted/3/PV-005089859751/122/placement/res122_7F16_receptor_only_PV-005089859751_56_0.pdb</t>
  </si>
  <si>
    <t>PV-005089859751</t>
  </si>
  <si>
    <t>/pi/summer.thyme-umw/rosetta_discovery_space/pth2/shapedb_results/refined_conformers/lower_res1_11_shifted/31/PV-005167933226/122/placement/res122_7F16_receptor_only_PV-005167933226_162_1.pdb</t>
  </si>
  <si>
    <t>PV-005167933226</t>
  </si>
  <si>
    <t>/pi/summer.thyme-umw/rosetta_discovery_space/pth2/shapedb_results/refined_conformers/lower_res1_11_shifted/36/PV-005178357360/122/placement/res122_7F16_receptor_only_PV-005178357360_110_2.pdb</t>
  </si>
  <si>
    <t>PV-005178357360</t>
  </si>
  <si>
    <t>/pi/summer.thyme-umw/rosetta_discovery_space/pth2/shapedb_results/refined_conformers/lower_res5_11_shifted/5/PV-005178835411/122/placement/res122_7F16_receptor_only_PV-005178835411_18_4.pdb</t>
  </si>
  <si>
    <t>PV-005178835411</t>
  </si>
  <si>
    <t>/pi/summer.thyme-umw/rosetta_discovery_space/pth2/shapedb_results/refined_conformers/lower_res1_11_shifted/40/PV-005213732970/122/placement/res122_7F16_receptor_only_PV-005213732970_105_0.pdb</t>
  </si>
  <si>
    <t>PV-005213732970</t>
  </si>
  <si>
    <t>/pi/summer.thyme-umw/rosetta_discovery_space/pth2/shapedb_results/refined_conformers/lower_res1_11_shifted/14/PV-005217048307/122/placement/res122_7F16_receptor_only_PV-005217048307_159_0.pdb</t>
  </si>
  <si>
    <t>PV-005217048307</t>
  </si>
  <si>
    <t>/pi/summer.thyme-umw/rosetta_discovery_space/pth2/shapedb_results/refined_conformers/lower_res1_11_shifted/20/PV-005234640046/122/placement/res122_7F16_receptor_only_PV-005234640046_135_0.pdb</t>
  </si>
  <si>
    <t>PV-005234640046</t>
  </si>
  <si>
    <t>/pi/summer.thyme-umw/rosetta_discovery_space/pth2/shapedb_results/refined_conformers/lower_res1_11_shifted/28/PV-005338000812/122/placement/res122_7F16_receptor_only_PV-005338000812_85_0.pdb</t>
  </si>
  <si>
    <t>PV-005338000812</t>
  </si>
  <si>
    <t>/pi/summer.thyme-umw/rosetta_discovery_space/pth2/shapedb_results/refined_conformers/lower_res1_11_shifted/28/PV-005338000813/122/placement/res122_7F16_receptor_only_PV-005338000813_85_0.pdb</t>
  </si>
  <si>
    <t>PV-005338000813</t>
  </si>
  <si>
    <t>/pi/summer.thyme-umw/rosetta_discovery_space/pth2/shapedb_results/refined_conformers/lower_res1_11_shifted/0/PV-005455580306/122/placement/res122_7F16_receptor_only_PV-005455580306_38_4.pdb</t>
  </si>
  <si>
    <t>PV-005455580306</t>
  </si>
  <si>
    <t>/pi/summer.thyme-umw/rosetta_discovery_space/pth2/shapedb_results/refined_conformers/lower_res5_11_shifted/0/PV-005545000472/122/placement/res122_7F16_receptor_only_PV-005545000472_45_4.pdb</t>
  </si>
  <si>
    <t>PV-005545000472</t>
  </si>
  <si>
    <t>/pi/summer.thyme-umw/rosetta_discovery_space/pth2/shapedb_results/refined_conformers/lower_res1_11_shifted/3/PV-005619231776/122/placement/res122_7F16_receptor_only_PV-005619231776_163_1.pdb</t>
  </si>
  <si>
    <t>PV-005619231776</t>
  </si>
  <si>
    <t>/pi/summer.thyme-umw/rosetta_discovery_space/pth2/shapedb_results/refined_conformers/lower_res5_11_shifted/8/PV-005627458906/122/placement/res122_7F16_receptor_only_PV-005627458906_152_0.pdb</t>
  </si>
  <si>
    <t>PV-005627458906</t>
  </si>
  <si>
    <t>/pi/summer.thyme-umw/rosetta_discovery_space/pth2/shapedb_results/refined_conformers/lower_res5_11_shifted/10/PV-005661705116/122/placement/res122_7F16_receptor_only_PV-005661705116_113_4.pdb</t>
  </si>
  <si>
    <t>PV-005661705116</t>
  </si>
  <si>
    <t>/pi/summer.thyme-umw/rosetta_discovery_space/pth2/shapedb_results/refined_conformers/lower_res1_11_shifted/19/PV-005701018997/122/placement/res122_7F16_receptor_only_PV-005701018997_114_2.pdb</t>
  </si>
  <si>
    <t>PV-005701018997</t>
  </si>
  <si>
    <t>/pi/summer.thyme-umw/rosetta_discovery_space/pth2/shapedb_results/refined_conformers/lower_res1_11_shifted/29/PV-005780459815/122/placement/res122_7F16_receptor_only_PV-005780459815_84_0.pdb</t>
  </si>
  <si>
    <t>PV-005780459815</t>
  </si>
  <si>
    <t>/pi/summer.thyme-umw/rosetta_discovery_space/pth2/shapedb_results/refined_conformers/lower_res1_11_shifted/14/PV-005782715109/122/placement/res122_7F16_receptor_only_PV-005782715109_2_2.pdb</t>
  </si>
  <si>
    <t>PV-005782715109</t>
  </si>
  <si>
    <t>/pi/summer.thyme-umw/rosetta_discovery_space/pth2/shapedb_results/refined_conformers/lower_res1_11_shifted/22/PV-005836268953/122/placement/res122_7F16_receptor_only_PV-005836268953_3_4.pdb</t>
  </si>
  <si>
    <t>PV-005836268953</t>
  </si>
  <si>
    <t>/pi/summer.thyme-umw/rosetta_discovery_space/pth2/shapedb_results/refined_conformers/lower_res1_11_shifted/20/PV-005837726250/122/placement/res122_7F16_receptor_only_PV-005837726250_39_5.pdb</t>
  </si>
  <si>
    <t>PV-005837726250</t>
  </si>
  <si>
    <t>/pi/summer.thyme-umw/rosetta_discovery_space/pth2/shapedb_results/refined_conformers/lower_res1_11_shifted/31/PV-006212534753/122/placement/res122_7F16_receptor_only_PV-006212534753_190_0.pdb</t>
  </si>
  <si>
    <t>PV-006212534753</t>
  </si>
  <si>
    <t>/pi/summer.thyme-umw/rosetta_discovery_space/pth2/shapedb_results/refined_conformers/lower_res5_11_shifted/10/PV-006262940337/122/placement/res122_7F16_receptor_only_PV-006262940337_161_0.pdb</t>
  </si>
  <si>
    <t>PV-006262940337</t>
  </si>
  <si>
    <t>/pi/summer.thyme-umw/rosetta_discovery_space/pth2/shapedb_results/refined_conformers/lower_res1_11_shifted/27/PV-006314784600/122/placement/res122_7F16_receptor_only_PV-006314784600_142_0.pdb</t>
  </si>
  <si>
    <t>PV-006314784600</t>
  </si>
  <si>
    <t>/pi/summer.thyme-umw/rosetta_discovery_space/pth2/shapedb_results/refined_conformers/lower_res1_11_shifted/2/PV-006424929876/122/placement/res122_7F16_receptor_only_PV-006424929876_151_2.pdb</t>
  </si>
  <si>
    <t>PV-006424929876</t>
  </si>
  <si>
    <t>/pi/summer.thyme-umw/rosetta_discovery_space/pth2/shapedb_results/refined_conformers/lower_res5_11_shifted/8/PV-006430227099/122/placement/res122_7F16_receptor_only_PV-006430227099_231_1.pdb</t>
  </si>
  <si>
    <t>PV-006430227099</t>
  </si>
  <si>
    <t>/pi/summer.thyme-umw/rosetta_discovery_space/pth2/shapedb_results/refined_conformers/lower_res5_11_shifted/8/PV-006434678027/122/placement/res122_7F16_receptor_only_PV-006434678027_37_10.pdb</t>
  </si>
  <si>
    <t>PV-006434678027</t>
  </si>
  <si>
    <t>/pi/summer.thyme-umw/rosetta_discovery_space/pth2/shapedb_results/refined_conformers/lower_res1_11_shifted/14/PV-006461163252/122/placement/res122_7F16_receptor_only_PV-006461163252_65_0.pdb</t>
  </si>
  <si>
    <t>PV-006461163252</t>
  </si>
  <si>
    <t>/pi/summer.thyme-umw/rosetta_discovery_space/pth2/shapedb_results/refined_conformers/lower_res5_11_shifted/10/PV-006636935529/122/placement/res122_7F16_receptor_only_PV-006636935529_158_0.pdb</t>
  </si>
  <si>
    <t>PV-006636935529</t>
  </si>
  <si>
    <t>/pi/summer.thyme-umw/rosetta_discovery_space/pth2/shapedb_results/refined_conformers/lower_res1_11_shifted/27/PV-006640038242/122/placement/res122_7F16_receptor_only_PV-006640038242_85_0.pdb</t>
  </si>
  <si>
    <t>PV-006640038242</t>
  </si>
  <si>
    <t>/pi/summer.thyme-umw/rosetta_discovery_space/pth2/shapedb_results/refined_conformers/lower_res1_11_shifted/36/PV-006666787288/122/placement/res122_7F16_receptor_only_PV-006666787288_241_1.pdb</t>
  </si>
  <si>
    <t>PV-006666787288</t>
  </si>
  <si>
    <t>/pi/summer.thyme-umw/rosetta_discovery_space/pth2/shapedb_results/refined_conformers/lower_res1_11_shifted/21/Z1103294171/122/placement/res122_7F16_receptor_only_Z1103294171_212_0.pdb</t>
  </si>
  <si>
    <t>Z1103294171</t>
  </si>
  <si>
    <t>/pi/summer.thyme-umw/rosetta_discovery_space/pth2/shapedb_results/refined_conformers/lower_res1_11_shifted/25/Z1174451616/122/placement/res122_7F16_receptor_only_Z1174451616_40_5.pdb</t>
  </si>
  <si>
    <t>Z1174451616</t>
  </si>
  <si>
    <t>/pi/summer.thyme-umw/rosetta_discovery_space/pth2/shapedb_results/refined_conformers/lower_res1_11_shifted/16/Z1228418873/122/placement/res122_7F16_receptor_only_Z1228418873_116_0.pdb</t>
  </si>
  <si>
    <t>Z1228418873</t>
  </si>
  <si>
    <t>/pi/summer.thyme-umw/rosetta_discovery_space/pth2/shapedb_results/refined_conformers/lower_res1_11_shifted/26/Z1259758624/122/placement/res122_7F16_receptor_only_Z1259758624_57_2.pdb</t>
  </si>
  <si>
    <t>Z1259758624</t>
  </si>
  <si>
    <t>/pi/summer.thyme-umw/rosetta_discovery_space/pth2/shapedb_results/refined_conformers/lower_res1_11_shifted/24/Z1276345764/122/placement/res122_7F16_receptor_only_Z1276345764_184_5.pdb</t>
  </si>
  <si>
    <t>Z1276345764</t>
  </si>
  <si>
    <t>/pi/summer.thyme-umw/rosetta_discovery_space/pth2/shapedb_results/refined_conformers/lower_res1_11_shifted/13/Z1276700577/122/placement/res122_7F16_receptor_only_Z1276700577_78_0.pdb</t>
  </si>
  <si>
    <t>Z1276700577</t>
  </si>
  <si>
    <t>/pi/summer.thyme-umw/rosetta_discovery_space/pth2/shapedb_results/refined_conformers/lower_res1_11_shifted/12/Z1330668997/122/placement/res122_7F16_receptor_only_Z1330668997_218_0.pdb</t>
  </si>
  <si>
    <t>Z1330668997</t>
  </si>
  <si>
    <t>/pi/summer.thyme-umw/rosetta_discovery_space/pth2/shapedb_results/refined_conformers/lower_res1_11_shifted/1/Z1391101938/122/placement/res122_7F16_receptor_only_Z1391101938_152_0.pdb</t>
  </si>
  <si>
    <t>Z1391101938</t>
  </si>
  <si>
    <t>/pi/summer.thyme-umw/rosetta_discovery_space/pth2/shapedb_results/refined_conformers/lower_res1_11_shifted/23/Z1411559703/122/placement/res122_7F16_receptor_only_Z1411559703_4_1.pdb</t>
  </si>
  <si>
    <t>Z1411559703</t>
  </si>
  <si>
    <t>/pi/summer.thyme-umw/rosetta_discovery_space/pth2/shapedb_results/refined_conformers/lower_res1_11_shifted/36/Z1422504363/122/placement/res122_7F16_receptor_only_Z1422504363_49_9.pdb</t>
  </si>
  <si>
    <t>Z1422504363</t>
  </si>
  <si>
    <t>/pi/summer.thyme-umw/rosetta_discovery_space/pth2/shapedb_results/refined_conformers/lower_res1_11_shifted/16/Z1432621035/122/placement/res122_7F16_receptor_only_Z1432621035_207_1.pdb</t>
  </si>
  <si>
    <t>Z1432621035</t>
  </si>
  <si>
    <t>/pi/summer.thyme-umw/rosetta_discovery_space/pth2/shapedb_results/refined_conformers/lower_res1_11_shifted/11/Z1543103931/122/placement/res122_7F16_receptor_only_Z1543103931_59_0.pdb</t>
  </si>
  <si>
    <t>Z1543103931</t>
  </si>
  <si>
    <t>/pi/summer.thyme-umw/rosetta_discovery_space/pth2/shapedb_results/refined_conformers/lower_res1_11_shifted/1/Z1590878117/122/placement/res122_7F16_receptor_only_Z1590878117_185_0.pdb</t>
  </si>
  <si>
    <t>Z1590878117</t>
  </si>
  <si>
    <t>/pi/summer.thyme-umw/rosetta_discovery_space/pth2/shapedb_results/refined_conformers/lower_res1_11_shifted/22/Z1608463687/122/placement/res122_7F16_receptor_only_Z1608463687_19_3.pdb</t>
  </si>
  <si>
    <t>Z1608463687</t>
  </si>
  <si>
    <t>/pi/summer.thyme-umw/rosetta_discovery_space/pth2/shapedb_results/refined_conformers/lower_res1_11_shifted/24/Z1684816437/122/placement/res122_7F16_receptor_only_Z1684816437_191_0.pdb</t>
  </si>
  <si>
    <t>Z1684816437</t>
  </si>
  <si>
    <t>/pi/summer.thyme-umw/rosetta_discovery_space/pth2/shapedb_results/refined_conformers/lower_res1_11_shifted/18/Z1695461970/122/placement/res122_7F16_receptor_only_Z1695461970_42_0.pdb</t>
  </si>
  <si>
    <t>Z1695461970</t>
  </si>
  <si>
    <t>/pi/summer.thyme-umw/rosetta_discovery_space/pth2/shapedb_results/refined_conformers/lower_res1_11_shifted/39/Z1828545721/122/placement/res122_7F16_receptor_only_Z1828545721_100_0.pdb</t>
  </si>
  <si>
    <t>Z1828545721</t>
  </si>
  <si>
    <t>/pi/summer.thyme-umw/rosetta_discovery_space/pth2/shapedb_results/refined_conformers/lower_res1_11_shifted/38/Z1883213181/122/placement/res122_7F16_receptor_only_Z1883213181_49_0.pdb</t>
  </si>
  <si>
    <t>Z1883213181</t>
  </si>
  <si>
    <t>/pi/summer.thyme-umw/rosetta_discovery_space/pth2/shapedb_results/refined_conformers/lower_res1_11_shifted/42/Z1884927333/122/placement/res122_7F16_receptor_only_Z1884927333_1_6.pdb</t>
  </si>
  <si>
    <t>Z1884927333</t>
  </si>
  <si>
    <t>/pi/summer.thyme-umw/rosetta_discovery_space/pth2/shapedb_results/refined_conformers/lower_res1_11_shifted/1/Z1905550004/122/placement/res122_7F16_receptor_only_Z1905550004_122_0.pdb</t>
  </si>
  <si>
    <t>Z1905550004</t>
  </si>
  <si>
    <t>/pi/summer.thyme-umw/rosetta_discovery_space/pth2/shapedb_results/refined_conformers/lower_res1_11_shifted/28/Z1966442341/122/placement/res122_7F16_receptor_only_Z1966442341_87_2.pdb</t>
  </si>
  <si>
    <t>Z1966442341</t>
  </si>
  <si>
    <t>/pi/summer.thyme-umw/rosetta_discovery_space/pth2/shapedb_results/refined_conformers/lower_res1_11_shifted/2/Z1969215704/122/placement/res122_7F16_receptor_only_Z1969215704_125_14.pdb</t>
  </si>
  <si>
    <t>Z1969215704</t>
  </si>
  <si>
    <t>/pi/summer.thyme-umw/rosetta_discovery_space/pth2/shapedb_results/refined_conformers/lower_res1_11_shifted/30/Z2020760779/122/placement/res122_7F16_receptor_only_Z2020760779_200_3.pdb</t>
  </si>
  <si>
    <t>Z2020760779</t>
  </si>
  <si>
    <t>/pi/summer.thyme-umw/rosetta_discovery_space/pth2/shapedb_results/refined_conformers/lower_res1_11_shifted/37/Z2026088586/122/placement/res122_7F16_receptor_only_Z2026088586_59_16.pdb</t>
  </si>
  <si>
    <t>Z2026088586</t>
  </si>
  <si>
    <t>/pi/summer.thyme-umw/rosetta_discovery_space/pth2/shapedb_results/refined_conformers/lower_res1_11_shifted/22/Z2066883874/122/placement/res122_7F16_receptor_only_Z2066883874_11_1.pdb</t>
  </si>
  <si>
    <t>Z2066883874</t>
  </si>
  <si>
    <t>/pi/summer.thyme-umw/rosetta_discovery_space/pth2/shapedb_results/refined_conformers/lower_res1_11_shifted/1/Z2159463362/122/placement/res122_7F16_receptor_only_Z2159463362_145_5.pdb</t>
  </si>
  <si>
    <t>Z2159463362</t>
  </si>
  <si>
    <t>/pi/summer.thyme-umw/rosetta_discovery_space/pth2/shapedb_results/refined_conformers/lower_res1_11_shifted/15/Z2184228840/122/placement/res122_7F16_receptor_only_Z2184228840_112_0.pdb</t>
  </si>
  <si>
    <t>Z2184228840</t>
  </si>
  <si>
    <t>/pi/summer.thyme-umw/rosetta_discovery_space/pth2/shapedb_results/refined_conformers/lower_res1_11_shifted/33/Z2199206256/122/placement/res122_7F16_receptor_only_Z2199206256_151_0.pdb</t>
  </si>
  <si>
    <t>Z2199206256</t>
  </si>
  <si>
    <t>/pi/summer.thyme-umw/rosetta_discovery_space/pth2/shapedb_results/refined_conformers/lower_res1_11_shifted/1/Z2229468935/122/placement/res122_7F16_receptor_only_Z2229468935_85_4.pdb</t>
  </si>
  <si>
    <t>Z2229468935</t>
  </si>
  <si>
    <t>/pi/summer.thyme-umw/rosetta_discovery_space/pth2/shapedb_results/refined_conformers/lower_res5_11_shifted/6/Z229792634/122/placement/res122_7F16_receptor_only_Z229792634_22_2.pdb</t>
  </si>
  <si>
    <t>Z229792634</t>
  </si>
  <si>
    <t>/pi/summer.thyme-umw/rosetta_discovery_space/pth2/shapedb_results/refined_conformers/lower_res5_11_shifted/0/Z2387156891/122/placement/res122_7F16_receptor_only_Z2387156891_52_1.pdb</t>
  </si>
  <si>
    <t>Z2387156891</t>
  </si>
  <si>
    <t>/pi/summer.thyme-umw/rosetta_discovery_space/pth2/shapedb_results/refined_conformers/lower_res1_11_shifted/19/Z3056173489/122/placement/res122_7F16_receptor_only_Z3056173489_83_2.pdb</t>
  </si>
  <si>
    <t>Z3056173489</t>
  </si>
  <si>
    <t>/pi/summer.thyme-umw/rosetta_discovery_space/pth2/shapedb_results/refined_conformers/lower_res1_11_shifted/12/Z3083727541/122/placement/res122_7F16_receptor_only_Z3083727541_7_1.pdb</t>
  </si>
  <si>
    <t>Z3083727541</t>
  </si>
  <si>
    <t>/pi/summer.thyme-umw/rosetta_discovery_space/pth2/shapedb_results/refined_conformers/lower_res1_11_shifted/40/Z316433852/122/placement/res122_7F16_receptor_only_Z316433852_161_0.pdb</t>
  </si>
  <si>
    <t>Z316433852</t>
  </si>
  <si>
    <t>/pi/summer.thyme-umw/rosetta_discovery_space/pth2/shapedb_results/refined_conformers/lower_res1_11_shifted/33/Z325890198/122/placement/res122_7F16_receptor_only_Z325890198_99_1.pdb</t>
  </si>
  <si>
    <t>Z325890198</t>
  </si>
  <si>
    <t>/pi/summer.thyme-umw/rosetta_discovery_space/pth2/shapedb_results/refined_conformers/lower_res1_11_shifted/1/Z354528938/122/placement/res122_7F16_receptor_only_Z354528938_57_0.pdb</t>
  </si>
  <si>
    <t>Z354528938</t>
  </si>
  <si>
    <t>/pi/summer.thyme-umw/rosetta_discovery_space/pth2/shapedb_results/refined_conformers/lower_res1_11_shifted/0/Z740359342/122/placement/res122_7F16_receptor_only_Z740359342_88_0.pdb</t>
  </si>
  <si>
    <t>Z740359342</t>
  </si>
  <si>
    <t>/pi/summer.thyme-umw/rosetta_discovery_space/pth2/shapedb_results/refined_conformers/lower_res1_11_shifted/0/Z844977792/122/placement/res122_7F16_receptor_only_Z844977792_5_6.pdb</t>
  </si>
  <si>
    <t>Z844977792</t>
  </si>
  <si>
    <t>/pi/summer.thyme-umw/rosetta_discovery_space/pth2/shapedb_results/refined_conformers/lower_res1_11_shifted/0/Z910040982/122/placement/res122_7F16_receptor_only_Z910040982_58_4.pdb</t>
  </si>
  <si>
    <t>Z910040982</t>
  </si>
  <si>
    <t>/pi/summer.thyme-umw/rosetta_discovery_space/pth2/shapedb_results/refined_conformers/lower_res1_11_shifted/0/Z997836022/122/placement/res122_7F16_receptor_only_Z997836022_135_5.pdb</t>
  </si>
  <si>
    <t>Z997836022</t>
  </si>
  <si>
    <t>I don't really see anything about this, it is stabilized with multiple hbonds across the pocket</t>
  </si>
  <si>
    <t>same pose as PV-004240215781, enantiomer</t>
  </si>
  <si>
    <t>same pose as PV-004240215777, enantiomer</t>
  </si>
  <si>
    <t>same pose as PV-005074558207, enantiomer</t>
  </si>
  <si>
    <t>same pose as PV-005074558206, enantiomer</t>
  </si>
  <si>
    <t>same pose as PV-005855367962, enantiomer</t>
  </si>
  <si>
    <t>same pose as PV-005855367955, enantiomer</t>
  </si>
  <si>
    <t>/pi/summer.thyme-umw/rosetta_discovery_space/pth2/shapedb_results/refined_conformers/3_30_26_top_hits_to_investigate_hbonds/all/res122/good_placements_for_second_review</t>
  </si>
  <si>
    <t>/pi/summer.thyme-umw/rosetta_discovery_space/pth2/shapedb_results/refined_conformers/3_30_26_top_hits_to_investigate_hbonds/all/res269/good_placements_for_second_review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</si>
</sst>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9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>
        <color rgb="FF000000"/>
      </font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000000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/>
      <c r="B1" s="1" t="s">
        <v>0</v>
      </c>
      <c r="C1" s="1"/>
      <c r="D1" s="1" t="s">
        <v>1</v>
      </c>
      <c r="E1" s="2" t="s">
        <v>2</v>
      </c>
      <c r="F1" s="3" t="s">
        <v>3</v>
      </c>
      <c r="G1" s="3" t="s">
        <v>4</v>
      </c>
      <c r="H1" s="3" t="s">
        <v>5</v>
      </c>
      <c r="I1" s="3" t="s">
        <v>4</v>
      </c>
      <c r="J1" s="2" t="s">
        <v>6</v>
      </c>
      <c r="K1" s="2" t="s">
        <v>4</v>
      </c>
      <c r="L1" s="2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</row>
    <row r="2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J2" s="4" t="s">
        <v>26</v>
      </c>
      <c r="K2" s="4" t="s">
        <v>27</v>
      </c>
      <c r="L2" s="4">
        <v>3.4305</v>
      </c>
      <c r="M2" s="4" t="s">
        <v>28</v>
      </c>
      <c r="N2" s="4">
        <v>-15.535781</v>
      </c>
      <c r="O2" s="4">
        <v>9.0</v>
      </c>
      <c r="P2" s="4">
        <v>3.0</v>
      </c>
      <c r="Q2" s="4">
        <v>0.444444</v>
      </c>
      <c r="R2" s="4">
        <v>2.0</v>
      </c>
      <c r="S2" s="4">
        <v>-1.719191</v>
      </c>
      <c r="T2" s="4">
        <v>100.0</v>
      </c>
      <c r="U2" s="4">
        <v>0.0</v>
      </c>
      <c r="V2" s="4">
        <v>0.0</v>
      </c>
      <c r="W2" s="4">
        <v>97.189472</v>
      </c>
    </row>
    <row r="3">
      <c r="A3" s="4" t="s">
        <v>19</v>
      </c>
      <c r="B3" s="4" t="s">
        <v>29</v>
      </c>
      <c r="C3" s="4" t="s">
        <v>21</v>
      </c>
      <c r="D3" s="4" t="s">
        <v>30</v>
      </c>
      <c r="E3" s="4" t="s">
        <v>31</v>
      </c>
      <c r="F3" s="4" t="s">
        <v>24</v>
      </c>
      <c r="G3" s="4" t="s">
        <v>32</v>
      </c>
      <c r="H3" s="4" t="s">
        <v>33</v>
      </c>
      <c r="J3" s="4" t="s">
        <v>26</v>
      </c>
      <c r="K3" s="4" t="s">
        <v>27</v>
      </c>
      <c r="L3" s="4">
        <v>1.99753999999999</v>
      </c>
      <c r="M3" s="4" t="s">
        <v>28</v>
      </c>
      <c r="N3" s="4">
        <v>-15.296063</v>
      </c>
      <c r="O3" s="4">
        <v>8.0</v>
      </c>
      <c r="P3" s="4">
        <v>3.0</v>
      </c>
      <c r="Q3" s="4">
        <v>0.25</v>
      </c>
      <c r="R3" s="4">
        <v>2.0</v>
      </c>
      <c r="S3" s="4">
        <v>-1.293353</v>
      </c>
      <c r="T3" s="4">
        <v>100.0</v>
      </c>
      <c r="U3" s="4">
        <v>0.0</v>
      </c>
      <c r="V3" s="4">
        <v>0.0</v>
      </c>
      <c r="W3" s="4">
        <v>96.660584</v>
      </c>
    </row>
    <row r="4">
      <c r="A4" s="4" t="s">
        <v>19</v>
      </c>
      <c r="B4" s="4" t="s">
        <v>34</v>
      </c>
      <c r="C4" s="4" t="s">
        <v>21</v>
      </c>
      <c r="D4" s="4" t="s">
        <v>35</v>
      </c>
      <c r="E4" s="4" t="s">
        <v>36</v>
      </c>
      <c r="F4" s="4" t="s">
        <v>33</v>
      </c>
      <c r="G4" s="4" t="s">
        <v>37</v>
      </c>
      <c r="H4" s="4" t="s">
        <v>26</v>
      </c>
      <c r="J4" s="4" t="s">
        <v>26</v>
      </c>
      <c r="K4" s="4" t="s">
        <v>38</v>
      </c>
      <c r="L4" s="4">
        <v>3.08384</v>
      </c>
      <c r="M4" s="4" t="s">
        <v>28</v>
      </c>
      <c r="N4" s="4">
        <v>-15.950047</v>
      </c>
      <c r="O4" s="4">
        <v>7.0</v>
      </c>
      <c r="P4" s="4">
        <v>3.0</v>
      </c>
      <c r="Q4" s="4">
        <v>0.285714</v>
      </c>
      <c r="R4" s="4">
        <v>3.0</v>
      </c>
      <c r="S4" s="4">
        <v>-1.505897</v>
      </c>
      <c r="T4" s="4">
        <v>100.0</v>
      </c>
      <c r="U4" s="4">
        <v>0.0</v>
      </c>
      <c r="V4" s="4">
        <v>0.0</v>
      </c>
      <c r="W4" s="4">
        <v>95.82977</v>
      </c>
    </row>
    <row r="5">
      <c r="A5" s="4" t="s">
        <v>19</v>
      </c>
      <c r="B5" s="4" t="s">
        <v>39</v>
      </c>
      <c r="C5" s="4" t="s">
        <v>21</v>
      </c>
      <c r="D5" s="4" t="s">
        <v>40</v>
      </c>
      <c r="E5" s="4" t="s">
        <v>41</v>
      </c>
      <c r="F5" s="4" t="s">
        <v>24</v>
      </c>
      <c r="H5" s="4" t="s">
        <v>33</v>
      </c>
      <c r="J5" s="4" t="s">
        <v>26</v>
      </c>
      <c r="K5" s="4" t="s">
        <v>42</v>
      </c>
      <c r="L5" s="4">
        <v>2.59784</v>
      </c>
      <c r="M5" s="4" t="s">
        <v>28</v>
      </c>
      <c r="N5" s="4">
        <v>-15.040718</v>
      </c>
      <c r="O5" s="4">
        <v>6.0</v>
      </c>
      <c r="P5" s="4">
        <v>3.0</v>
      </c>
      <c r="Q5" s="4">
        <v>0.333333</v>
      </c>
      <c r="R5" s="4">
        <v>2.0</v>
      </c>
      <c r="S5" s="4">
        <v>-1.138986</v>
      </c>
      <c r="T5" s="4">
        <v>100.0</v>
      </c>
      <c r="U5" s="4">
        <v>0.0</v>
      </c>
      <c r="V5" s="4">
        <v>0.0</v>
      </c>
      <c r="W5" s="4">
        <v>95.153629</v>
      </c>
    </row>
    <row r="6">
      <c r="A6" s="1" t="s">
        <v>19</v>
      </c>
      <c r="B6" s="1" t="s">
        <v>43</v>
      </c>
      <c r="C6" s="1" t="s">
        <v>21</v>
      </c>
      <c r="D6" s="1" t="s">
        <v>44</v>
      </c>
      <c r="E6" s="1" t="s">
        <v>45</v>
      </c>
      <c r="F6" s="1" t="s">
        <v>33</v>
      </c>
      <c r="G6" s="1" t="s">
        <v>46</v>
      </c>
      <c r="H6" s="1" t="s">
        <v>26</v>
      </c>
      <c r="I6" s="1"/>
      <c r="J6" s="1" t="s">
        <v>26</v>
      </c>
      <c r="K6" s="1" t="s">
        <v>47</v>
      </c>
      <c r="L6" s="1">
        <v>0.74502</v>
      </c>
      <c r="M6" s="1" t="s">
        <v>28</v>
      </c>
      <c r="N6" s="1">
        <v>-15.260381</v>
      </c>
      <c r="O6" s="1">
        <v>8.0</v>
      </c>
      <c r="P6" s="1">
        <v>3.0</v>
      </c>
      <c r="Q6" s="1">
        <v>0.25</v>
      </c>
      <c r="R6" s="1">
        <v>3.0</v>
      </c>
      <c r="S6" s="1">
        <v>-1.428861</v>
      </c>
      <c r="T6" s="1">
        <v>100.0</v>
      </c>
      <c r="U6" s="1">
        <v>0.0</v>
      </c>
      <c r="V6" s="1">
        <v>0.0</v>
      </c>
      <c r="W6" s="1">
        <v>97.560758</v>
      </c>
    </row>
    <row r="7">
      <c r="A7" s="4" t="s">
        <v>19</v>
      </c>
      <c r="B7" s="4" t="s">
        <v>48</v>
      </c>
      <c r="C7" s="4" t="s">
        <v>21</v>
      </c>
      <c r="D7" s="4" t="s">
        <v>49</v>
      </c>
      <c r="E7" s="4" t="s">
        <v>50</v>
      </c>
      <c r="F7" s="4" t="s">
        <v>24</v>
      </c>
      <c r="H7" s="4" t="s">
        <v>33</v>
      </c>
      <c r="J7" s="4" t="s">
        <v>26</v>
      </c>
      <c r="K7" s="4" t="s">
        <v>51</v>
      </c>
      <c r="L7" s="4">
        <v>3.46182</v>
      </c>
      <c r="M7" s="4" t="s">
        <v>28</v>
      </c>
      <c r="N7" s="4">
        <v>-16.481134</v>
      </c>
      <c r="O7" s="4">
        <v>7.0</v>
      </c>
      <c r="P7" s="4">
        <v>3.0</v>
      </c>
      <c r="Q7" s="4">
        <v>0.285714</v>
      </c>
      <c r="R7" s="4">
        <v>2.0</v>
      </c>
      <c r="S7" s="4">
        <v>-1.079586</v>
      </c>
      <c r="T7" s="4">
        <v>100.0</v>
      </c>
      <c r="U7" s="4">
        <v>0.0</v>
      </c>
      <c r="V7" s="4">
        <v>0.0</v>
      </c>
      <c r="W7" s="4">
        <v>94.724994</v>
      </c>
    </row>
    <row r="8">
      <c r="A8" s="4" t="s">
        <v>19</v>
      </c>
      <c r="B8" s="4" t="s">
        <v>52</v>
      </c>
      <c r="C8" s="4" t="s">
        <v>21</v>
      </c>
      <c r="D8" s="4" t="s">
        <v>53</v>
      </c>
      <c r="E8" s="4" t="s">
        <v>54</v>
      </c>
      <c r="F8" s="4" t="s">
        <v>33</v>
      </c>
      <c r="G8" s="4" t="s">
        <v>55</v>
      </c>
      <c r="H8" s="4" t="s">
        <v>33</v>
      </c>
      <c r="J8" s="4" t="s">
        <v>26</v>
      </c>
      <c r="K8" s="4" t="s">
        <v>56</v>
      </c>
      <c r="L8" s="4">
        <v>1.78011999999999</v>
      </c>
      <c r="M8" s="4" t="s">
        <v>28</v>
      </c>
      <c r="N8" s="4">
        <v>-15.209335</v>
      </c>
      <c r="O8" s="4">
        <v>9.0</v>
      </c>
      <c r="P8" s="4">
        <v>3.0</v>
      </c>
      <c r="Q8" s="4">
        <v>0.555556</v>
      </c>
      <c r="R8" s="4">
        <v>2.0</v>
      </c>
      <c r="S8" s="4">
        <v>-0.616797</v>
      </c>
      <c r="T8" s="4">
        <v>100.0</v>
      </c>
      <c r="U8" s="4">
        <v>0.0</v>
      </c>
      <c r="V8" s="4">
        <v>0.0</v>
      </c>
      <c r="W8" s="4">
        <v>98.729424</v>
      </c>
    </row>
    <row r="9">
      <c r="A9" s="4" t="s">
        <v>19</v>
      </c>
      <c r="B9" s="4" t="s">
        <v>57</v>
      </c>
      <c r="C9" s="4" t="s">
        <v>21</v>
      </c>
      <c r="D9" s="4" t="s">
        <v>58</v>
      </c>
      <c r="E9" s="4" t="s">
        <v>59</v>
      </c>
      <c r="F9" s="4" t="s">
        <v>24</v>
      </c>
      <c r="H9" s="4" t="s">
        <v>33</v>
      </c>
      <c r="J9" s="4" t="s">
        <v>26</v>
      </c>
      <c r="K9" s="4" t="s">
        <v>60</v>
      </c>
      <c r="L9" s="4">
        <v>2.15009999999999</v>
      </c>
      <c r="M9" s="4" t="s">
        <v>28</v>
      </c>
      <c r="N9" s="4">
        <v>-17.724274</v>
      </c>
      <c r="O9" s="4">
        <v>8.0</v>
      </c>
      <c r="P9" s="4">
        <v>3.0</v>
      </c>
      <c r="Q9" s="4">
        <v>0.25</v>
      </c>
      <c r="R9" s="4">
        <v>2.0</v>
      </c>
      <c r="S9" s="4">
        <v>-1.29152999999999</v>
      </c>
      <c r="T9" s="4">
        <v>100.0</v>
      </c>
      <c r="U9" s="4">
        <v>0.0</v>
      </c>
      <c r="V9" s="4">
        <v>0.0</v>
      </c>
      <c r="W9" s="4">
        <v>94.234196</v>
      </c>
    </row>
    <row r="10">
      <c r="A10" s="4" t="s">
        <v>19</v>
      </c>
      <c r="B10" s="4" t="s">
        <v>61</v>
      </c>
      <c r="C10" s="4" t="s">
        <v>21</v>
      </c>
      <c r="D10" s="4" t="s">
        <v>62</v>
      </c>
      <c r="E10" s="4" t="s">
        <v>63</v>
      </c>
      <c r="F10" s="4" t="s">
        <v>24</v>
      </c>
      <c r="H10" s="4" t="s">
        <v>33</v>
      </c>
      <c r="J10" s="4" t="s">
        <v>26</v>
      </c>
      <c r="L10" s="4">
        <v>3.28324</v>
      </c>
      <c r="M10" s="4" t="s">
        <v>28</v>
      </c>
      <c r="N10" s="4">
        <v>-16.448389</v>
      </c>
      <c r="O10" s="4">
        <v>9.0</v>
      </c>
      <c r="P10" s="4">
        <v>3.0</v>
      </c>
      <c r="Q10" s="4">
        <v>0.333333</v>
      </c>
      <c r="R10" s="4">
        <v>2.0</v>
      </c>
      <c r="S10" s="4">
        <v>-1.562614</v>
      </c>
      <c r="T10" s="4">
        <v>100.0</v>
      </c>
      <c r="U10" s="4">
        <v>0.0</v>
      </c>
      <c r="V10" s="4">
        <v>0.0</v>
      </c>
      <c r="W10" s="4">
        <v>96.32233</v>
      </c>
    </row>
    <row r="11">
      <c r="A11" s="4" t="s">
        <v>19</v>
      </c>
      <c r="B11" s="4" t="s">
        <v>64</v>
      </c>
      <c r="C11" s="4" t="s">
        <v>21</v>
      </c>
      <c r="D11" s="4" t="s">
        <v>65</v>
      </c>
      <c r="E11" s="4" t="s">
        <v>66</v>
      </c>
      <c r="F11" s="4" t="s">
        <v>26</v>
      </c>
      <c r="G11" s="4" t="s">
        <v>67</v>
      </c>
      <c r="H11" s="4" t="s">
        <v>26</v>
      </c>
      <c r="J11" s="4" t="s">
        <v>26</v>
      </c>
      <c r="L11" s="4">
        <v>3.7694</v>
      </c>
      <c r="M11" s="4" t="s">
        <v>28</v>
      </c>
      <c r="N11" s="4">
        <v>-17.086206</v>
      </c>
      <c r="O11" s="4">
        <v>7.0</v>
      </c>
      <c r="P11" s="4">
        <v>4.0</v>
      </c>
      <c r="Q11" s="4">
        <v>0.285714</v>
      </c>
      <c r="R11" s="4">
        <v>3.0</v>
      </c>
      <c r="S11" s="4">
        <v>-1.038701</v>
      </c>
      <c r="T11" s="4">
        <v>100.0</v>
      </c>
      <c r="U11" s="4">
        <v>0.0</v>
      </c>
      <c r="V11" s="4">
        <v>0.0</v>
      </c>
      <c r="W11" s="4">
        <v>96.160807</v>
      </c>
    </row>
    <row r="12">
      <c r="A12" s="4" t="s">
        <v>19</v>
      </c>
      <c r="B12" s="4" t="s">
        <v>68</v>
      </c>
      <c r="C12" s="4" t="s">
        <v>21</v>
      </c>
      <c r="D12" s="4" t="s">
        <v>69</v>
      </c>
      <c r="E12" s="4" t="s">
        <v>70</v>
      </c>
      <c r="F12" s="4" t="s">
        <v>33</v>
      </c>
      <c r="H12" s="4" t="s">
        <v>33</v>
      </c>
      <c r="I12" s="4" t="s">
        <v>71</v>
      </c>
      <c r="J12" s="4" t="s">
        <v>26</v>
      </c>
      <c r="L12" s="4">
        <v>4.1438</v>
      </c>
      <c r="M12" s="4" t="s">
        <v>28</v>
      </c>
      <c r="N12" s="4">
        <v>-15.386234</v>
      </c>
      <c r="O12" s="4">
        <v>11.0</v>
      </c>
      <c r="P12" s="4">
        <v>4.0</v>
      </c>
      <c r="Q12" s="4">
        <v>0.454545</v>
      </c>
      <c r="R12" s="4">
        <v>2.0</v>
      </c>
      <c r="S12" s="4">
        <v>-0.508212</v>
      </c>
      <c r="T12" s="4">
        <v>100.0</v>
      </c>
      <c r="U12" s="4">
        <v>0.0</v>
      </c>
      <c r="V12" s="4">
        <v>0.0</v>
      </c>
      <c r="W12" s="4">
        <v>101.560099</v>
      </c>
    </row>
    <row r="13">
      <c r="A13" s="4" t="s">
        <v>19</v>
      </c>
      <c r="B13" s="4" t="s">
        <v>72</v>
      </c>
      <c r="C13" s="4" t="s">
        <v>73</v>
      </c>
      <c r="D13" s="4" t="s">
        <v>74</v>
      </c>
      <c r="E13" s="4" t="s">
        <v>75</v>
      </c>
      <c r="F13" s="4" t="s">
        <v>33</v>
      </c>
      <c r="H13" s="4" t="s">
        <v>33</v>
      </c>
      <c r="J13" s="4" t="s">
        <v>26</v>
      </c>
      <c r="L13" s="4">
        <v>2.8567</v>
      </c>
      <c r="M13" s="4" t="s">
        <v>28</v>
      </c>
      <c r="N13" s="4">
        <v>-15.124595</v>
      </c>
      <c r="O13" s="4">
        <v>8.0</v>
      </c>
      <c r="P13" s="4">
        <v>5.0</v>
      </c>
      <c r="Q13" s="4">
        <v>0.375</v>
      </c>
      <c r="R13" s="4">
        <v>2.0</v>
      </c>
      <c r="S13" s="4">
        <v>-0.84012</v>
      </c>
      <c r="T13" s="4">
        <v>100.0</v>
      </c>
      <c r="U13" s="4">
        <v>0.0</v>
      </c>
      <c r="V13" s="4">
        <v>0.0</v>
      </c>
      <c r="W13" s="4">
        <v>99.410285</v>
      </c>
    </row>
    <row r="14">
      <c r="A14" s="4" t="s">
        <v>19</v>
      </c>
      <c r="B14" s="4" t="s">
        <v>76</v>
      </c>
      <c r="C14" s="4" t="s">
        <v>73</v>
      </c>
      <c r="D14" s="4" t="s">
        <v>77</v>
      </c>
      <c r="E14" s="4" t="s">
        <v>78</v>
      </c>
      <c r="F14" s="4" t="s">
        <v>33</v>
      </c>
      <c r="H14" s="4" t="s">
        <v>33</v>
      </c>
      <c r="J14" s="4" t="s">
        <v>26</v>
      </c>
      <c r="L14" s="4">
        <v>1.89272</v>
      </c>
      <c r="M14" s="4" t="s">
        <v>28</v>
      </c>
      <c r="N14" s="4">
        <v>-15.196061</v>
      </c>
      <c r="O14" s="4">
        <v>7.0</v>
      </c>
      <c r="P14" s="4">
        <v>2.0</v>
      </c>
      <c r="Q14" s="4">
        <v>0.285714</v>
      </c>
      <c r="R14" s="4">
        <v>2.0</v>
      </c>
      <c r="S14" s="4">
        <v>-1.471521</v>
      </c>
      <c r="T14" s="4">
        <v>100.0</v>
      </c>
      <c r="U14" s="4">
        <v>0.0</v>
      </c>
      <c r="V14" s="4">
        <v>0.0</v>
      </c>
      <c r="W14" s="4">
        <v>94.618132</v>
      </c>
    </row>
    <row r="15">
      <c r="A15" s="4" t="s">
        <v>19</v>
      </c>
      <c r="B15" s="4" t="s">
        <v>79</v>
      </c>
      <c r="C15" s="4" t="s">
        <v>73</v>
      </c>
      <c r="D15" s="4" t="s">
        <v>80</v>
      </c>
      <c r="E15" s="4" t="s">
        <v>81</v>
      </c>
      <c r="F15" s="4" t="s">
        <v>33</v>
      </c>
      <c r="G15" s="4" t="s">
        <v>82</v>
      </c>
      <c r="H15" s="4" t="s">
        <v>33</v>
      </c>
      <c r="J15" s="4" t="s">
        <v>26</v>
      </c>
      <c r="L15" s="4">
        <v>1.1287</v>
      </c>
      <c r="M15" s="4" t="s">
        <v>28</v>
      </c>
      <c r="N15" s="4">
        <v>-15.111049</v>
      </c>
      <c r="O15" s="4">
        <v>8.0</v>
      </c>
      <c r="P15" s="4">
        <v>4.0</v>
      </c>
      <c r="Q15" s="4">
        <v>0.5</v>
      </c>
      <c r="R15" s="4">
        <v>3.0</v>
      </c>
      <c r="S15" s="4">
        <v>-1.48802099999999</v>
      </c>
      <c r="T15" s="4">
        <v>100.0</v>
      </c>
      <c r="U15" s="4">
        <v>0.0</v>
      </c>
      <c r="V15" s="4">
        <v>0.0</v>
      </c>
      <c r="W15" s="4">
        <v>98.90093</v>
      </c>
    </row>
    <row r="16">
      <c r="A16" s="4" t="s">
        <v>19</v>
      </c>
      <c r="B16" s="4" t="s">
        <v>83</v>
      </c>
      <c r="C16" s="4" t="s">
        <v>73</v>
      </c>
      <c r="D16" s="4" t="s">
        <v>84</v>
      </c>
      <c r="E16" s="4" t="s">
        <v>85</v>
      </c>
      <c r="F16" s="4" t="s">
        <v>24</v>
      </c>
      <c r="H16" s="4" t="s">
        <v>33</v>
      </c>
      <c r="J16" s="4" t="s">
        <v>26</v>
      </c>
      <c r="L16" s="4">
        <v>2.22049999999999</v>
      </c>
      <c r="M16" s="4" t="s">
        <v>28</v>
      </c>
      <c r="N16" s="4">
        <v>-15.19198</v>
      </c>
      <c r="O16" s="4">
        <v>8.0</v>
      </c>
      <c r="P16" s="4">
        <v>3.0</v>
      </c>
      <c r="Q16" s="4">
        <v>0.375</v>
      </c>
      <c r="R16" s="4">
        <v>2.0</v>
      </c>
      <c r="S16" s="4">
        <v>-1.182302</v>
      </c>
      <c r="T16" s="4">
        <v>100.0</v>
      </c>
      <c r="U16" s="4">
        <v>0.0</v>
      </c>
      <c r="V16" s="4">
        <v>0.0</v>
      </c>
      <c r="W16" s="4">
        <v>97.000718</v>
      </c>
    </row>
    <row r="17">
      <c r="A17" s="4" t="s">
        <v>19</v>
      </c>
      <c r="B17" s="4" t="s">
        <v>86</v>
      </c>
      <c r="C17" s="4" t="s">
        <v>73</v>
      </c>
      <c r="D17" s="4" t="s">
        <v>87</v>
      </c>
      <c r="E17" s="4" t="s">
        <v>88</v>
      </c>
      <c r="F17" s="4" t="s">
        <v>24</v>
      </c>
      <c r="H17" s="4" t="s">
        <v>26</v>
      </c>
      <c r="J17" s="4" t="s">
        <v>26</v>
      </c>
      <c r="L17" s="4">
        <v>2.4222</v>
      </c>
      <c r="M17" s="4" t="s">
        <v>28</v>
      </c>
      <c r="N17" s="4">
        <v>-15.653385</v>
      </c>
      <c r="O17" s="4">
        <v>8.0</v>
      </c>
      <c r="P17" s="4">
        <v>3.0</v>
      </c>
      <c r="Q17" s="4">
        <v>0.25</v>
      </c>
      <c r="R17" s="4">
        <v>2.0</v>
      </c>
      <c r="S17" s="4">
        <v>-0.166637</v>
      </c>
      <c r="T17" s="4">
        <v>100.0</v>
      </c>
      <c r="U17" s="4">
        <v>0.0</v>
      </c>
      <c r="V17" s="4">
        <v>0.0</v>
      </c>
      <c r="W17" s="4">
        <v>97.429978</v>
      </c>
    </row>
    <row r="18">
      <c r="A18" s="4" t="s">
        <v>19</v>
      </c>
      <c r="B18" s="4" t="s">
        <v>89</v>
      </c>
      <c r="C18" s="4" t="s">
        <v>73</v>
      </c>
      <c r="D18" s="4" t="s">
        <v>90</v>
      </c>
      <c r="E18" s="4" t="s">
        <v>91</v>
      </c>
      <c r="F18" s="4" t="s">
        <v>24</v>
      </c>
      <c r="G18" s="4" t="s">
        <v>92</v>
      </c>
      <c r="H18" s="4" t="s">
        <v>33</v>
      </c>
      <c r="J18" s="4" t="s">
        <v>26</v>
      </c>
      <c r="L18" s="4">
        <v>3.0355</v>
      </c>
      <c r="M18" s="4" t="s">
        <v>28</v>
      </c>
      <c r="N18" s="4">
        <v>-15.759066</v>
      </c>
      <c r="O18" s="4">
        <v>7.0</v>
      </c>
      <c r="P18" s="4">
        <v>2.0</v>
      </c>
      <c r="Q18" s="4">
        <v>0.571429</v>
      </c>
      <c r="R18" s="4">
        <v>2.0</v>
      </c>
      <c r="S18" s="4">
        <v>-0.931789</v>
      </c>
      <c r="T18" s="4">
        <v>100.0</v>
      </c>
      <c r="U18" s="4">
        <v>0.0</v>
      </c>
      <c r="V18" s="4">
        <v>0.0</v>
      </c>
      <c r="W18" s="4">
        <v>94.880574</v>
      </c>
    </row>
  </sheetData>
  <conditionalFormatting sqref="F1 H1 J1">
    <cfRule type="containsText" dxfId="0" priority="1" operator="containsText" text="yes">
      <formula>NOT(ISERROR(SEARCH(("yes"),(F1))))</formula>
    </cfRule>
  </conditionalFormatting>
  <conditionalFormatting sqref="F1 H1 J1">
    <cfRule type="containsText" dxfId="1" priority="2" operator="containsText" text="decent">
      <formula>NOT(ISERROR(SEARCH(("decent"),(F1))))</formula>
    </cfRule>
  </conditionalFormatting>
  <conditionalFormatting sqref="F1 H1 J1">
    <cfRule type="containsText" dxfId="2" priority="3" operator="containsText" text="maybe">
      <formula>NOT(ISERROR(SEARCH(("maybe"),(F1))))</formula>
    </cfRule>
  </conditionalFormatting>
  <conditionalFormatting sqref="F1 H1 J1">
    <cfRule type="containsText" dxfId="3" priority="4" operator="containsText" text="no">
      <formula>NOT(ISERROR(SEARCH(("no"),(F1))))</formula>
    </cfRule>
  </conditionalFormatting>
  <conditionalFormatting sqref="L1:L101">
    <cfRule type="cellIs" dxfId="4" priority="5" operator="lessThanOrEqual">
      <formula>1</formula>
    </cfRule>
  </conditionalFormatting>
  <conditionalFormatting sqref="L1:L101">
    <cfRule type="cellIs" dxfId="4" priority="6" operator="greaterThanOrEqual">
      <formula>5</formula>
    </cfRule>
  </conditionalFormatting>
  <conditionalFormatting sqref="L1:L101">
    <cfRule type="cellIs" dxfId="5" priority="7" operator="lessThanOrEqual">
      <formula>2</formula>
    </cfRule>
  </conditionalFormatting>
  <conditionalFormatting sqref="L1:L101">
    <cfRule type="cellIs" dxfId="5" priority="8" operator="greaterThanOrEqual">
      <formula>4</formula>
    </cfRule>
  </conditionalFormatting>
  <conditionalFormatting sqref="L1:L101">
    <cfRule type="cellIs" dxfId="0" priority="9" operator="between">
      <formula>2</formula>
      <formula>4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2.0" ySplit="1.0" topLeftCell="M2" activePane="bottomRight" state="frozen"/>
      <selection activeCell="M1" sqref="M1" pane="topRight"/>
      <selection activeCell="A2" sqref="A2" pane="bottomLeft"/>
      <selection activeCell="M2" sqref="M2" pane="bottomRight"/>
    </sheetView>
  </sheetViews>
  <sheetFormatPr customHeight="1" defaultColWidth="12.63" defaultRowHeight="15.75"/>
  <cols>
    <col customWidth="1" min="4" max="4" width="20.88"/>
    <col customWidth="1" min="5" max="12" width="12.25"/>
  </cols>
  <sheetData>
    <row r="1">
      <c r="A1" s="1"/>
      <c r="B1" s="1" t="s">
        <v>0</v>
      </c>
      <c r="C1" s="1"/>
      <c r="D1" s="1" t="s">
        <v>1</v>
      </c>
      <c r="E1" s="3" t="s">
        <v>3</v>
      </c>
      <c r="F1" s="3" t="s">
        <v>4</v>
      </c>
      <c r="G1" s="3" t="s">
        <v>5</v>
      </c>
      <c r="H1" s="3" t="s">
        <v>4</v>
      </c>
      <c r="I1" s="2" t="s">
        <v>6</v>
      </c>
      <c r="J1" s="2" t="s">
        <v>4</v>
      </c>
      <c r="K1" s="2" t="s">
        <v>2</v>
      </c>
      <c r="L1" s="2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</row>
    <row r="2">
      <c r="A2" s="1" t="s">
        <v>19</v>
      </c>
      <c r="B2" s="1" t="s">
        <v>20</v>
      </c>
      <c r="C2" s="1" t="s">
        <v>21</v>
      </c>
      <c r="D2" s="1" t="s">
        <v>22</v>
      </c>
      <c r="E2" s="3" t="str">
        <f>'res122 Ari'!C2</f>
        <v>maybe</v>
      </c>
      <c r="F2" s="3" t="str">
        <f>'res122 Ari'!D2</f>
        <v>probably reject over how it hits arg160 and asn402</v>
      </c>
      <c r="G2" s="3" t="str">
        <f>'res122 Summer'!C2</f>
        <v>yes</v>
      </c>
      <c r="H2" s="3" t="str">
        <f>'res122 Summer'!D2</f>
        <v/>
      </c>
      <c r="I2" s="3" t="s">
        <v>26</v>
      </c>
      <c r="J2" s="3" t="s">
        <v>27</v>
      </c>
      <c r="K2" s="3" t="s">
        <v>23</v>
      </c>
      <c r="L2" s="3">
        <v>3.4305</v>
      </c>
      <c r="M2" s="1" t="str">
        <f>IFERROR(__xludf.DUMMYFUNCTION("IFERROR(REGEXEXTRACT(G2, ""res(269|122)""), ""none"")"),"none")</f>
        <v>none</v>
      </c>
      <c r="N2" s="1">
        <v>-15.535781</v>
      </c>
      <c r="O2" s="1">
        <v>9.0</v>
      </c>
      <c r="P2" s="1">
        <v>3.0</v>
      </c>
      <c r="Q2" s="1">
        <v>0.444444</v>
      </c>
      <c r="R2" s="1">
        <v>2.0</v>
      </c>
      <c r="S2" s="1">
        <v>-1.719191</v>
      </c>
      <c r="T2" s="1">
        <v>100.0</v>
      </c>
      <c r="U2" s="1">
        <v>0.0</v>
      </c>
      <c r="V2" s="1">
        <v>0.0</v>
      </c>
      <c r="W2" s="1">
        <v>97.189472</v>
      </c>
    </row>
    <row r="3">
      <c r="A3" s="1" t="s">
        <v>19</v>
      </c>
      <c r="B3" s="1" t="s">
        <v>93</v>
      </c>
      <c r="C3" s="1" t="s">
        <v>21</v>
      </c>
      <c r="D3" s="1" t="s">
        <v>94</v>
      </c>
      <c r="E3" s="3" t="str">
        <f>'res122 Ari'!C7</f>
        <v>decent</v>
      </c>
      <c r="F3" s="3" t="str">
        <f>'res122 Ari'!D7</f>
        <v>it's bendy, but I like how it hits overall. check strain score</v>
      </c>
      <c r="G3" s="3" t="str">
        <f>'res122 Summer'!C7</f>
        <v>decent</v>
      </c>
      <c r="H3" s="3" t="str">
        <f>'res122 Summer'!D7</f>
        <v/>
      </c>
      <c r="I3" s="3" t="s">
        <v>95</v>
      </c>
      <c r="J3" s="3" t="s">
        <v>96</v>
      </c>
      <c r="K3" s="3" t="s">
        <v>97</v>
      </c>
      <c r="L3" s="3">
        <v>1.90401999999999</v>
      </c>
      <c r="M3" s="1" t="str">
        <f>IFERROR(__xludf.DUMMYFUNCTION("IFERROR(REGEXEXTRACT(G3, ""res(269|122)""), ""none"")"),"none")</f>
        <v>none</v>
      </c>
      <c r="N3" s="1">
        <v>-16.222639</v>
      </c>
      <c r="O3" s="1">
        <v>10.0</v>
      </c>
      <c r="P3" s="1">
        <v>3.0</v>
      </c>
      <c r="Q3" s="1">
        <v>0.3</v>
      </c>
      <c r="R3" s="1">
        <v>2.0</v>
      </c>
      <c r="S3" s="1">
        <v>-1.763647</v>
      </c>
      <c r="T3" s="1">
        <v>100.0</v>
      </c>
      <c r="U3" s="1">
        <v>0.0</v>
      </c>
      <c r="V3" s="1">
        <v>0.0</v>
      </c>
      <c r="W3" s="1">
        <v>97.313714</v>
      </c>
    </row>
    <row r="4">
      <c r="A4" s="1" t="s">
        <v>19</v>
      </c>
      <c r="B4" s="1" t="s">
        <v>29</v>
      </c>
      <c r="C4" s="1" t="s">
        <v>21</v>
      </c>
      <c r="D4" s="1" t="s">
        <v>30</v>
      </c>
      <c r="E4" s="3" t="str">
        <f>'res122 Ari'!C8</f>
        <v>maybe</v>
      </c>
      <c r="F4" s="3" t="str">
        <f>'res122 Ari'!D8</f>
        <v>misses res122 but pose looks not terrible</v>
      </c>
      <c r="G4" s="3" t="str">
        <f>'res122 Summer'!C8</f>
        <v>decent</v>
      </c>
      <c r="H4" s="3" t="str">
        <f>'res122 Summer'!D8</f>
        <v/>
      </c>
      <c r="I4" s="3" t="s">
        <v>26</v>
      </c>
      <c r="J4" s="3" t="s">
        <v>27</v>
      </c>
      <c r="K4" s="3" t="s">
        <v>31</v>
      </c>
      <c r="L4" s="3">
        <v>1.99753999999999</v>
      </c>
      <c r="M4" s="1" t="str">
        <f>IFERROR(__xludf.DUMMYFUNCTION("IFERROR(REGEXEXTRACT(G4, ""res(269|122)""), ""none"")"),"none")</f>
        <v>none</v>
      </c>
      <c r="N4" s="1">
        <v>-15.296063</v>
      </c>
      <c r="O4" s="1">
        <v>8.0</v>
      </c>
      <c r="P4" s="1">
        <v>3.0</v>
      </c>
      <c r="Q4" s="1">
        <v>0.25</v>
      </c>
      <c r="R4" s="1">
        <v>2.0</v>
      </c>
      <c r="S4" s="1">
        <v>-1.293353</v>
      </c>
      <c r="T4" s="1">
        <v>100.0</v>
      </c>
      <c r="U4" s="1">
        <v>0.0</v>
      </c>
      <c r="V4" s="1">
        <v>0.0</v>
      </c>
      <c r="W4" s="1">
        <v>96.660584</v>
      </c>
    </row>
    <row r="5">
      <c r="A5" s="1" t="s">
        <v>19</v>
      </c>
      <c r="B5" s="1" t="s">
        <v>34</v>
      </c>
      <c r="C5" s="1" t="s">
        <v>21</v>
      </c>
      <c r="D5" s="1" t="s">
        <v>35</v>
      </c>
      <c r="E5" s="3" t="str">
        <f>'res122 Ari'!C10</f>
        <v>decent</v>
      </c>
      <c r="F5" s="3" t="str">
        <f>'res122 Ari'!D10</f>
        <v>can carbonyl point into tyrosine like into a benzene?</v>
      </c>
      <c r="G5" s="3" t="str">
        <f>'res122 Summer'!C10</f>
        <v>yes</v>
      </c>
      <c r="H5" s="3" t="str">
        <f>'res122 Summer'!D10</f>
        <v/>
      </c>
      <c r="I5" s="3" t="s">
        <v>26</v>
      </c>
      <c r="J5" s="3" t="s">
        <v>38</v>
      </c>
      <c r="K5" s="3" t="s">
        <v>36</v>
      </c>
      <c r="L5" s="3">
        <v>3.08384</v>
      </c>
      <c r="M5" s="1" t="str">
        <f>IFERROR(__xludf.DUMMYFUNCTION("IFERROR(REGEXEXTRACT(G5, ""res(269|122)""), ""none"")"),"none")</f>
        <v>none</v>
      </c>
      <c r="N5" s="1">
        <v>-15.950047</v>
      </c>
      <c r="O5" s="1">
        <v>7.0</v>
      </c>
      <c r="P5" s="1">
        <v>3.0</v>
      </c>
      <c r="Q5" s="1">
        <v>0.285714</v>
      </c>
      <c r="R5" s="1">
        <v>3.0</v>
      </c>
      <c r="S5" s="1">
        <v>-1.505897</v>
      </c>
      <c r="T5" s="1">
        <v>100.0</v>
      </c>
      <c r="U5" s="1">
        <v>0.0</v>
      </c>
      <c r="V5" s="1">
        <v>0.0</v>
      </c>
      <c r="W5" s="1">
        <v>95.82977</v>
      </c>
    </row>
    <row r="6">
      <c r="A6" s="1" t="s">
        <v>19</v>
      </c>
      <c r="B6" s="1" t="s">
        <v>98</v>
      </c>
      <c r="C6" s="1" t="s">
        <v>21</v>
      </c>
      <c r="D6" s="1" t="s">
        <v>99</v>
      </c>
      <c r="E6" s="3" t="str">
        <f>'res122 Ari'!C12</f>
        <v>maybe</v>
      </c>
      <c r="F6" s="3" t="str">
        <f>'res122 Ari'!D12</f>
        <v>not great against tyr122</v>
      </c>
      <c r="G6" s="3" t="str">
        <f>'res122 Summer'!C12</f>
        <v>decent</v>
      </c>
      <c r="H6" s="3" t="str">
        <f>'res122 Summer'!D12</f>
        <v/>
      </c>
      <c r="I6" s="3" t="s">
        <v>24</v>
      </c>
      <c r="J6" s="3" t="s">
        <v>100</v>
      </c>
      <c r="K6" s="3" t="s">
        <v>101</v>
      </c>
      <c r="L6" s="3">
        <v>1.38522</v>
      </c>
      <c r="M6" s="1" t="str">
        <f>IFERROR(__xludf.DUMMYFUNCTION("IFERROR(REGEXEXTRACT(G6, ""res(269|122)""), ""none"")"),"none")</f>
        <v>none</v>
      </c>
      <c r="N6" s="1">
        <v>-15.476613</v>
      </c>
      <c r="O6" s="1">
        <v>12.0</v>
      </c>
      <c r="P6" s="1">
        <v>4.0</v>
      </c>
      <c r="Q6" s="1">
        <v>0.333333</v>
      </c>
      <c r="R6" s="1">
        <v>2.0</v>
      </c>
      <c r="S6" s="1">
        <v>-0.623346</v>
      </c>
      <c r="T6" s="1">
        <v>100.0</v>
      </c>
      <c r="U6" s="1">
        <v>0.0</v>
      </c>
      <c r="V6" s="1">
        <v>0.0</v>
      </c>
      <c r="W6" s="1">
        <v>102.233374</v>
      </c>
    </row>
    <row r="7">
      <c r="A7" s="1" t="s">
        <v>19</v>
      </c>
      <c r="B7" s="1" t="s">
        <v>39</v>
      </c>
      <c r="C7" s="1" t="s">
        <v>21</v>
      </c>
      <c r="D7" s="1" t="s">
        <v>40</v>
      </c>
      <c r="E7" s="3" t="str">
        <f>'res122 Ari'!C17</f>
        <v>maybe</v>
      </c>
      <c r="F7" s="3" t="str">
        <f>'res122 Ari'!D17</f>
        <v/>
      </c>
      <c r="G7" s="3" t="str">
        <f>'res122 Summer'!C17</f>
        <v>decent</v>
      </c>
      <c r="H7" s="3" t="str">
        <f>'res122 Summer'!D17</f>
        <v/>
      </c>
      <c r="I7" s="3" t="s">
        <v>26</v>
      </c>
      <c r="J7" s="3" t="s">
        <v>42</v>
      </c>
      <c r="K7" s="3" t="s">
        <v>41</v>
      </c>
      <c r="L7" s="3">
        <v>2.59784</v>
      </c>
      <c r="M7" s="1" t="str">
        <f>IFERROR(__xludf.DUMMYFUNCTION("IFERROR(REGEXEXTRACT(G7, ""res(269|122)""), ""none"")"),"none")</f>
        <v>none</v>
      </c>
      <c r="N7" s="1">
        <v>-15.040718</v>
      </c>
      <c r="O7" s="1">
        <v>6.0</v>
      </c>
      <c r="P7" s="1">
        <v>3.0</v>
      </c>
      <c r="Q7" s="1">
        <v>0.333333</v>
      </c>
      <c r="R7" s="1">
        <v>2.0</v>
      </c>
      <c r="S7" s="1">
        <v>-1.138986</v>
      </c>
      <c r="T7" s="1">
        <v>100.0</v>
      </c>
      <c r="U7" s="1">
        <v>0.0</v>
      </c>
      <c r="V7" s="1">
        <v>0.0</v>
      </c>
      <c r="W7" s="1">
        <v>95.153629</v>
      </c>
    </row>
    <row r="8">
      <c r="A8" s="1" t="s">
        <v>19</v>
      </c>
      <c r="B8" s="1" t="s">
        <v>43</v>
      </c>
      <c r="C8" s="1" t="s">
        <v>21</v>
      </c>
      <c r="D8" s="1" t="s">
        <v>44</v>
      </c>
      <c r="E8" s="3" t="str">
        <f>'res122 Ari'!C18</f>
        <v>decent</v>
      </c>
      <c r="F8" s="3" t="str">
        <f>'res122 Ari'!D18</f>
        <v>I like all the intereactions and maybe tyr188 could work</v>
      </c>
      <c r="G8" s="3" t="str">
        <f>'res122 Summer'!C18</f>
        <v>yes</v>
      </c>
      <c r="H8" s="3" t="str">
        <f>'res122 Summer'!D18</f>
        <v/>
      </c>
      <c r="I8" s="3" t="s">
        <v>26</v>
      </c>
      <c r="J8" s="3" t="s">
        <v>47</v>
      </c>
      <c r="K8" s="3" t="s">
        <v>45</v>
      </c>
      <c r="L8" s="3">
        <v>0.74502</v>
      </c>
      <c r="M8" s="1" t="str">
        <f>IFERROR(__xludf.DUMMYFUNCTION("IFERROR(REGEXEXTRACT(G8, ""res(269|122)""), ""none"")"),"none")</f>
        <v>none</v>
      </c>
      <c r="N8" s="1">
        <v>-15.260381</v>
      </c>
      <c r="O8" s="1">
        <v>8.0</v>
      </c>
      <c r="P8" s="1">
        <v>3.0</v>
      </c>
      <c r="Q8" s="1">
        <v>0.25</v>
      </c>
      <c r="R8" s="1">
        <v>3.0</v>
      </c>
      <c r="S8" s="1">
        <v>-1.428861</v>
      </c>
      <c r="T8" s="1">
        <v>100.0</v>
      </c>
      <c r="U8" s="1">
        <v>0.0</v>
      </c>
      <c r="V8" s="1">
        <v>0.0</v>
      </c>
      <c r="W8" s="1">
        <v>97.560758</v>
      </c>
    </row>
    <row r="9">
      <c r="A9" s="1" t="s">
        <v>19</v>
      </c>
      <c r="B9" s="1" t="s">
        <v>48</v>
      </c>
      <c r="C9" s="1" t="s">
        <v>21</v>
      </c>
      <c r="D9" s="1" t="s">
        <v>49</v>
      </c>
      <c r="E9" s="3" t="str">
        <f>'res122 Ari'!C23</f>
        <v>maybe</v>
      </c>
      <c r="F9" s="3" t="str">
        <f>'res122 Ari'!D23</f>
        <v/>
      </c>
      <c r="G9" s="3" t="str">
        <f>'res122 Summer'!C23</f>
        <v>decent</v>
      </c>
      <c r="H9" s="3" t="str">
        <f>'res122 Summer'!D23</f>
        <v/>
      </c>
      <c r="I9" s="3" t="s">
        <v>26</v>
      </c>
      <c r="J9" s="3" t="s">
        <v>51</v>
      </c>
      <c r="K9" s="3" t="s">
        <v>50</v>
      </c>
      <c r="L9" s="3">
        <v>3.46182</v>
      </c>
      <c r="M9" s="1" t="str">
        <f>IFERROR(__xludf.DUMMYFUNCTION("IFERROR(REGEXEXTRACT(G9, ""res(269|122)""), ""none"")"),"none")</f>
        <v>none</v>
      </c>
      <c r="N9" s="1">
        <v>-16.481134</v>
      </c>
      <c r="O9" s="1">
        <v>7.0</v>
      </c>
      <c r="P9" s="1">
        <v>3.0</v>
      </c>
      <c r="Q9" s="1">
        <v>0.285714</v>
      </c>
      <c r="R9" s="1">
        <v>2.0</v>
      </c>
      <c r="S9" s="1">
        <v>-1.079586</v>
      </c>
      <c r="T9" s="1">
        <v>100.0</v>
      </c>
      <c r="U9" s="1">
        <v>0.0</v>
      </c>
      <c r="V9" s="1">
        <v>0.0</v>
      </c>
      <c r="W9" s="1">
        <v>94.724994</v>
      </c>
    </row>
    <row r="10">
      <c r="A10" s="1" t="s">
        <v>19</v>
      </c>
      <c r="B10" s="1" t="s">
        <v>52</v>
      </c>
      <c r="C10" s="1" t="s">
        <v>21</v>
      </c>
      <c r="D10" s="1" t="s">
        <v>53</v>
      </c>
      <c r="E10" s="3" t="str">
        <f>'res122 Ari'!C24</f>
        <v>decent</v>
      </c>
      <c r="F10" s="3" t="str">
        <f>'res122 Ari'!D24</f>
        <v>a lot of questionable interactions seem corroborated by real motifs</v>
      </c>
      <c r="G10" s="3" t="str">
        <f>'res122 Summer'!C24</f>
        <v>decent</v>
      </c>
      <c r="H10" s="3" t="str">
        <f>'res122 Summer'!D24</f>
        <v/>
      </c>
      <c r="I10" s="3" t="s">
        <v>26</v>
      </c>
      <c r="J10" s="3" t="s">
        <v>56</v>
      </c>
      <c r="K10" s="3" t="s">
        <v>54</v>
      </c>
      <c r="L10" s="3">
        <v>1.78011999999999</v>
      </c>
      <c r="M10" s="1" t="str">
        <f>IFERROR(__xludf.DUMMYFUNCTION("IFERROR(REGEXEXTRACT(G10, ""res(269|122)""), ""none"")"),"none")</f>
        <v>none</v>
      </c>
      <c r="N10" s="1">
        <v>-15.209335</v>
      </c>
      <c r="O10" s="1">
        <v>9.0</v>
      </c>
      <c r="P10" s="1">
        <v>3.0</v>
      </c>
      <c r="Q10" s="1">
        <v>0.555556</v>
      </c>
      <c r="R10" s="1">
        <v>2.0</v>
      </c>
      <c r="S10" s="1">
        <v>-0.616797</v>
      </c>
      <c r="T10" s="1">
        <v>100.0</v>
      </c>
      <c r="U10" s="1">
        <v>0.0</v>
      </c>
      <c r="V10" s="1">
        <v>0.0</v>
      </c>
      <c r="W10" s="1">
        <v>98.729424</v>
      </c>
    </row>
    <row r="11">
      <c r="A11" s="1" t="s">
        <v>19</v>
      </c>
      <c r="B11" s="1" t="s">
        <v>57</v>
      </c>
      <c r="C11" s="1" t="s">
        <v>21</v>
      </c>
      <c r="D11" s="1" t="s">
        <v>58</v>
      </c>
      <c r="E11" s="3" t="str">
        <f>'res122 Ari'!C27</f>
        <v>maybe</v>
      </c>
      <c r="F11" s="3" t="str">
        <f>'res122 Ari'!D27</f>
        <v/>
      </c>
      <c r="G11" s="3" t="str">
        <f>'res122 Summer'!C27</f>
        <v>decent</v>
      </c>
      <c r="H11" s="3" t="str">
        <f>'res122 Summer'!D27</f>
        <v/>
      </c>
      <c r="I11" s="3" t="s">
        <v>26</v>
      </c>
      <c r="J11" s="3" t="s">
        <v>60</v>
      </c>
      <c r="K11" s="3" t="s">
        <v>59</v>
      </c>
      <c r="L11" s="3">
        <v>2.15009999999999</v>
      </c>
      <c r="M11" s="1" t="str">
        <f>IFERROR(__xludf.DUMMYFUNCTION("IFERROR(REGEXEXTRACT(G11, ""res(269|122)""), ""none"")"),"none")</f>
        <v>none</v>
      </c>
      <c r="N11" s="1">
        <v>-17.724274</v>
      </c>
      <c r="O11" s="1">
        <v>8.0</v>
      </c>
      <c r="P11" s="1">
        <v>3.0</v>
      </c>
      <c r="Q11" s="1">
        <v>0.25</v>
      </c>
      <c r="R11" s="1">
        <v>2.0</v>
      </c>
      <c r="S11" s="1">
        <v>-1.29152999999999</v>
      </c>
      <c r="T11" s="1">
        <v>100.0</v>
      </c>
      <c r="U11" s="1">
        <v>0.0</v>
      </c>
      <c r="V11" s="1">
        <v>0.0</v>
      </c>
      <c r="W11" s="1">
        <v>94.234196</v>
      </c>
    </row>
    <row r="12">
      <c r="A12" s="1" t="s">
        <v>19</v>
      </c>
      <c r="B12" s="1" t="s">
        <v>61</v>
      </c>
      <c r="C12" s="1" t="s">
        <v>21</v>
      </c>
      <c r="D12" s="1" t="s">
        <v>62</v>
      </c>
      <c r="E12" s="3" t="str">
        <f>'res122 Ari'!C29</f>
        <v>maybe</v>
      </c>
      <c r="F12" s="3" t="str">
        <f>'res122 Ari'!D29</f>
        <v/>
      </c>
      <c r="G12" s="3" t="str">
        <f>'res122 Summer'!C29</f>
        <v>decent</v>
      </c>
      <c r="H12" s="3" t="str">
        <f>'res122 Summer'!D29</f>
        <v/>
      </c>
      <c r="I12" s="3" t="s">
        <v>26</v>
      </c>
      <c r="J12" s="3" t="str">
        <f>'res122 Mary Shay'!D29</f>
        <v/>
      </c>
      <c r="K12" s="3" t="s">
        <v>63</v>
      </c>
      <c r="L12" s="3">
        <v>3.28324</v>
      </c>
      <c r="M12" s="1" t="str">
        <f>IFERROR(__xludf.DUMMYFUNCTION("IFERROR(REGEXEXTRACT(G12, ""res(269|122)""), ""none"")"),"none")</f>
        <v>none</v>
      </c>
      <c r="N12" s="1">
        <v>-16.448389</v>
      </c>
      <c r="O12" s="1">
        <v>9.0</v>
      </c>
      <c r="P12" s="1">
        <v>3.0</v>
      </c>
      <c r="Q12" s="1">
        <v>0.333333</v>
      </c>
      <c r="R12" s="1">
        <v>2.0</v>
      </c>
      <c r="S12" s="1">
        <v>-1.562614</v>
      </c>
      <c r="T12" s="1">
        <v>100.0</v>
      </c>
      <c r="U12" s="1">
        <v>0.0</v>
      </c>
      <c r="V12" s="1">
        <v>0.0</v>
      </c>
      <c r="W12" s="1">
        <v>96.32233</v>
      </c>
    </row>
    <row r="13">
      <c r="A13" s="1" t="s">
        <v>19</v>
      </c>
      <c r="B13" s="1" t="s">
        <v>102</v>
      </c>
      <c r="C13" s="1" t="s">
        <v>21</v>
      </c>
      <c r="D13" s="1" t="s">
        <v>103</v>
      </c>
      <c r="E13" s="3" t="str">
        <f>'res122 Ari'!C30</f>
        <v>maybe</v>
      </c>
      <c r="F13" s="3" t="str">
        <f>'res122 Ari'!D30</f>
        <v/>
      </c>
      <c r="G13" s="3" t="str">
        <f>'res122 Summer'!C30</f>
        <v>decent</v>
      </c>
      <c r="H13" s="3" t="str">
        <f>'res122 Summer'!D30</f>
        <v/>
      </c>
      <c r="I13" s="3" t="s">
        <v>24</v>
      </c>
      <c r="J13" s="3" t="s">
        <v>104</v>
      </c>
      <c r="K13" s="3" t="s">
        <v>105</v>
      </c>
      <c r="L13" s="3">
        <v>2.02509999999999</v>
      </c>
      <c r="M13" s="1" t="str">
        <f>IFERROR(__xludf.DUMMYFUNCTION("IFERROR(REGEXEXTRACT(G13, ""res(269|122)""), ""none"")"),"none")</f>
        <v>none</v>
      </c>
      <c r="N13" s="1">
        <v>-16.810235</v>
      </c>
      <c r="O13" s="1">
        <v>9.0</v>
      </c>
      <c r="P13" s="1">
        <v>3.0</v>
      </c>
      <c r="Q13" s="1">
        <v>0.444444</v>
      </c>
      <c r="R13" s="1">
        <v>2.0</v>
      </c>
      <c r="S13" s="1">
        <v>-0.880047</v>
      </c>
      <c r="T13" s="1">
        <v>100.0</v>
      </c>
      <c r="U13" s="1">
        <v>0.0</v>
      </c>
      <c r="V13" s="1">
        <v>0.0</v>
      </c>
      <c r="W13" s="1">
        <v>96.754162</v>
      </c>
    </row>
    <row r="14">
      <c r="A14" s="1" t="s">
        <v>19</v>
      </c>
      <c r="B14" s="1" t="s">
        <v>106</v>
      </c>
      <c r="C14" s="1" t="s">
        <v>21</v>
      </c>
      <c r="D14" s="1" t="s">
        <v>107</v>
      </c>
      <c r="E14" s="3" t="str">
        <f>'res122 Ari'!C32</f>
        <v>maybe</v>
      </c>
      <c r="F14" s="3" t="str">
        <f>'res122 Ari'!D32</f>
        <v/>
      </c>
      <c r="G14" s="3" t="str">
        <f>'res122 Summer'!C32</f>
        <v>decent</v>
      </c>
      <c r="H14" s="3" t="str">
        <f>'res122 Summer'!D32</f>
        <v/>
      </c>
      <c r="I14" s="3" t="s">
        <v>95</v>
      </c>
      <c r="J14" s="3" t="str">
        <f>'res122 Mary Shay'!D32</f>
        <v/>
      </c>
      <c r="K14" s="3" t="s">
        <v>108</v>
      </c>
      <c r="L14" s="3">
        <v>3.4504</v>
      </c>
      <c r="M14" s="1" t="str">
        <f>IFERROR(__xludf.DUMMYFUNCTION("IFERROR(REGEXEXTRACT(G14, ""res(269|122)""), ""none"")"),"none")</f>
        <v>none</v>
      </c>
      <c r="N14" s="1">
        <v>-15.035637</v>
      </c>
      <c r="O14" s="1">
        <v>8.0</v>
      </c>
      <c r="P14" s="1">
        <v>4.0</v>
      </c>
      <c r="Q14" s="1">
        <v>0.25</v>
      </c>
      <c r="R14" s="1">
        <v>2.0</v>
      </c>
      <c r="S14" s="1">
        <v>-0.915905</v>
      </c>
      <c r="T14" s="1">
        <v>100.0</v>
      </c>
      <c r="U14" s="1">
        <v>0.0</v>
      </c>
      <c r="V14" s="1">
        <v>0.0</v>
      </c>
      <c r="W14" s="1">
        <v>98.298458</v>
      </c>
    </row>
    <row r="15">
      <c r="A15" s="1" t="s">
        <v>19</v>
      </c>
      <c r="B15" s="1" t="s">
        <v>109</v>
      </c>
      <c r="C15" s="1" t="s">
        <v>21</v>
      </c>
      <c r="D15" s="1" t="s">
        <v>110</v>
      </c>
      <c r="E15" s="3" t="str">
        <f>'res122 Ari'!C38</f>
        <v>maybe</v>
      </c>
      <c r="F15" s="3" t="str">
        <f>'res122 Ari'!D38</f>
        <v/>
      </c>
      <c r="G15" s="3" t="str">
        <f>'res122 Summer'!C38</f>
        <v>decent</v>
      </c>
      <c r="H15" s="3" t="str">
        <f>'res122 Summer'!D38</f>
        <v/>
      </c>
      <c r="I15" s="3" t="s">
        <v>24</v>
      </c>
      <c r="J15" s="3" t="s">
        <v>111</v>
      </c>
      <c r="K15" s="3" t="s">
        <v>112</v>
      </c>
      <c r="L15" s="3">
        <v>3.1766</v>
      </c>
      <c r="M15" s="1" t="str">
        <f>IFERROR(__xludf.DUMMYFUNCTION("IFERROR(REGEXEXTRACT(G15, ""res(269|122)""), ""none"")"),"none")</f>
        <v>none</v>
      </c>
      <c r="N15" s="1">
        <v>-17.375967</v>
      </c>
      <c r="O15" s="1">
        <v>8.0</v>
      </c>
      <c r="P15" s="1">
        <v>3.0</v>
      </c>
      <c r="Q15" s="1">
        <v>0.25</v>
      </c>
      <c r="R15" s="1">
        <v>2.0</v>
      </c>
      <c r="S15" s="1">
        <v>-1.320226</v>
      </c>
      <c r="T15" s="1">
        <v>100.0</v>
      </c>
      <c r="U15" s="1">
        <v>0.0</v>
      </c>
      <c r="V15" s="1">
        <v>0.0</v>
      </c>
      <c r="W15" s="1">
        <v>94.553807</v>
      </c>
    </row>
    <row r="16">
      <c r="A16" s="1" t="s">
        <v>19</v>
      </c>
      <c r="B16" s="1" t="s">
        <v>64</v>
      </c>
      <c r="C16" s="1" t="s">
        <v>21</v>
      </c>
      <c r="D16" s="1" t="s">
        <v>65</v>
      </c>
      <c r="E16" s="3" t="str">
        <f>'res122 Ari'!C40</f>
        <v>yes</v>
      </c>
      <c r="F16" s="3" t="str">
        <f>'res122 Ari'!D40</f>
        <v>I don't really see anything bad about this, it is stabilized with multiple hbonds across the pocket</v>
      </c>
      <c r="G16" s="3" t="str">
        <f>'res122 Summer'!C40</f>
        <v>yes</v>
      </c>
      <c r="H16" s="3" t="str">
        <f>'res122 Summer'!D40</f>
        <v/>
      </c>
      <c r="I16" s="3" t="s">
        <v>26</v>
      </c>
      <c r="J16" s="3" t="str">
        <f>'res122 Mary Shay'!D40</f>
        <v/>
      </c>
      <c r="K16" s="3" t="s">
        <v>66</v>
      </c>
      <c r="L16" s="3">
        <v>3.7694</v>
      </c>
      <c r="M16" s="1" t="str">
        <f>IFERROR(__xludf.DUMMYFUNCTION("IFERROR(REGEXEXTRACT(G16, ""res(269|122)""), ""none"")"),"none")</f>
        <v>none</v>
      </c>
      <c r="N16" s="1">
        <v>-17.086206</v>
      </c>
      <c r="O16" s="1">
        <v>7.0</v>
      </c>
      <c r="P16" s="1">
        <v>4.0</v>
      </c>
      <c r="Q16" s="1">
        <v>0.285714</v>
      </c>
      <c r="R16" s="1">
        <v>3.0</v>
      </c>
      <c r="S16" s="1">
        <v>-1.038701</v>
      </c>
      <c r="T16" s="1">
        <v>100.0</v>
      </c>
      <c r="U16" s="1">
        <v>0.0</v>
      </c>
      <c r="V16" s="1">
        <v>0.0</v>
      </c>
      <c r="W16" s="1">
        <v>96.160807</v>
      </c>
    </row>
    <row r="17">
      <c r="A17" s="1" t="s">
        <v>19</v>
      </c>
      <c r="B17" s="1" t="s">
        <v>68</v>
      </c>
      <c r="C17" s="1" t="s">
        <v>21</v>
      </c>
      <c r="D17" s="1" t="s">
        <v>69</v>
      </c>
      <c r="E17" s="3" t="str">
        <f>'res122 Ari'!C41</f>
        <v>decent</v>
      </c>
      <c r="F17" s="3" t="str">
        <f>'res122 Ari'!D41</f>
        <v/>
      </c>
      <c r="G17" s="3" t="str">
        <f>'res122 Summer'!C41</f>
        <v>decent</v>
      </c>
      <c r="H17" s="3" t="str">
        <f>'res122 Summer'!D41</f>
        <v>some issues with nitrogen hydrogens, but asn344 could rotate</v>
      </c>
      <c r="I17" s="3" t="s">
        <v>26</v>
      </c>
      <c r="J17" s="3" t="str">
        <f>'res122 Mary Shay'!D41</f>
        <v/>
      </c>
      <c r="K17" s="3" t="s">
        <v>70</v>
      </c>
      <c r="L17" s="3">
        <v>4.1438</v>
      </c>
      <c r="M17" s="1" t="str">
        <f>IFERROR(__xludf.DUMMYFUNCTION("IFERROR(REGEXEXTRACT(G17, ""res(269|122)""), ""none"")"),"none")</f>
        <v>none</v>
      </c>
      <c r="N17" s="1">
        <v>-15.386234</v>
      </c>
      <c r="O17" s="1">
        <v>11.0</v>
      </c>
      <c r="P17" s="1">
        <v>4.0</v>
      </c>
      <c r="Q17" s="1">
        <v>0.454545</v>
      </c>
      <c r="R17" s="1">
        <v>2.0</v>
      </c>
      <c r="S17" s="1">
        <v>-0.508212</v>
      </c>
      <c r="T17" s="1">
        <v>100.0</v>
      </c>
      <c r="U17" s="1">
        <v>0.0</v>
      </c>
      <c r="V17" s="1">
        <v>0.0</v>
      </c>
      <c r="W17" s="1">
        <v>101.560099</v>
      </c>
    </row>
    <row r="18">
      <c r="A18" s="1" t="s">
        <v>19</v>
      </c>
      <c r="B18" s="1" t="s">
        <v>113</v>
      </c>
      <c r="C18" s="1" t="s">
        <v>21</v>
      </c>
      <c r="D18" s="1" t="s">
        <v>114</v>
      </c>
      <c r="E18" s="3" t="str">
        <f>'res122 Ari'!C42</f>
        <v>decent</v>
      </c>
      <c r="F18" s="3" t="str">
        <f>'res122 Ari'!D42</f>
        <v/>
      </c>
      <c r="G18" s="3" t="str">
        <f>'res122 Summer'!C42</f>
        <v>maybe</v>
      </c>
      <c r="H18" s="3" t="str">
        <f>'res122 Summer'!D42</f>
        <v/>
      </c>
      <c r="I18" s="3" t="s">
        <v>24</v>
      </c>
      <c r="J18" s="3" t="s">
        <v>111</v>
      </c>
      <c r="K18" s="3" t="s">
        <v>115</v>
      </c>
      <c r="L18" s="3">
        <v>3.4298</v>
      </c>
      <c r="M18" s="1" t="str">
        <f>IFERROR(__xludf.DUMMYFUNCTION("IFERROR(REGEXEXTRACT(G18, ""res(269|122)""), ""none"")"),"none")</f>
        <v>none</v>
      </c>
      <c r="N18" s="1">
        <v>-16.231911</v>
      </c>
      <c r="O18" s="1">
        <v>12.0</v>
      </c>
      <c r="P18" s="1">
        <v>2.0</v>
      </c>
      <c r="Q18" s="1">
        <v>0.25</v>
      </c>
      <c r="R18" s="1">
        <v>2.0</v>
      </c>
      <c r="S18" s="1">
        <v>-0.38947</v>
      </c>
      <c r="T18" s="1">
        <v>100.0</v>
      </c>
      <c r="U18" s="1">
        <v>0.0</v>
      </c>
      <c r="V18" s="1">
        <v>0.0</v>
      </c>
      <c r="W18" s="1">
        <v>99.628619</v>
      </c>
    </row>
    <row r="19">
      <c r="E19" s="3"/>
      <c r="F19" s="3"/>
      <c r="G19" s="3"/>
      <c r="H19" s="3"/>
      <c r="I19" s="3" t="str">
        <f>'res122 Mary Shay'!C45</f>
        <v/>
      </c>
      <c r="J19" s="3" t="str">
        <f>'res122 Mary Shay'!D45</f>
        <v/>
      </c>
      <c r="K19" s="3"/>
      <c r="L19" s="3"/>
    </row>
    <row r="20">
      <c r="E20" s="3"/>
      <c r="F20" s="3"/>
      <c r="G20" s="3"/>
      <c r="H20" s="3"/>
      <c r="I20" s="3" t="str">
        <f>'res122 Mary Shay'!C46</f>
        <v/>
      </c>
      <c r="J20" s="3" t="str">
        <f>'res122 Mary Shay'!D46</f>
        <v/>
      </c>
      <c r="K20" s="3"/>
      <c r="L20" s="3"/>
    </row>
    <row r="21">
      <c r="E21" s="3"/>
      <c r="F21" s="3"/>
      <c r="G21" s="3"/>
      <c r="H21" s="3"/>
      <c r="I21" s="3" t="str">
        <f>'res122 Mary Shay'!C47</f>
        <v/>
      </c>
      <c r="J21" s="3" t="str">
        <f>'res122 Mary Shay'!D47</f>
        <v/>
      </c>
      <c r="K21" s="3"/>
      <c r="L21" s="3"/>
    </row>
    <row r="22">
      <c r="E22" s="3"/>
      <c r="F22" s="3"/>
      <c r="G22" s="3"/>
      <c r="H22" s="3"/>
      <c r="I22" s="3" t="str">
        <f>'res122 Mary Shay'!C48</f>
        <v/>
      </c>
      <c r="J22" s="3" t="str">
        <f>'res122 Mary Shay'!D48</f>
        <v/>
      </c>
      <c r="K22" s="3"/>
      <c r="L22" s="3"/>
    </row>
    <row r="23">
      <c r="E23" s="3"/>
      <c r="F23" s="3"/>
      <c r="G23" s="3"/>
      <c r="H23" s="3"/>
      <c r="I23" s="3" t="str">
        <f>'res122 Mary Shay'!C49</f>
        <v/>
      </c>
      <c r="J23" s="3" t="str">
        <f>'res122 Mary Shay'!D49</f>
        <v/>
      </c>
      <c r="K23" s="3"/>
      <c r="L23" s="3"/>
    </row>
    <row r="24">
      <c r="E24" s="3"/>
      <c r="F24" s="3"/>
      <c r="G24" s="3"/>
      <c r="H24" s="3"/>
      <c r="I24" s="3" t="str">
        <f>'res122 Mary Shay'!C50</f>
        <v/>
      </c>
      <c r="J24" s="3" t="str">
        <f>'res122 Mary Shay'!D50</f>
        <v/>
      </c>
      <c r="K24" s="3"/>
      <c r="L24" s="3"/>
    </row>
    <row r="25">
      <c r="E25" s="3"/>
      <c r="F25" s="3"/>
      <c r="G25" s="3"/>
      <c r="H25" s="3"/>
      <c r="I25" s="3" t="str">
        <f>'res122 Mary Shay'!C51</f>
        <v/>
      </c>
      <c r="J25" s="3" t="str">
        <f>'res122 Mary Shay'!D51</f>
        <v/>
      </c>
      <c r="K25" s="3"/>
      <c r="L25" s="3"/>
    </row>
    <row r="26">
      <c r="E26" s="3"/>
      <c r="F26" s="3"/>
      <c r="G26" s="3"/>
      <c r="H26" s="3"/>
      <c r="I26" s="3" t="str">
        <f>'res122 Mary Shay'!C52</f>
        <v/>
      </c>
      <c r="J26" s="3" t="str">
        <f>'res122 Mary Shay'!D52</f>
        <v/>
      </c>
      <c r="K26" s="3"/>
      <c r="L26" s="3"/>
    </row>
    <row r="27">
      <c r="E27" s="3"/>
      <c r="F27" s="3"/>
      <c r="G27" s="3"/>
      <c r="H27" s="3"/>
      <c r="I27" s="3" t="str">
        <f>'res122 Mary Shay'!C53</f>
        <v/>
      </c>
      <c r="J27" s="3" t="str">
        <f>'res122 Mary Shay'!D53</f>
        <v/>
      </c>
      <c r="K27" s="3"/>
      <c r="L27" s="3"/>
    </row>
    <row r="28">
      <c r="E28" s="3"/>
      <c r="F28" s="3"/>
      <c r="G28" s="3"/>
      <c r="H28" s="3"/>
      <c r="I28" s="3" t="str">
        <f>'res122 Mary Shay'!C54</f>
        <v/>
      </c>
      <c r="J28" s="3" t="str">
        <f>'res122 Mary Shay'!D54</f>
        <v/>
      </c>
      <c r="K28" s="3"/>
      <c r="L28" s="3"/>
    </row>
    <row r="29">
      <c r="E29" s="3"/>
      <c r="F29" s="3"/>
      <c r="G29" s="3"/>
      <c r="H29" s="3"/>
      <c r="I29" s="3" t="str">
        <f>'res122 Mary Shay'!C55</f>
        <v/>
      </c>
      <c r="J29" s="3" t="str">
        <f>'res122 Mary Shay'!D55</f>
        <v/>
      </c>
      <c r="K29" s="3"/>
      <c r="L29" s="3"/>
    </row>
    <row r="30">
      <c r="E30" s="3"/>
      <c r="F30" s="3"/>
      <c r="G30" s="3"/>
      <c r="H30" s="3"/>
      <c r="I30" s="3" t="str">
        <f>'res122 Mary Shay'!C56</f>
        <v/>
      </c>
      <c r="J30" s="3" t="str">
        <f>'res122 Mary Shay'!D56</f>
        <v/>
      </c>
      <c r="K30" s="3"/>
      <c r="L30" s="3"/>
    </row>
    <row r="31">
      <c r="E31" s="3"/>
      <c r="F31" s="3"/>
      <c r="G31" s="3"/>
      <c r="H31" s="3"/>
      <c r="I31" s="3" t="str">
        <f>'res122 Mary Shay'!C57</f>
        <v/>
      </c>
      <c r="J31" s="3" t="str">
        <f>'res122 Mary Shay'!D57</f>
        <v/>
      </c>
      <c r="K31" s="3"/>
      <c r="L31" s="3"/>
    </row>
    <row r="32">
      <c r="E32" s="3"/>
      <c r="F32" s="3"/>
      <c r="G32" s="3"/>
      <c r="H32" s="3"/>
      <c r="I32" s="3" t="str">
        <f>'res122 Mary Shay'!C58</f>
        <v/>
      </c>
      <c r="J32" s="3" t="str">
        <f>'res122 Mary Shay'!D58</f>
        <v/>
      </c>
      <c r="K32" s="3"/>
      <c r="L32" s="3"/>
    </row>
    <row r="33">
      <c r="E33" s="3"/>
      <c r="F33" s="3"/>
      <c r="G33" s="3"/>
      <c r="H33" s="3"/>
      <c r="I33" s="3" t="str">
        <f>'res122 Mary Shay'!C59</f>
        <v/>
      </c>
      <c r="J33" s="3" t="str">
        <f>'res122 Mary Shay'!D59</f>
        <v/>
      </c>
      <c r="K33" s="3"/>
      <c r="L33" s="3"/>
    </row>
    <row r="34">
      <c r="E34" s="3"/>
      <c r="F34" s="3"/>
      <c r="G34" s="3"/>
      <c r="H34" s="3"/>
      <c r="I34" s="3" t="str">
        <f>'res122 Mary Shay'!C60</f>
        <v/>
      </c>
      <c r="J34" s="3" t="str">
        <f>'res122 Mary Shay'!D60</f>
        <v/>
      </c>
      <c r="K34" s="3"/>
      <c r="L34" s="3"/>
    </row>
    <row r="35">
      <c r="E35" s="3"/>
      <c r="F35" s="3"/>
      <c r="G35" s="3"/>
      <c r="H35" s="3"/>
      <c r="I35" s="3" t="str">
        <f>'res122 Mary Shay'!C61</f>
        <v/>
      </c>
      <c r="J35" s="3" t="str">
        <f>'res122 Mary Shay'!D61</f>
        <v/>
      </c>
      <c r="K35" s="3"/>
      <c r="L35" s="3"/>
    </row>
    <row r="36">
      <c r="E36" s="3"/>
      <c r="F36" s="3"/>
      <c r="G36" s="3"/>
      <c r="H36" s="3"/>
      <c r="I36" s="3" t="str">
        <f>'res122 Mary Shay'!C62</f>
        <v/>
      </c>
      <c r="J36" s="3" t="str">
        <f>'res122 Mary Shay'!D62</f>
        <v/>
      </c>
      <c r="K36" s="3"/>
      <c r="L36" s="3"/>
    </row>
    <row r="37">
      <c r="E37" s="3"/>
      <c r="F37" s="3"/>
      <c r="G37" s="3"/>
      <c r="H37" s="3"/>
      <c r="I37" s="3" t="str">
        <f>'res122 Mary Shay'!C63</f>
        <v/>
      </c>
      <c r="J37" s="3" t="str">
        <f>'res122 Mary Shay'!D63</f>
        <v/>
      </c>
      <c r="K37" s="3"/>
      <c r="L37" s="3"/>
    </row>
    <row r="38">
      <c r="E38" s="3"/>
      <c r="F38" s="3"/>
      <c r="G38" s="3"/>
      <c r="H38" s="3"/>
      <c r="I38" s="3" t="str">
        <f>'res122 Mary Shay'!C64</f>
        <v/>
      </c>
      <c r="J38" s="3" t="str">
        <f>'res122 Mary Shay'!D64</f>
        <v/>
      </c>
      <c r="K38" s="3"/>
      <c r="L38" s="3"/>
    </row>
    <row r="39">
      <c r="E39" s="3"/>
      <c r="F39" s="3"/>
      <c r="G39" s="3"/>
      <c r="H39" s="3"/>
      <c r="I39" s="3" t="str">
        <f>'res122 Mary Shay'!C65</f>
        <v/>
      </c>
      <c r="J39" s="3" t="str">
        <f>'res122 Mary Shay'!D65</f>
        <v/>
      </c>
      <c r="K39" s="3"/>
      <c r="L39" s="3"/>
    </row>
    <row r="40">
      <c r="E40" s="3"/>
      <c r="F40" s="3"/>
      <c r="G40" s="3"/>
      <c r="H40" s="3"/>
      <c r="I40" s="3" t="str">
        <f>'res122 Mary Shay'!C66</f>
        <v/>
      </c>
      <c r="J40" s="3" t="str">
        <f>'res122 Mary Shay'!D66</f>
        <v/>
      </c>
      <c r="K40" s="3"/>
      <c r="L40" s="3"/>
    </row>
    <row r="41">
      <c r="E41" s="3"/>
      <c r="F41" s="3"/>
      <c r="G41" s="3"/>
      <c r="H41" s="3"/>
      <c r="I41" s="3" t="str">
        <f>'res122 Mary Shay'!C67</f>
        <v/>
      </c>
      <c r="J41" s="3" t="str">
        <f>'res122 Mary Shay'!D67</f>
        <v/>
      </c>
      <c r="K41" s="3"/>
      <c r="L41" s="3"/>
    </row>
    <row r="42">
      <c r="E42" s="3"/>
      <c r="F42" s="3"/>
      <c r="G42" s="3"/>
      <c r="H42" s="3"/>
      <c r="I42" s="3" t="str">
        <f>'res122 Mary Shay'!C68</f>
        <v/>
      </c>
      <c r="J42" s="3" t="str">
        <f>'res122 Mary Shay'!D68</f>
        <v/>
      </c>
      <c r="K42" s="3"/>
      <c r="L42" s="3"/>
    </row>
    <row r="43">
      <c r="E43" s="3"/>
      <c r="F43" s="3"/>
      <c r="G43" s="3"/>
      <c r="H43" s="3"/>
      <c r="I43" s="3" t="str">
        <f>'res122 Mary Shay'!C69</f>
        <v/>
      </c>
      <c r="J43" s="3" t="str">
        <f>'res122 Mary Shay'!D69</f>
        <v/>
      </c>
      <c r="K43" s="3"/>
      <c r="L43" s="3"/>
    </row>
    <row r="44">
      <c r="E44" s="3"/>
      <c r="F44" s="3"/>
      <c r="G44" s="3"/>
      <c r="H44" s="3"/>
      <c r="I44" s="3" t="str">
        <f>'res122 Mary Shay'!C70</f>
        <v/>
      </c>
      <c r="J44" s="3" t="str">
        <f>'res122 Mary Shay'!D70</f>
        <v/>
      </c>
      <c r="K44" s="3"/>
      <c r="L44" s="3"/>
    </row>
    <row r="45">
      <c r="E45" s="3"/>
      <c r="F45" s="3"/>
      <c r="G45" s="3"/>
      <c r="H45" s="3"/>
      <c r="I45" s="3" t="str">
        <f>'res122 Mary Shay'!C71</f>
        <v/>
      </c>
      <c r="J45" s="3" t="str">
        <f>'res122 Mary Shay'!D71</f>
        <v/>
      </c>
      <c r="K45" s="3"/>
      <c r="L45" s="3"/>
    </row>
    <row r="46">
      <c r="E46" s="3"/>
      <c r="F46" s="3"/>
      <c r="G46" s="3"/>
      <c r="H46" s="3"/>
      <c r="I46" s="3" t="str">
        <f>'res122 Mary Shay'!C72</f>
        <v/>
      </c>
      <c r="J46" s="3" t="str">
        <f>'res122 Mary Shay'!D72</f>
        <v/>
      </c>
      <c r="K46" s="3"/>
      <c r="L46" s="3"/>
    </row>
    <row r="47">
      <c r="E47" s="3"/>
      <c r="F47" s="3"/>
      <c r="G47" s="3"/>
      <c r="H47" s="3"/>
      <c r="I47" s="3" t="str">
        <f>'res122 Mary Shay'!C73</f>
        <v/>
      </c>
      <c r="J47" s="3" t="str">
        <f>'res122 Mary Shay'!D73</f>
        <v/>
      </c>
      <c r="K47" s="3"/>
      <c r="L47" s="3"/>
    </row>
    <row r="48">
      <c r="E48" s="3"/>
      <c r="F48" s="3"/>
      <c r="G48" s="3"/>
      <c r="H48" s="3"/>
      <c r="I48" s="3" t="str">
        <f>'res122 Mary Shay'!C74</f>
        <v/>
      </c>
      <c r="J48" s="3" t="str">
        <f>'res122 Mary Shay'!D74</f>
        <v/>
      </c>
      <c r="K48" s="3"/>
      <c r="L48" s="3"/>
    </row>
    <row r="49">
      <c r="E49" s="3"/>
      <c r="F49" s="3"/>
      <c r="G49" s="3"/>
      <c r="H49" s="3"/>
      <c r="I49" s="3" t="str">
        <f>'res122 Mary Shay'!C75</f>
        <v/>
      </c>
      <c r="J49" s="3" t="str">
        <f>'res122 Mary Shay'!D75</f>
        <v/>
      </c>
      <c r="K49" s="3"/>
      <c r="L49" s="3"/>
    </row>
    <row r="50">
      <c r="E50" s="3"/>
      <c r="F50" s="3"/>
      <c r="G50" s="3"/>
      <c r="H50" s="3"/>
      <c r="I50" s="3" t="str">
        <f>'res122 Mary Shay'!C76</f>
        <v/>
      </c>
      <c r="J50" s="3" t="str">
        <f>'res122 Mary Shay'!D76</f>
        <v/>
      </c>
      <c r="K50" s="3"/>
      <c r="L50" s="3"/>
    </row>
    <row r="51">
      <c r="E51" s="3"/>
      <c r="F51" s="3"/>
      <c r="G51" s="3"/>
      <c r="H51" s="3"/>
      <c r="I51" s="3" t="str">
        <f>'res122 Mary Shay'!C77</f>
        <v/>
      </c>
      <c r="J51" s="3" t="str">
        <f>'res122 Mary Shay'!D77</f>
        <v/>
      </c>
      <c r="K51" s="3"/>
      <c r="L51" s="3"/>
    </row>
    <row r="52">
      <c r="E52" s="3"/>
      <c r="F52" s="3"/>
      <c r="G52" s="3"/>
      <c r="H52" s="3"/>
      <c r="I52" s="3" t="str">
        <f>'res122 Mary Shay'!C78</f>
        <v/>
      </c>
      <c r="J52" s="3" t="str">
        <f>'res122 Mary Shay'!D78</f>
        <v/>
      </c>
      <c r="K52" s="3"/>
      <c r="L52" s="3"/>
    </row>
    <row r="53">
      <c r="E53" s="3"/>
      <c r="F53" s="3"/>
      <c r="G53" s="3"/>
      <c r="H53" s="3"/>
      <c r="I53" s="3" t="str">
        <f>'res122 Mary Shay'!C79</f>
        <v/>
      </c>
      <c r="J53" s="3" t="str">
        <f>'res122 Mary Shay'!D79</f>
        <v/>
      </c>
      <c r="K53" s="3"/>
      <c r="L53" s="3"/>
    </row>
    <row r="54">
      <c r="E54" s="3"/>
      <c r="F54" s="3"/>
      <c r="G54" s="3"/>
      <c r="H54" s="3"/>
      <c r="I54" s="3" t="str">
        <f>'res122 Mary Shay'!C80</f>
        <v/>
      </c>
      <c r="J54" s="3" t="str">
        <f>'res122 Mary Shay'!D80</f>
        <v/>
      </c>
      <c r="K54" s="3"/>
      <c r="L54" s="3"/>
    </row>
    <row r="55">
      <c r="E55" s="3"/>
      <c r="F55" s="3"/>
      <c r="G55" s="3"/>
      <c r="H55" s="3"/>
      <c r="I55" s="3" t="str">
        <f>'res122 Mary Shay'!C81</f>
        <v/>
      </c>
      <c r="J55" s="3" t="str">
        <f>'res122 Mary Shay'!D81</f>
        <v/>
      </c>
      <c r="K55" s="3"/>
      <c r="L55" s="3"/>
    </row>
    <row r="56">
      <c r="E56" s="3"/>
      <c r="F56" s="3"/>
      <c r="G56" s="3"/>
      <c r="H56" s="3"/>
      <c r="I56" s="3" t="str">
        <f>'res122 Mary Shay'!C82</f>
        <v/>
      </c>
      <c r="J56" s="3" t="str">
        <f>'res122 Mary Shay'!D82</f>
        <v/>
      </c>
      <c r="K56" s="3"/>
      <c r="L56" s="3"/>
    </row>
    <row r="57">
      <c r="E57" s="3"/>
      <c r="F57" s="3"/>
      <c r="G57" s="3"/>
      <c r="H57" s="3"/>
      <c r="I57" s="3" t="str">
        <f>'res122 Mary Shay'!C83</f>
        <v/>
      </c>
      <c r="J57" s="3" t="str">
        <f>'res122 Mary Shay'!D83</f>
        <v/>
      </c>
      <c r="K57" s="3"/>
      <c r="L57" s="3"/>
    </row>
    <row r="58">
      <c r="E58" s="3"/>
      <c r="F58" s="3"/>
      <c r="G58" s="3"/>
      <c r="H58" s="3"/>
      <c r="I58" s="3" t="str">
        <f>'res122 Mary Shay'!C84</f>
        <v/>
      </c>
      <c r="J58" s="3" t="str">
        <f>'res122 Mary Shay'!D84</f>
        <v/>
      </c>
      <c r="K58" s="3"/>
      <c r="L58" s="3"/>
    </row>
    <row r="59">
      <c r="E59" s="3"/>
      <c r="F59" s="3"/>
      <c r="G59" s="3"/>
      <c r="H59" s="3"/>
      <c r="I59" s="3" t="str">
        <f>'res122 Mary Shay'!C85</f>
        <v/>
      </c>
      <c r="J59" s="3" t="str">
        <f>'res122 Mary Shay'!D85</f>
        <v/>
      </c>
      <c r="K59" s="3"/>
      <c r="L59" s="3"/>
    </row>
    <row r="60">
      <c r="E60" s="3"/>
      <c r="F60" s="3"/>
      <c r="G60" s="3"/>
      <c r="H60" s="3"/>
      <c r="I60" s="3" t="str">
        <f>'res122 Mary Shay'!C86</f>
        <v/>
      </c>
      <c r="J60" s="3" t="str">
        <f>'res122 Mary Shay'!D86</f>
        <v/>
      </c>
      <c r="K60" s="3"/>
      <c r="L60" s="3"/>
    </row>
    <row r="61">
      <c r="E61" s="3"/>
      <c r="F61" s="3"/>
      <c r="G61" s="3"/>
      <c r="H61" s="3"/>
      <c r="I61" s="3" t="str">
        <f>'res122 Mary Shay'!C87</f>
        <v/>
      </c>
      <c r="J61" s="3" t="str">
        <f>'res122 Mary Shay'!D87</f>
        <v/>
      </c>
      <c r="K61" s="3"/>
      <c r="L61" s="3"/>
    </row>
    <row r="62">
      <c r="E62" s="3"/>
      <c r="F62" s="3"/>
      <c r="G62" s="3"/>
      <c r="H62" s="3"/>
      <c r="I62" s="3" t="str">
        <f>'res122 Mary Shay'!C88</f>
        <v/>
      </c>
      <c r="J62" s="3" t="str">
        <f>'res122 Mary Shay'!D88</f>
        <v/>
      </c>
      <c r="K62" s="3"/>
      <c r="L62" s="3"/>
    </row>
    <row r="63">
      <c r="E63" s="3"/>
      <c r="F63" s="3"/>
      <c r="G63" s="3"/>
      <c r="H63" s="3"/>
      <c r="I63" s="3" t="str">
        <f>'res122 Mary Shay'!C89</f>
        <v/>
      </c>
      <c r="J63" s="3" t="str">
        <f>'res122 Mary Shay'!D89</f>
        <v/>
      </c>
      <c r="K63" s="3"/>
      <c r="L63" s="3"/>
    </row>
    <row r="64">
      <c r="E64" s="3"/>
      <c r="F64" s="3"/>
      <c r="G64" s="3"/>
      <c r="H64" s="3"/>
      <c r="I64" s="3" t="str">
        <f>'res122 Mary Shay'!C90</f>
        <v/>
      </c>
      <c r="J64" s="3" t="str">
        <f>'res122 Mary Shay'!D90</f>
        <v/>
      </c>
      <c r="K64" s="3"/>
      <c r="L64" s="3"/>
    </row>
    <row r="65">
      <c r="E65" s="3"/>
      <c r="F65" s="3"/>
      <c r="G65" s="3"/>
      <c r="H65" s="3"/>
      <c r="I65" s="3" t="str">
        <f>'res122 Mary Shay'!C91</f>
        <v/>
      </c>
      <c r="J65" s="3" t="str">
        <f>'res122 Mary Shay'!D91</f>
        <v/>
      </c>
      <c r="K65" s="3"/>
      <c r="L65" s="3"/>
    </row>
    <row r="66">
      <c r="E66" s="3"/>
      <c r="F66" s="3"/>
      <c r="G66" s="3"/>
      <c r="H66" s="3"/>
      <c r="I66" s="3" t="str">
        <f>'res122 Mary Shay'!C92</f>
        <v/>
      </c>
      <c r="J66" s="3" t="str">
        <f>'res122 Mary Shay'!D92</f>
        <v/>
      </c>
      <c r="K66" s="3"/>
      <c r="L66" s="3"/>
    </row>
    <row r="67">
      <c r="E67" s="3"/>
      <c r="F67" s="3"/>
      <c r="G67" s="3"/>
      <c r="H67" s="3"/>
      <c r="I67" s="3" t="str">
        <f>'res122 Mary Shay'!C93</f>
        <v/>
      </c>
      <c r="J67" s="3" t="str">
        <f>'res122 Mary Shay'!D93</f>
        <v/>
      </c>
      <c r="K67" s="3"/>
      <c r="L67" s="3"/>
    </row>
    <row r="68">
      <c r="E68" s="3"/>
      <c r="F68" s="3"/>
      <c r="G68" s="3"/>
      <c r="H68" s="3"/>
      <c r="I68" s="3" t="str">
        <f>'res122 Mary Shay'!C94</f>
        <v/>
      </c>
      <c r="J68" s="3" t="str">
        <f>'res122 Mary Shay'!D94</f>
        <v/>
      </c>
      <c r="K68" s="3"/>
      <c r="L68" s="3"/>
    </row>
    <row r="69">
      <c r="E69" s="3"/>
      <c r="F69" s="3"/>
      <c r="G69" s="3"/>
      <c r="H69" s="3"/>
      <c r="I69" s="3" t="str">
        <f>'res122 Mary Shay'!C95</f>
        <v/>
      </c>
      <c r="J69" s="3" t="str">
        <f>'res122 Mary Shay'!D95</f>
        <v/>
      </c>
      <c r="K69" s="3"/>
      <c r="L69" s="3"/>
    </row>
    <row r="70">
      <c r="E70" s="3"/>
      <c r="F70" s="3"/>
      <c r="G70" s="3"/>
      <c r="H70" s="3"/>
      <c r="I70" s="3" t="str">
        <f>'res122 Mary Shay'!C96</f>
        <v/>
      </c>
      <c r="J70" s="3" t="str">
        <f>'res122 Mary Shay'!D96</f>
        <v/>
      </c>
      <c r="K70" s="3"/>
      <c r="L70" s="3"/>
    </row>
    <row r="71">
      <c r="E71" s="3"/>
      <c r="F71" s="3"/>
      <c r="G71" s="3"/>
      <c r="H71" s="3"/>
      <c r="I71" s="3" t="str">
        <f>'res122 Mary Shay'!C97</f>
        <v/>
      </c>
      <c r="J71" s="3" t="str">
        <f>'res122 Mary Shay'!D97</f>
        <v/>
      </c>
      <c r="K71" s="3"/>
      <c r="L71" s="3"/>
    </row>
    <row r="72">
      <c r="E72" s="3"/>
      <c r="F72" s="3"/>
      <c r="G72" s="3"/>
      <c r="H72" s="3"/>
      <c r="I72" s="3" t="str">
        <f>'res122 Mary Shay'!C98</f>
        <v/>
      </c>
      <c r="J72" s="3" t="str">
        <f>'res122 Mary Shay'!D98</f>
        <v/>
      </c>
      <c r="K72" s="3"/>
      <c r="L72" s="3"/>
    </row>
    <row r="73">
      <c r="E73" s="3"/>
      <c r="F73" s="3"/>
      <c r="G73" s="3"/>
      <c r="H73" s="3"/>
      <c r="I73" s="3" t="str">
        <f>'res122 Mary Shay'!C99</f>
        <v/>
      </c>
      <c r="J73" s="3" t="str">
        <f>'res122 Mary Shay'!D99</f>
        <v/>
      </c>
      <c r="K73" s="3"/>
      <c r="L73" s="3"/>
    </row>
    <row r="74">
      <c r="E74" s="3"/>
      <c r="F74" s="3"/>
      <c r="G74" s="3"/>
      <c r="H74" s="3"/>
      <c r="I74" s="3" t="str">
        <f>'res122 Mary Shay'!C100</f>
        <v/>
      </c>
      <c r="J74" s="3" t="str">
        <f>'res122 Mary Shay'!D100</f>
        <v/>
      </c>
      <c r="K74" s="3"/>
      <c r="L74" s="3"/>
    </row>
    <row r="75">
      <c r="E75" s="3"/>
      <c r="F75" s="3"/>
      <c r="G75" s="3"/>
      <c r="H75" s="3"/>
      <c r="I75" s="3" t="str">
        <f>'res122 Mary Shay'!C101</f>
        <v/>
      </c>
      <c r="J75" s="3" t="str">
        <f>'res122 Mary Shay'!D101</f>
        <v/>
      </c>
      <c r="K75" s="3"/>
      <c r="L75" s="3"/>
    </row>
    <row r="76">
      <c r="E76" s="3"/>
      <c r="F76" s="3"/>
      <c r="G76" s="3"/>
      <c r="H76" s="3"/>
      <c r="I76" s="3" t="str">
        <f>'res122 Mary Shay'!C102</f>
        <v/>
      </c>
      <c r="J76" s="3" t="str">
        <f>'res122 Mary Shay'!D102</f>
        <v/>
      </c>
      <c r="K76" s="3"/>
      <c r="L76" s="3"/>
    </row>
    <row r="77">
      <c r="E77" s="3"/>
      <c r="F77" s="3"/>
      <c r="G77" s="3"/>
      <c r="H77" s="3"/>
      <c r="I77" s="3" t="str">
        <f>'res122 Mary Shay'!C103</f>
        <v/>
      </c>
      <c r="J77" s="3" t="str">
        <f>'res122 Mary Shay'!D103</f>
        <v/>
      </c>
      <c r="K77" s="3"/>
      <c r="L77" s="3"/>
    </row>
    <row r="78">
      <c r="E78" s="3"/>
      <c r="F78" s="3"/>
      <c r="G78" s="3"/>
      <c r="H78" s="3"/>
      <c r="I78" s="3" t="str">
        <f>'res122 Mary Shay'!C104</f>
        <v/>
      </c>
      <c r="J78" s="3" t="str">
        <f>'res122 Mary Shay'!D104</f>
        <v/>
      </c>
      <c r="K78" s="3"/>
      <c r="L78" s="3"/>
    </row>
    <row r="79">
      <c r="E79" s="3"/>
      <c r="F79" s="3"/>
      <c r="G79" s="3"/>
      <c r="H79" s="3"/>
      <c r="I79" s="3" t="str">
        <f>'res122 Mary Shay'!C105</f>
        <v/>
      </c>
      <c r="J79" s="3" t="str">
        <f>'res122 Mary Shay'!D105</f>
        <v/>
      </c>
      <c r="K79" s="3"/>
      <c r="L79" s="3"/>
    </row>
    <row r="80">
      <c r="E80" s="3"/>
      <c r="F80" s="3"/>
      <c r="G80" s="3"/>
      <c r="H80" s="3"/>
      <c r="I80" s="3" t="str">
        <f>'res122 Mary Shay'!C106</f>
        <v/>
      </c>
      <c r="J80" s="3" t="str">
        <f>'res122 Mary Shay'!D106</f>
        <v/>
      </c>
      <c r="K80" s="3"/>
      <c r="L80" s="3"/>
    </row>
    <row r="81">
      <c r="E81" s="3"/>
      <c r="F81" s="3"/>
      <c r="G81" s="3"/>
      <c r="H81" s="3"/>
      <c r="I81" s="3" t="str">
        <f>'res122 Mary Shay'!C107</f>
        <v/>
      </c>
      <c r="J81" s="3" t="str">
        <f>'res122 Mary Shay'!D107</f>
        <v/>
      </c>
      <c r="K81" s="3"/>
      <c r="L81" s="3"/>
    </row>
    <row r="82">
      <c r="E82" s="3"/>
      <c r="F82" s="3"/>
      <c r="G82" s="3"/>
      <c r="H82" s="3"/>
      <c r="I82" s="3" t="str">
        <f>'res122 Mary Shay'!C108</f>
        <v/>
      </c>
      <c r="J82" s="3" t="str">
        <f>'res122 Mary Shay'!D108</f>
        <v/>
      </c>
      <c r="K82" s="3"/>
      <c r="L82" s="3"/>
    </row>
    <row r="83">
      <c r="E83" s="3"/>
      <c r="F83" s="3"/>
      <c r="G83" s="3"/>
      <c r="H83" s="3"/>
      <c r="I83" s="3" t="str">
        <f>'res122 Mary Shay'!C109</f>
        <v/>
      </c>
      <c r="J83" s="3" t="str">
        <f>'res122 Mary Shay'!D109</f>
        <v/>
      </c>
      <c r="K83" s="3"/>
      <c r="L83" s="3"/>
    </row>
    <row r="84">
      <c r="E84" s="3"/>
      <c r="F84" s="3"/>
      <c r="G84" s="3"/>
      <c r="H84" s="3"/>
      <c r="I84" s="3" t="str">
        <f>'res122 Mary Shay'!C110</f>
        <v/>
      </c>
      <c r="J84" s="3" t="str">
        <f>'res122 Mary Shay'!D110</f>
        <v/>
      </c>
      <c r="K84" s="3"/>
      <c r="L84" s="3"/>
    </row>
    <row r="85">
      <c r="E85" s="3"/>
      <c r="F85" s="3"/>
      <c r="G85" s="3"/>
      <c r="H85" s="3"/>
      <c r="I85" s="3" t="str">
        <f>'res122 Mary Shay'!C111</f>
        <v/>
      </c>
      <c r="J85" s="3" t="str">
        <f>'res122 Mary Shay'!D111</f>
        <v/>
      </c>
      <c r="K85" s="3"/>
      <c r="L85" s="3"/>
    </row>
    <row r="86">
      <c r="E86" s="3"/>
      <c r="F86" s="3"/>
      <c r="G86" s="3"/>
      <c r="H86" s="3"/>
      <c r="I86" s="3" t="str">
        <f>'res122 Mary Shay'!C112</f>
        <v/>
      </c>
      <c r="J86" s="3" t="str">
        <f>'res122 Mary Shay'!D112</f>
        <v/>
      </c>
      <c r="K86" s="3"/>
      <c r="L86" s="3"/>
    </row>
    <row r="87">
      <c r="E87" s="3"/>
      <c r="F87" s="3"/>
      <c r="G87" s="3"/>
      <c r="H87" s="3"/>
      <c r="I87" s="3" t="str">
        <f>'res122 Mary Shay'!C113</f>
        <v/>
      </c>
      <c r="J87" s="3" t="str">
        <f>'res122 Mary Shay'!D113</f>
        <v/>
      </c>
      <c r="K87" s="3"/>
      <c r="L87" s="3"/>
    </row>
    <row r="88">
      <c r="E88" s="3"/>
      <c r="F88" s="3"/>
      <c r="G88" s="3"/>
      <c r="H88" s="3"/>
      <c r="I88" s="3" t="str">
        <f>'res122 Mary Shay'!C114</f>
        <v/>
      </c>
      <c r="J88" s="3" t="str">
        <f>'res122 Mary Shay'!D114</f>
        <v/>
      </c>
      <c r="K88" s="3"/>
      <c r="L88" s="3"/>
    </row>
    <row r="89">
      <c r="E89" s="3"/>
      <c r="F89" s="3"/>
      <c r="G89" s="3"/>
      <c r="H89" s="3"/>
      <c r="I89" s="3" t="str">
        <f>'res122 Mary Shay'!C115</f>
        <v/>
      </c>
      <c r="J89" s="3" t="str">
        <f>'res122 Mary Shay'!D115</f>
        <v/>
      </c>
      <c r="K89" s="3"/>
      <c r="L89" s="3"/>
    </row>
    <row r="90">
      <c r="E90" s="3"/>
      <c r="F90" s="3"/>
      <c r="G90" s="3"/>
      <c r="H90" s="3"/>
      <c r="I90" s="3" t="str">
        <f>'res122 Mary Shay'!C116</f>
        <v/>
      </c>
      <c r="J90" s="3" t="str">
        <f>'res122 Mary Shay'!D116</f>
        <v/>
      </c>
      <c r="K90" s="3"/>
      <c r="L90" s="3"/>
    </row>
    <row r="91">
      <c r="E91" s="3"/>
      <c r="F91" s="3"/>
      <c r="G91" s="3"/>
      <c r="H91" s="3"/>
      <c r="I91" s="3" t="str">
        <f>'res122 Mary Shay'!C117</f>
        <v/>
      </c>
      <c r="J91" s="3" t="str">
        <f>'res122 Mary Shay'!D117</f>
        <v/>
      </c>
      <c r="K91" s="3"/>
      <c r="L91" s="3"/>
    </row>
    <row r="92">
      <c r="E92" s="3"/>
      <c r="F92" s="3"/>
      <c r="G92" s="3"/>
      <c r="H92" s="3"/>
      <c r="I92" s="3" t="str">
        <f>'res122 Mary Shay'!C118</f>
        <v/>
      </c>
      <c r="J92" s="3" t="str">
        <f>'res122 Mary Shay'!D118</f>
        <v/>
      </c>
      <c r="K92" s="3"/>
      <c r="L92" s="3"/>
    </row>
    <row r="93">
      <c r="E93" s="3"/>
      <c r="F93" s="3"/>
      <c r="G93" s="3"/>
      <c r="H93" s="3"/>
      <c r="I93" s="3" t="str">
        <f>'res122 Mary Shay'!C119</f>
        <v/>
      </c>
      <c r="J93" s="3" t="str">
        <f>'res122 Mary Shay'!D119</f>
        <v/>
      </c>
      <c r="K93" s="3"/>
      <c r="L93" s="3"/>
    </row>
    <row r="94">
      <c r="E94" s="3"/>
      <c r="F94" s="3"/>
      <c r="G94" s="3"/>
      <c r="H94" s="3"/>
      <c r="I94" s="3" t="str">
        <f>'res122 Mary Shay'!C120</f>
        <v/>
      </c>
      <c r="J94" s="3" t="str">
        <f>'res122 Mary Shay'!D120</f>
        <v/>
      </c>
      <c r="K94" s="3"/>
      <c r="L94" s="3"/>
    </row>
    <row r="95">
      <c r="E95" s="3"/>
      <c r="F95" s="3"/>
      <c r="G95" s="3"/>
      <c r="H95" s="3"/>
      <c r="I95" s="3" t="str">
        <f>'res122 Mary Shay'!C121</f>
        <v/>
      </c>
      <c r="J95" s="3" t="str">
        <f>'res122 Mary Shay'!D121</f>
        <v/>
      </c>
      <c r="K95" s="3"/>
      <c r="L95" s="3"/>
    </row>
    <row r="96">
      <c r="E96" s="3"/>
      <c r="F96" s="3"/>
      <c r="G96" s="3"/>
      <c r="H96" s="3"/>
      <c r="I96" s="3" t="str">
        <f>'res122 Mary Shay'!C122</f>
        <v/>
      </c>
      <c r="J96" s="3" t="str">
        <f>'res122 Mary Shay'!D122</f>
        <v/>
      </c>
      <c r="K96" s="3"/>
      <c r="L96" s="3"/>
    </row>
    <row r="97">
      <c r="E97" s="3"/>
      <c r="F97" s="3"/>
      <c r="G97" s="3"/>
      <c r="H97" s="3"/>
      <c r="I97" s="3" t="str">
        <f>'res122 Mary Shay'!C123</f>
        <v/>
      </c>
      <c r="J97" s="3" t="str">
        <f>'res122 Mary Shay'!D123</f>
        <v/>
      </c>
      <c r="K97" s="3"/>
      <c r="L97" s="3"/>
    </row>
    <row r="98">
      <c r="E98" s="3"/>
      <c r="F98" s="3"/>
      <c r="G98" s="3"/>
      <c r="H98" s="3"/>
      <c r="I98" s="3" t="str">
        <f>'res122 Mary Shay'!C124</f>
        <v/>
      </c>
      <c r="J98" s="3" t="str">
        <f>'res122 Mary Shay'!D124</f>
        <v/>
      </c>
      <c r="K98" s="3"/>
      <c r="L98" s="3"/>
    </row>
    <row r="99">
      <c r="E99" s="3"/>
      <c r="F99" s="3"/>
      <c r="G99" s="3"/>
      <c r="H99" s="3"/>
      <c r="I99" s="3" t="str">
        <f>'res122 Mary Shay'!C125</f>
        <v/>
      </c>
      <c r="J99" s="3" t="str">
        <f>'res122 Mary Shay'!D125</f>
        <v/>
      </c>
      <c r="K99" s="3"/>
      <c r="L99" s="3"/>
    </row>
    <row r="100">
      <c r="E100" s="3"/>
      <c r="F100" s="3"/>
      <c r="G100" s="3"/>
      <c r="H100" s="3"/>
      <c r="I100" s="3" t="str">
        <f>'res122 Mary Shay'!C126</f>
        <v/>
      </c>
      <c r="J100" s="3" t="str">
        <f>'res122 Mary Shay'!D126</f>
        <v/>
      </c>
      <c r="K100" s="3"/>
      <c r="L100" s="3"/>
    </row>
    <row r="101">
      <c r="E101" s="3"/>
      <c r="F101" s="3"/>
      <c r="G101" s="3"/>
      <c r="H101" s="3"/>
      <c r="I101" s="3" t="str">
        <f>'res122 Mary Shay'!C127</f>
        <v/>
      </c>
      <c r="J101" s="3" t="str">
        <f>'res122 Mary Shay'!D127</f>
        <v/>
      </c>
      <c r="K101" s="3"/>
      <c r="L101" s="3"/>
    </row>
    <row r="102">
      <c r="E102" s="3"/>
      <c r="F102" s="3"/>
      <c r="G102" s="3"/>
      <c r="H102" s="3"/>
      <c r="I102" s="3" t="str">
        <f>'res122 Mary Shay'!C128</f>
        <v/>
      </c>
      <c r="J102" s="3" t="str">
        <f>'res122 Mary Shay'!D128</f>
        <v/>
      </c>
      <c r="K102" s="3"/>
      <c r="L102" s="3"/>
    </row>
    <row r="103">
      <c r="E103" s="3"/>
      <c r="F103" s="3"/>
      <c r="G103" s="3"/>
      <c r="H103" s="3"/>
      <c r="I103" s="3" t="str">
        <f>'res122 Mary Shay'!C129</f>
        <v/>
      </c>
      <c r="J103" s="3" t="str">
        <f>'res122 Mary Shay'!D129</f>
        <v/>
      </c>
      <c r="K103" s="3"/>
      <c r="L103" s="3"/>
    </row>
    <row r="104">
      <c r="E104" s="5"/>
      <c r="F104" s="5"/>
      <c r="G104" s="5"/>
      <c r="H104" s="5"/>
      <c r="I104" s="5"/>
      <c r="J104" s="5"/>
      <c r="K104" s="5"/>
      <c r="L104" s="5"/>
    </row>
    <row r="105">
      <c r="E105" s="5"/>
      <c r="F105" s="5"/>
      <c r="G105" s="5"/>
      <c r="H105" s="5"/>
      <c r="I105" s="5"/>
      <c r="J105" s="5"/>
      <c r="K105" s="5"/>
      <c r="L105" s="5"/>
    </row>
    <row r="106">
      <c r="E106" s="5"/>
      <c r="F106" s="5"/>
      <c r="G106" s="5"/>
      <c r="H106" s="5"/>
      <c r="I106" s="5"/>
      <c r="J106" s="5"/>
      <c r="K106" s="5"/>
      <c r="L106" s="5"/>
    </row>
    <row r="107">
      <c r="E107" s="5"/>
      <c r="F107" s="5"/>
      <c r="G107" s="5"/>
      <c r="H107" s="5"/>
      <c r="I107" s="5"/>
      <c r="J107" s="5"/>
      <c r="K107" s="5"/>
      <c r="L107" s="5"/>
    </row>
    <row r="108">
      <c r="E108" s="5"/>
      <c r="F108" s="5"/>
      <c r="G108" s="5"/>
      <c r="H108" s="5"/>
      <c r="I108" s="5"/>
      <c r="J108" s="5"/>
      <c r="K108" s="5"/>
      <c r="L108" s="5"/>
    </row>
    <row r="109">
      <c r="E109" s="5"/>
      <c r="F109" s="5"/>
      <c r="G109" s="5"/>
      <c r="H109" s="5"/>
      <c r="I109" s="5"/>
      <c r="J109" s="5"/>
      <c r="K109" s="5"/>
      <c r="L109" s="5"/>
    </row>
    <row r="110">
      <c r="E110" s="5"/>
      <c r="F110" s="5"/>
      <c r="G110" s="5"/>
      <c r="H110" s="5"/>
      <c r="I110" s="5"/>
      <c r="J110" s="5"/>
      <c r="K110" s="5"/>
      <c r="L110" s="5"/>
    </row>
    <row r="111">
      <c r="E111" s="5"/>
      <c r="F111" s="5"/>
      <c r="G111" s="5"/>
      <c r="H111" s="5"/>
      <c r="I111" s="5"/>
      <c r="J111" s="5"/>
      <c r="K111" s="5"/>
      <c r="L111" s="5"/>
    </row>
    <row r="112">
      <c r="E112" s="5"/>
      <c r="F112" s="5"/>
      <c r="G112" s="5"/>
      <c r="H112" s="5"/>
      <c r="I112" s="5"/>
      <c r="J112" s="5"/>
      <c r="K112" s="5"/>
      <c r="L112" s="5"/>
    </row>
    <row r="113">
      <c r="E113" s="5"/>
      <c r="F113" s="5"/>
      <c r="G113" s="5"/>
      <c r="H113" s="5"/>
      <c r="I113" s="5"/>
      <c r="J113" s="5"/>
      <c r="K113" s="5"/>
      <c r="L113" s="5"/>
    </row>
    <row r="114">
      <c r="E114" s="5"/>
      <c r="F114" s="5"/>
      <c r="G114" s="5"/>
      <c r="H114" s="5"/>
      <c r="I114" s="5"/>
      <c r="J114" s="5"/>
      <c r="K114" s="5"/>
      <c r="L114" s="5"/>
    </row>
    <row r="115">
      <c r="E115" s="5"/>
      <c r="F115" s="5"/>
      <c r="G115" s="5"/>
      <c r="H115" s="5"/>
      <c r="I115" s="5"/>
      <c r="J115" s="5"/>
      <c r="K115" s="5"/>
      <c r="L115" s="5"/>
    </row>
    <row r="116">
      <c r="E116" s="5"/>
      <c r="F116" s="5"/>
      <c r="G116" s="5"/>
      <c r="H116" s="5"/>
      <c r="I116" s="5"/>
      <c r="J116" s="5"/>
      <c r="K116" s="5"/>
      <c r="L116" s="5"/>
    </row>
    <row r="117">
      <c r="E117" s="5"/>
      <c r="F117" s="5"/>
      <c r="G117" s="5"/>
      <c r="H117" s="5"/>
      <c r="I117" s="5"/>
      <c r="J117" s="5"/>
      <c r="K117" s="5"/>
      <c r="L117" s="5"/>
    </row>
    <row r="118">
      <c r="E118" s="5"/>
      <c r="F118" s="5"/>
      <c r="G118" s="5"/>
      <c r="H118" s="5"/>
      <c r="I118" s="5"/>
      <c r="J118" s="5"/>
      <c r="K118" s="5"/>
      <c r="L118" s="5"/>
    </row>
    <row r="119">
      <c r="E119" s="5"/>
      <c r="F119" s="5"/>
      <c r="G119" s="5"/>
      <c r="H119" s="5"/>
      <c r="I119" s="5"/>
      <c r="J119" s="5"/>
      <c r="K119" s="5"/>
      <c r="L119" s="5"/>
    </row>
    <row r="120">
      <c r="E120" s="5"/>
      <c r="F120" s="5"/>
      <c r="G120" s="5"/>
      <c r="H120" s="5"/>
      <c r="I120" s="5"/>
      <c r="J120" s="5"/>
      <c r="K120" s="5"/>
      <c r="L120" s="5"/>
    </row>
    <row r="121">
      <c r="E121" s="5"/>
      <c r="F121" s="5"/>
      <c r="G121" s="5"/>
      <c r="H121" s="5"/>
      <c r="I121" s="5"/>
      <c r="J121" s="5"/>
      <c r="K121" s="5"/>
      <c r="L121" s="5"/>
    </row>
    <row r="122">
      <c r="E122" s="5"/>
      <c r="F122" s="5"/>
      <c r="G122" s="5"/>
      <c r="H122" s="5"/>
      <c r="I122" s="5"/>
      <c r="J122" s="5"/>
      <c r="K122" s="5"/>
      <c r="L122" s="5"/>
    </row>
    <row r="123">
      <c r="E123" s="5"/>
      <c r="F123" s="5"/>
      <c r="G123" s="5"/>
      <c r="H123" s="5"/>
      <c r="I123" s="5"/>
      <c r="J123" s="5"/>
      <c r="K123" s="5"/>
      <c r="L123" s="5"/>
    </row>
    <row r="124">
      <c r="E124" s="5"/>
      <c r="F124" s="5"/>
      <c r="G124" s="5"/>
      <c r="H124" s="5"/>
      <c r="I124" s="5"/>
      <c r="J124" s="5"/>
      <c r="K124" s="5"/>
      <c r="L124" s="5"/>
    </row>
    <row r="125">
      <c r="E125" s="5"/>
      <c r="F125" s="5"/>
      <c r="G125" s="5"/>
      <c r="H125" s="5"/>
      <c r="I125" s="5"/>
      <c r="J125" s="5"/>
      <c r="K125" s="5"/>
      <c r="L125" s="5"/>
    </row>
    <row r="126">
      <c r="E126" s="5"/>
      <c r="F126" s="5"/>
      <c r="G126" s="5"/>
      <c r="H126" s="5"/>
      <c r="I126" s="5"/>
      <c r="J126" s="5"/>
      <c r="K126" s="5"/>
      <c r="L126" s="5"/>
    </row>
    <row r="127">
      <c r="E127" s="5"/>
      <c r="F127" s="5"/>
      <c r="G127" s="5"/>
      <c r="H127" s="5"/>
      <c r="I127" s="5"/>
      <c r="J127" s="5"/>
      <c r="K127" s="5"/>
      <c r="L127" s="5"/>
    </row>
    <row r="128">
      <c r="E128" s="5"/>
      <c r="F128" s="5"/>
      <c r="G128" s="5"/>
      <c r="H128" s="5"/>
      <c r="I128" s="5"/>
      <c r="J128" s="5"/>
      <c r="K128" s="5"/>
      <c r="L128" s="5"/>
    </row>
    <row r="129">
      <c r="E129" s="5"/>
      <c r="F129" s="5"/>
      <c r="G129" s="5"/>
      <c r="H129" s="5"/>
      <c r="I129" s="5"/>
      <c r="J129" s="5"/>
      <c r="K129" s="5"/>
      <c r="L129" s="5"/>
    </row>
    <row r="130">
      <c r="E130" s="5"/>
      <c r="F130" s="5"/>
      <c r="G130" s="5"/>
      <c r="H130" s="5"/>
      <c r="I130" s="5"/>
      <c r="J130" s="5"/>
      <c r="K130" s="5"/>
      <c r="L130" s="5"/>
    </row>
    <row r="131">
      <c r="E131" s="5"/>
      <c r="F131" s="5"/>
      <c r="G131" s="5"/>
      <c r="H131" s="5"/>
      <c r="I131" s="5"/>
      <c r="J131" s="5"/>
      <c r="K131" s="5"/>
      <c r="L131" s="5"/>
    </row>
    <row r="132">
      <c r="E132" s="5"/>
      <c r="F132" s="5"/>
      <c r="G132" s="5"/>
      <c r="H132" s="5"/>
      <c r="I132" s="5"/>
      <c r="J132" s="5"/>
      <c r="K132" s="5"/>
      <c r="L132" s="5"/>
    </row>
    <row r="133">
      <c r="E133" s="5"/>
      <c r="F133" s="5"/>
      <c r="G133" s="5"/>
      <c r="H133" s="5"/>
      <c r="I133" s="5"/>
      <c r="J133" s="5"/>
      <c r="K133" s="5"/>
      <c r="L133" s="5"/>
    </row>
    <row r="134">
      <c r="E134" s="5"/>
      <c r="F134" s="5"/>
      <c r="G134" s="5"/>
      <c r="H134" s="5"/>
      <c r="I134" s="5"/>
      <c r="J134" s="5"/>
      <c r="K134" s="5"/>
      <c r="L134" s="5"/>
    </row>
    <row r="135">
      <c r="E135" s="5"/>
      <c r="F135" s="5"/>
      <c r="G135" s="5"/>
      <c r="H135" s="5"/>
      <c r="I135" s="5"/>
      <c r="J135" s="5"/>
      <c r="K135" s="5"/>
      <c r="L135" s="5"/>
    </row>
    <row r="136">
      <c r="E136" s="5"/>
      <c r="F136" s="5"/>
      <c r="G136" s="5"/>
      <c r="H136" s="5"/>
      <c r="I136" s="5"/>
      <c r="J136" s="5"/>
      <c r="K136" s="5"/>
      <c r="L136" s="5"/>
    </row>
    <row r="137">
      <c r="E137" s="5"/>
      <c r="F137" s="5"/>
      <c r="G137" s="5"/>
      <c r="H137" s="5"/>
      <c r="I137" s="5"/>
      <c r="J137" s="5"/>
      <c r="K137" s="5"/>
      <c r="L137" s="5"/>
    </row>
    <row r="138">
      <c r="E138" s="5"/>
      <c r="F138" s="5"/>
      <c r="G138" s="5"/>
      <c r="H138" s="5"/>
      <c r="I138" s="5"/>
      <c r="J138" s="5"/>
      <c r="K138" s="5"/>
      <c r="L138" s="5"/>
    </row>
    <row r="139">
      <c r="E139" s="5"/>
      <c r="F139" s="5"/>
      <c r="G139" s="5"/>
      <c r="H139" s="5"/>
      <c r="I139" s="5"/>
      <c r="J139" s="5"/>
      <c r="K139" s="5"/>
      <c r="L139" s="5"/>
    </row>
    <row r="140">
      <c r="E140" s="5"/>
      <c r="F140" s="5"/>
      <c r="G140" s="5"/>
      <c r="H140" s="5"/>
      <c r="I140" s="5"/>
      <c r="J140" s="5"/>
      <c r="K140" s="5"/>
      <c r="L140" s="5"/>
    </row>
    <row r="141">
      <c r="E141" s="5"/>
      <c r="F141" s="5"/>
      <c r="G141" s="5"/>
      <c r="H141" s="5"/>
      <c r="I141" s="5"/>
      <c r="J141" s="5"/>
      <c r="K141" s="5"/>
      <c r="L141" s="5"/>
    </row>
    <row r="142">
      <c r="E142" s="5"/>
      <c r="F142" s="5"/>
      <c r="G142" s="5"/>
      <c r="H142" s="5"/>
      <c r="I142" s="5"/>
      <c r="J142" s="5"/>
      <c r="K142" s="5"/>
      <c r="L142" s="5"/>
    </row>
    <row r="143">
      <c r="E143" s="5"/>
      <c r="F143" s="5"/>
      <c r="G143" s="5"/>
      <c r="H143" s="5"/>
      <c r="I143" s="5"/>
      <c r="J143" s="5"/>
      <c r="K143" s="5"/>
      <c r="L143" s="5"/>
    </row>
    <row r="144">
      <c r="E144" s="5"/>
      <c r="F144" s="5"/>
      <c r="G144" s="5"/>
      <c r="H144" s="5"/>
      <c r="I144" s="5"/>
      <c r="J144" s="5"/>
      <c r="K144" s="5"/>
      <c r="L144" s="5"/>
    </row>
    <row r="145">
      <c r="E145" s="5"/>
      <c r="F145" s="5"/>
      <c r="G145" s="5"/>
      <c r="H145" s="5"/>
      <c r="I145" s="5"/>
      <c r="J145" s="5"/>
      <c r="K145" s="5"/>
      <c r="L145" s="5"/>
    </row>
    <row r="146">
      <c r="E146" s="5"/>
      <c r="F146" s="5"/>
      <c r="G146" s="5"/>
      <c r="H146" s="5"/>
      <c r="I146" s="5"/>
      <c r="J146" s="5"/>
      <c r="K146" s="5"/>
      <c r="L146" s="5"/>
    </row>
    <row r="147">
      <c r="E147" s="5"/>
      <c r="F147" s="5"/>
      <c r="G147" s="5"/>
      <c r="H147" s="5"/>
      <c r="I147" s="5"/>
      <c r="J147" s="5"/>
      <c r="K147" s="5"/>
      <c r="L147" s="5"/>
    </row>
    <row r="148">
      <c r="E148" s="5"/>
      <c r="F148" s="5"/>
      <c r="G148" s="5"/>
      <c r="H148" s="5"/>
      <c r="I148" s="5"/>
      <c r="J148" s="5"/>
      <c r="K148" s="5"/>
      <c r="L148" s="5"/>
    </row>
    <row r="149">
      <c r="E149" s="5"/>
      <c r="F149" s="5"/>
      <c r="G149" s="5"/>
      <c r="H149" s="5"/>
      <c r="I149" s="5"/>
      <c r="J149" s="5"/>
      <c r="K149" s="5"/>
      <c r="L149" s="5"/>
    </row>
    <row r="150">
      <c r="E150" s="5"/>
      <c r="F150" s="5"/>
      <c r="G150" s="5"/>
      <c r="H150" s="5"/>
      <c r="I150" s="5"/>
      <c r="J150" s="5"/>
      <c r="K150" s="5"/>
      <c r="L150" s="5"/>
    </row>
    <row r="151">
      <c r="E151" s="5"/>
      <c r="F151" s="5"/>
      <c r="G151" s="5"/>
      <c r="H151" s="5"/>
      <c r="I151" s="5"/>
      <c r="J151" s="5"/>
      <c r="K151" s="5"/>
      <c r="L151" s="5"/>
    </row>
    <row r="152">
      <c r="E152" s="5"/>
      <c r="F152" s="5"/>
      <c r="G152" s="5"/>
      <c r="H152" s="5"/>
      <c r="I152" s="5"/>
      <c r="J152" s="5"/>
      <c r="K152" s="5"/>
      <c r="L152" s="5"/>
    </row>
    <row r="153">
      <c r="E153" s="5"/>
      <c r="F153" s="5"/>
      <c r="G153" s="5"/>
      <c r="H153" s="5"/>
      <c r="I153" s="5"/>
      <c r="J153" s="5"/>
      <c r="K153" s="5"/>
      <c r="L153" s="5"/>
    </row>
    <row r="154">
      <c r="E154" s="5"/>
      <c r="F154" s="5"/>
      <c r="G154" s="5"/>
      <c r="H154" s="5"/>
      <c r="I154" s="5"/>
      <c r="J154" s="5"/>
      <c r="K154" s="5"/>
      <c r="L154" s="5"/>
    </row>
    <row r="155">
      <c r="E155" s="5"/>
      <c r="F155" s="5"/>
      <c r="G155" s="5"/>
      <c r="H155" s="5"/>
      <c r="I155" s="5"/>
      <c r="J155" s="5"/>
      <c r="K155" s="5"/>
      <c r="L155" s="5"/>
    </row>
    <row r="156">
      <c r="E156" s="5"/>
      <c r="F156" s="5"/>
      <c r="G156" s="5"/>
      <c r="H156" s="5"/>
      <c r="I156" s="5"/>
      <c r="J156" s="5"/>
      <c r="K156" s="5"/>
      <c r="L156" s="5"/>
    </row>
    <row r="157">
      <c r="E157" s="5"/>
      <c r="F157" s="5"/>
      <c r="G157" s="5"/>
      <c r="H157" s="5"/>
      <c r="I157" s="5"/>
      <c r="J157" s="5"/>
      <c r="K157" s="5"/>
      <c r="L157" s="5"/>
    </row>
    <row r="158">
      <c r="E158" s="5"/>
      <c r="F158" s="5"/>
      <c r="G158" s="5"/>
      <c r="H158" s="5"/>
      <c r="I158" s="5"/>
      <c r="J158" s="5"/>
      <c r="K158" s="5"/>
      <c r="L158" s="5"/>
    </row>
    <row r="159">
      <c r="E159" s="5"/>
      <c r="F159" s="5"/>
      <c r="G159" s="5"/>
      <c r="H159" s="5"/>
      <c r="I159" s="5"/>
      <c r="J159" s="5"/>
      <c r="K159" s="5"/>
      <c r="L159" s="5"/>
    </row>
    <row r="160">
      <c r="E160" s="5"/>
      <c r="F160" s="5"/>
      <c r="G160" s="5"/>
      <c r="H160" s="5"/>
      <c r="I160" s="5"/>
      <c r="J160" s="5"/>
      <c r="K160" s="5"/>
      <c r="L160" s="5"/>
    </row>
    <row r="161">
      <c r="E161" s="5"/>
      <c r="F161" s="5"/>
      <c r="G161" s="5"/>
      <c r="H161" s="5"/>
      <c r="I161" s="5"/>
      <c r="J161" s="5"/>
      <c r="K161" s="5"/>
      <c r="L161" s="5"/>
    </row>
    <row r="162">
      <c r="E162" s="5"/>
      <c r="F162" s="5"/>
      <c r="G162" s="5"/>
      <c r="H162" s="5"/>
      <c r="I162" s="5"/>
      <c r="J162" s="5"/>
      <c r="K162" s="5"/>
      <c r="L162" s="5"/>
    </row>
    <row r="163">
      <c r="E163" s="5"/>
      <c r="F163" s="5"/>
      <c r="G163" s="5"/>
      <c r="H163" s="5"/>
      <c r="I163" s="5"/>
      <c r="J163" s="5"/>
      <c r="K163" s="5"/>
      <c r="L163" s="5"/>
    </row>
    <row r="164">
      <c r="E164" s="5"/>
      <c r="F164" s="5"/>
      <c r="G164" s="5"/>
      <c r="H164" s="5"/>
      <c r="I164" s="5"/>
      <c r="J164" s="5"/>
      <c r="K164" s="5"/>
      <c r="L164" s="5"/>
    </row>
    <row r="165">
      <c r="E165" s="5"/>
      <c r="F165" s="5"/>
      <c r="G165" s="5"/>
      <c r="H165" s="5"/>
      <c r="I165" s="5"/>
      <c r="J165" s="5"/>
      <c r="K165" s="5"/>
      <c r="L165" s="5"/>
    </row>
    <row r="166">
      <c r="E166" s="5"/>
      <c r="F166" s="5"/>
      <c r="G166" s="5"/>
      <c r="H166" s="5"/>
      <c r="I166" s="5"/>
      <c r="J166" s="5"/>
      <c r="K166" s="5"/>
      <c r="L166" s="5"/>
    </row>
    <row r="167">
      <c r="E167" s="5"/>
      <c r="F167" s="5"/>
      <c r="G167" s="5"/>
      <c r="H167" s="5"/>
      <c r="I167" s="5"/>
      <c r="J167" s="5"/>
      <c r="K167" s="5"/>
      <c r="L167" s="5"/>
    </row>
    <row r="168">
      <c r="E168" s="5"/>
      <c r="F168" s="5"/>
      <c r="G168" s="5"/>
      <c r="H168" s="5"/>
      <c r="I168" s="5"/>
      <c r="J168" s="5"/>
      <c r="K168" s="5"/>
      <c r="L168" s="5"/>
    </row>
    <row r="169">
      <c r="E169" s="5"/>
      <c r="F169" s="5"/>
      <c r="G169" s="5"/>
      <c r="H169" s="5"/>
      <c r="I169" s="5"/>
      <c r="J169" s="5"/>
      <c r="K169" s="5"/>
      <c r="L169" s="5"/>
    </row>
    <row r="170">
      <c r="E170" s="5"/>
      <c r="F170" s="5"/>
      <c r="G170" s="5"/>
      <c r="H170" s="5"/>
      <c r="I170" s="5"/>
      <c r="J170" s="5"/>
      <c r="K170" s="5"/>
      <c r="L170" s="5"/>
    </row>
    <row r="171">
      <c r="E171" s="5"/>
      <c r="F171" s="5"/>
      <c r="G171" s="5"/>
      <c r="H171" s="5"/>
      <c r="I171" s="5"/>
      <c r="J171" s="5"/>
      <c r="K171" s="5"/>
      <c r="L171" s="5"/>
    </row>
    <row r="172">
      <c r="E172" s="5"/>
      <c r="F172" s="5"/>
      <c r="G172" s="5"/>
      <c r="H172" s="5"/>
      <c r="I172" s="5"/>
      <c r="J172" s="5"/>
      <c r="K172" s="5"/>
      <c r="L172" s="5"/>
    </row>
    <row r="173">
      <c r="E173" s="5"/>
      <c r="F173" s="5"/>
      <c r="G173" s="5"/>
      <c r="H173" s="5"/>
      <c r="I173" s="5"/>
      <c r="J173" s="5"/>
      <c r="K173" s="5"/>
      <c r="L173" s="5"/>
    </row>
    <row r="174">
      <c r="E174" s="5"/>
      <c r="F174" s="5"/>
      <c r="G174" s="5"/>
      <c r="H174" s="5"/>
      <c r="I174" s="5"/>
      <c r="J174" s="5"/>
      <c r="K174" s="5"/>
      <c r="L174" s="5"/>
    </row>
    <row r="175">
      <c r="E175" s="5"/>
      <c r="F175" s="5"/>
      <c r="G175" s="5"/>
      <c r="H175" s="5"/>
      <c r="I175" s="5"/>
      <c r="J175" s="5"/>
      <c r="K175" s="5"/>
      <c r="L175" s="5"/>
    </row>
    <row r="176">
      <c r="E176" s="5"/>
      <c r="F176" s="5"/>
      <c r="G176" s="5"/>
      <c r="H176" s="5"/>
      <c r="I176" s="5"/>
      <c r="J176" s="5"/>
      <c r="K176" s="5"/>
      <c r="L176" s="5"/>
    </row>
    <row r="177">
      <c r="E177" s="5"/>
      <c r="F177" s="5"/>
      <c r="G177" s="5"/>
      <c r="H177" s="5"/>
      <c r="I177" s="5"/>
      <c r="J177" s="5"/>
      <c r="K177" s="5"/>
      <c r="L177" s="5"/>
    </row>
    <row r="178">
      <c r="E178" s="5"/>
      <c r="F178" s="5"/>
      <c r="G178" s="5"/>
      <c r="H178" s="5"/>
      <c r="I178" s="5"/>
      <c r="J178" s="5"/>
      <c r="K178" s="5"/>
      <c r="L178" s="5"/>
    </row>
    <row r="179">
      <c r="E179" s="5"/>
      <c r="F179" s="5"/>
      <c r="G179" s="5"/>
      <c r="H179" s="5"/>
      <c r="I179" s="5"/>
      <c r="J179" s="5"/>
      <c r="K179" s="5"/>
      <c r="L179" s="5"/>
    </row>
    <row r="180">
      <c r="E180" s="5"/>
      <c r="F180" s="5"/>
      <c r="G180" s="5"/>
      <c r="H180" s="5"/>
      <c r="I180" s="5"/>
      <c r="J180" s="5"/>
      <c r="K180" s="5"/>
      <c r="L180" s="5"/>
    </row>
    <row r="181">
      <c r="E181" s="5"/>
      <c r="F181" s="5"/>
      <c r="G181" s="5"/>
      <c r="H181" s="5"/>
      <c r="I181" s="5"/>
      <c r="J181" s="5"/>
      <c r="K181" s="5"/>
      <c r="L181" s="5"/>
    </row>
    <row r="182">
      <c r="E182" s="5"/>
      <c r="F182" s="5"/>
      <c r="G182" s="5"/>
      <c r="H182" s="5"/>
      <c r="I182" s="5"/>
      <c r="J182" s="5"/>
      <c r="K182" s="5"/>
      <c r="L182" s="5"/>
    </row>
    <row r="183">
      <c r="E183" s="5"/>
      <c r="F183" s="5"/>
      <c r="G183" s="5"/>
      <c r="H183" s="5"/>
      <c r="I183" s="5"/>
      <c r="J183" s="5"/>
      <c r="K183" s="5"/>
      <c r="L183" s="5"/>
    </row>
    <row r="184">
      <c r="E184" s="5"/>
      <c r="F184" s="5"/>
      <c r="G184" s="5"/>
      <c r="H184" s="5"/>
      <c r="I184" s="5"/>
      <c r="J184" s="5"/>
      <c r="K184" s="5"/>
      <c r="L184" s="5"/>
    </row>
    <row r="185">
      <c r="E185" s="5"/>
      <c r="F185" s="5"/>
      <c r="G185" s="5"/>
      <c r="H185" s="5"/>
      <c r="I185" s="5"/>
      <c r="J185" s="5"/>
      <c r="K185" s="5"/>
      <c r="L185" s="5"/>
    </row>
    <row r="186">
      <c r="E186" s="5"/>
      <c r="F186" s="5"/>
      <c r="G186" s="5"/>
      <c r="H186" s="5"/>
      <c r="I186" s="5"/>
      <c r="J186" s="5"/>
      <c r="K186" s="5"/>
      <c r="L186" s="5"/>
    </row>
    <row r="187">
      <c r="E187" s="5"/>
      <c r="F187" s="5"/>
      <c r="G187" s="5"/>
      <c r="H187" s="5"/>
      <c r="I187" s="5"/>
      <c r="J187" s="5"/>
      <c r="K187" s="5"/>
      <c r="L187" s="5"/>
    </row>
    <row r="188">
      <c r="E188" s="5"/>
      <c r="F188" s="5"/>
      <c r="G188" s="5"/>
      <c r="H188" s="5"/>
      <c r="I188" s="5"/>
      <c r="J188" s="5"/>
      <c r="K188" s="5"/>
      <c r="L188" s="5"/>
    </row>
    <row r="189">
      <c r="E189" s="5"/>
      <c r="F189" s="5"/>
      <c r="G189" s="5"/>
      <c r="H189" s="5"/>
      <c r="I189" s="5"/>
      <c r="J189" s="5"/>
      <c r="K189" s="5"/>
      <c r="L189" s="5"/>
    </row>
    <row r="190">
      <c r="E190" s="5"/>
      <c r="F190" s="5"/>
      <c r="G190" s="5"/>
      <c r="H190" s="5"/>
      <c r="I190" s="5"/>
      <c r="J190" s="5"/>
      <c r="K190" s="5"/>
      <c r="L190" s="5"/>
    </row>
    <row r="191">
      <c r="E191" s="5"/>
      <c r="F191" s="5"/>
      <c r="G191" s="5"/>
      <c r="H191" s="5"/>
      <c r="I191" s="5"/>
      <c r="J191" s="5"/>
      <c r="K191" s="5"/>
      <c r="L191" s="5"/>
    </row>
    <row r="192">
      <c r="E192" s="5"/>
      <c r="F192" s="5"/>
      <c r="G192" s="5"/>
      <c r="H192" s="5"/>
      <c r="I192" s="5"/>
      <c r="J192" s="5"/>
      <c r="K192" s="5"/>
      <c r="L192" s="5"/>
    </row>
    <row r="193">
      <c r="E193" s="5"/>
      <c r="F193" s="5"/>
      <c r="G193" s="5"/>
      <c r="H193" s="5"/>
      <c r="I193" s="5"/>
      <c r="J193" s="5"/>
      <c r="K193" s="5"/>
      <c r="L193" s="5"/>
    </row>
    <row r="194">
      <c r="E194" s="5"/>
      <c r="F194" s="5"/>
      <c r="G194" s="5"/>
      <c r="H194" s="5"/>
      <c r="I194" s="5"/>
      <c r="J194" s="5"/>
      <c r="K194" s="5"/>
      <c r="L194" s="5"/>
    </row>
    <row r="195">
      <c r="E195" s="5"/>
      <c r="F195" s="5"/>
      <c r="G195" s="5"/>
      <c r="H195" s="5"/>
      <c r="I195" s="5"/>
      <c r="J195" s="5"/>
      <c r="K195" s="5"/>
      <c r="L195" s="5"/>
    </row>
    <row r="196">
      <c r="E196" s="5"/>
      <c r="F196" s="5"/>
      <c r="G196" s="5"/>
      <c r="H196" s="5"/>
      <c r="I196" s="5"/>
      <c r="J196" s="5"/>
      <c r="K196" s="5"/>
      <c r="L196" s="5"/>
    </row>
    <row r="197">
      <c r="E197" s="5"/>
      <c r="F197" s="5"/>
      <c r="G197" s="5"/>
      <c r="H197" s="5"/>
      <c r="I197" s="5"/>
      <c r="J197" s="5"/>
      <c r="K197" s="5"/>
      <c r="L197" s="5"/>
    </row>
    <row r="198">
      <c r="E198" s="5"/>
      <c r="F198" s="5"/>
      <c r="G198" s="5"/>
      <c r="H198" s="5"/>
      <c r="I198" s="5"/>
      <c r="J198" s="5"/>
      <c r="K198" s="5"/>
      <c r="L198" s="5"/>
    </row>
    <row r="199">
      <c r="E199" s="5"/>
      <c r="F199" s="5"/>
      <c r="G199" s="5"/>
      <c r="H199" s="5"/>
      <c r="I199" s="5"/>
      <c r="J199" s="5"/>
      <c r="K199" s="5"/>
      <c r="L199" s="5"/>
    </row>
    <row r="200">
      <c r="E200" s="5"/>
      <c r="F200" s="5"/>
      <c r="G200" s="5"/>
      <c r="H200" s="5"/>
      <c r="I200" s="5"/>
      <c r="J200" s="5"/>
      <c r="K200" s="5"/>
      <c r="L200" s="5"/>
    </row>
    <row r="201">
      <c r="E201" s="5"/>
      <c r="F201" s="5"/>
      <c r="G201" s="5"/>
      <c r="H201" s="5"/>
      <c r="I201" s="5"/>
      <c r="J201" s="5"/>
      <c r="K201" s="5"/>
      <c r="L201" s="5"/>
    </row>
    <row r="202">
      <c r="E202" s="5"/>
      <c r="F202" s="5"/>
      <c r="G202" s="5"/>
      <c r="H202" s="5"/>
      <c r="I202" s="5"/>
      <c r="J202" s="5"/>
      <c r="K202" s="5"/>
      <c r="L202" s="5"/>
    </row>
    <row r="203">
      <c r="E203" s="5"/>
      <c r="F203" s="5"/>
      <c r="G203" s="5"/>
      <c r="H203" s="5"/>
      <c r="I203" s="5"/>
      <c r="J203" s="5"/>
      <c r="K203" s="5"/>
      <c r="L203" s="5"/>
    </row>
    <row r="204">
      <c r="E204" s="5"/>
      <c r="F204" s="5"/>
      <c r="G204" s="5"/>
      <c r="H204" s="5"/>
      <c r="I204" s="5"/>
      <c r="J204" s="5"/>
      <c r="K204" s="5"/>
      <c r="L204" s="5"/>
    </row>
    <row r="205">
      <c r="E205" s="5"/>
      <c r="F205" s="5"/>
      <c r="G205" s="5"/>
      <c r="H205" s="5"/>
      <c r="I205" s="5"/>
      <c r="J205" s="5"/>
      <c r="K205" s="5"/>
      <c r="L205" s="5"/>
    </row>
    <row r="206">
      <c r="E206" s="5"/>
      <c r="F206" s="5"/>
      <c r="G206" s="5"/>
      <c r="H206" s="5"/>
      <c r="I206" s="5"/>
      <c r="J206" s="5"/>
      <c r="K206" s="5"/>
      <c r="L206" s="5"/>
    </row>
    <row r="207">
      <c r="E207" s="5"/>
      <c r="F207" s="5"/>
      <c r="G207" s="5"/>
      <c r="H207" s="5"/>
      <c r="I207" s="5"/>
      <c r="J207" s="5"/>
      <c r="K207" s="5"/>
      <c r="L207" s="5"/>
    </row>
    <row r="208">
      <c r="E208" s="5"/>
      <c r="F208" s="5"/>
      <c r="G208" s="5"/>
      <c r="H208" s="5"/>
      <c r="I208" s="5"/>
      <c r="J208" s="5"/>
      <c r="K208" s="5"/>
      <c r="L208" s="5"/>
    </row>
    <row r="209">
      <c r="E209" s="5"/>
      <c r="F209" s="5"/>
      <c r="G209" s="5"/>
      <c r="H209" s="5"/>
      <c r="I209" s="5"/>
      <c r="J209" s="5"/>
      <c r="K209" s="5"/>
      <c r="L209" s="5"/>
    </row>
    <row r="210">
      <c r="E210" s="5"/>
      <c r="F210" s="5"/>
      <c r="G210" s="5"/>
      <c r="H210" s="5"/>
      <c r="I210" s="5"/>
      <c r="J210" s="5"/>
      <c r="K210" s="5"/>
      <c r="L210" s="5"/>
    </row>
    <row r="211">
      <c r="E211" s="5"/>
      <c r="F211" s="5"/>
      <c r="G211" s="5"/>
      <c r="H211" s="5"/>
      <c r="I211" s="5"/>
      <c r="J211" s="5"/>
      <c r="K211" s="5"/>
      <c r="L211" s="5"/>
    </row>
    <row r="212">
      <c r="E212" s="5"/>
      <c r="F212" s="5"/>
      <c r="G212" s="5"/>
      <c r="H212" s="5"/>
      <c r="I212" s="5"/>
      <c r="J212" s="5"/>
      <c r="K212" s="5"/>
      <c r="L212" s="5"/>
    </row>
    <row r="213">
      <c r="E213" s="5"/>
      <c r="F213" s="5"/>
      <c r="G213" s="5"/>
      <c r="H213" s="5"/>
      <c r="I213" s="5"/>
      <c r="J213" s="5"/>
      <c r="K213" s="5"/>
      <c r="L213" s="5"/>
    </row>
    <row r="214">
      <c r="E214" s="5"/>
      <c r="F214" s="5"/>
      <c r="G214" s="5"/>
      <c r="H214" s="5"/>
      <c r="I214" s="5"/>
      <c r="J214" s="5"/>
      <c r="K214" s="5"/>
      <c r="L214" s="5"/>
    </row>
    <row r="215">
      <c r="E215" s="5"/>
      <c r="F215" s="5"/>
      <c r="G215" s="5"/>
      <c r="H215" s="5"/>
      <c r="I215" s="5"/>
      <c r="J215" s="5"/>
      <c r="K215" s="5"/>
      <c r="L215" s="5"/>
    </row>
    <row r="216">
      <c r="E216" s="5"/>
      <c r="F216" s="5"/>
      <c r="G216" s="5"/>
      <c r="H216" s="5"/>
      <c r="I216" s="5"/>
      <c r="J216" s="5"/>
      <c r="K216" s="5"/>
      <c r="L216" s="5"/>
    </row>
    <row r="217">
      <c r="E217" s="5"/>
      <c r="F217" s="5"/>
      <c r="G217" s="5"/>
      <c r="H217" s="5"/>
      <c r="I217" s="5"/>
      <c r="J217" s="5"/>
      <c r="K217" s="5"/>
      <c r="L217" s="5"/>
    </row>
    <row r="218">
      <c r="E218" s="5"/>
      <c r="F218" s="5"/>
      <c r="G218" s="5"/>
      <c r="H218" s="5"/>
      <c r="I218" s="5"/>
      <c r="J218" s="5"/>
      <c r="K218" s="5"/>
      <c r="L218" s="5"/>
    </row>
    <row r="219">
      <c r="E219" s="5"/>
      <c r="F219" s="5"/>
      <c r="G219" s="5"/>
      <c r="H219" s="5"/>
      <c r="I219" s="5"/>
      <c r="J219" s="5"/>
      <c r="K219" s="5"/>
      <c r="L219" s="5"/>
    </row>
    <row r="220">
      <c r="E220" s="5"/>
      <c r="F220" s="5"/>
      <c r="G220" s="5"/>
      <c r="H220" s="5"/>
      <c r="I220" s="5"/>
      <c r="J220" s="5"/>
      <c r="K220" s="5"/>
      <c r="L220" s="5"/>
    </row>
    <row r="221">
      <c r="E221" s="5"/>
      <c r="F221" s="5"/>
      <c r="G221" s="5"/>
      <c r="H221" s="5"/>
      <c r="I221" s="5"/>
      <c r="J221" s="5"/>
      <c r="K221" s="5"/>
      <c r="L221" s="5"/>
    </row>
    <row r="222">
      <c r="E222" s="5"/>
      <c r="F222" s="5"/>
      <c r="G222" s="5"/>
      <c r="H222" s="5"/>
      <c r="I222" s="5"/>
      <c r="J222" s="5"/>
      <c r="K222" s="5"/>
      <c r="L222" s="5"/>
    </row>
    <row r="223">
      <c r="E223" s="5"/>
      <c r="F223" s="5"/>
      <c r="G223" s="5"/>
      <c r="H223" s="5"/>
      <c r="I223" s="5"/>
      <c r="J223" s="5"/>
      <c r="K223" s="5"/>
      <c r="L223" s="5"/>
    </row>
    <row r="224">
      <c r="E224" s="5"/>
      <c r="F224" s="5"/>
      <c r="G224" s="5"/>
      <c r="H224" s="5"/>
      <c r="I224" s="5"/>
      <c r="J224" s="5"/>
      <c r="K224" s="5"/>
      <c r="L224" s="5"/>
    </row>
    <row r="225">
      <c r="E225" s="5"/>
      <c r="F225" s="5"/>
      <c r="G225" s="5"/>
      <c r="H225" s="5"/>
      <c r="I225" s="5"/>
      <c r="J225" s="5"/>
      <c r="K225" s="5"/>
      <c r="L225" s="5"/>
    </row>
    <row r="226">
      <c r="E226" s="5"/>
      <c r="F226" s="5"/>
      <c r="G226" s="5"/>
      <c r="H226" s="5"/>
      <c r="I226" s="5"/>
      <c r="J226" s="5"/>
      <c r="K226" s="5"/>
      <c r="L226" s="5"/>
    </row>
    <row r="227">
      <c r="E227" s="5"/>
      <c r="F227" s="5"/>
      <c r="G227" s="5"/>
      <c r="H227" s="5"/>
      <c r="I227" s="5"/>
      <c r="J227" s="5"/>
      <c r="K227" s="5"/>
      <c r="L227" s="5"/>
    </row>
    <row r="228">
      <c r="E228" s="5"/>
      <c r="F228" s="5"/>
      <c r="G228" s="5"/>
      <c r="H228" s="5"/>
      <c r="I228" s="5"/>
      <c r="J228" s="5"/>
      <c r="K228" s="5"/>
      <c r="L228" s="5"/>
    </row>
    <row r="229">
      <c r="E229" s="5"/>
      <c r="F229" s="5"/>
      <c r="G229" s="5"/>
      <c r="H229" s="5"/>
      <c r="I229" s="5"/>
      <c r="J229" s="5"/>
      <c r="K229" s="5"/>
      <c r="L229" s="5"/>
    </row>
    <row r="230">
      <c r="E230" s="5"/>
      <c r="F230" s="5"/>
      <c r="G230" s="5"/>
      <c r="H230" s="5"/>
      <c r="I230" s="5"/>
      <c r="J230" s="5"/>
      <c r="K230" s="5"/>
      <c r="L230" s="5"/>
    </row>
    <row r="231">
      <c r="E231" s="5"/>
      <c r="F231" s="5"/>
      <c r="G231" s="5"/>
      <c r="H231" s="5"/>
      <c r="I231" s="5"/>
      <c r="J231" s="5"/>
      <c r="K231" s="5"/>
      <c r="L231" s="5"/>
    </row>
    <row r="232">
      <c r="E232" s="5"/>
      <c r="F232" s="5"/>
      <c r="G232" s="5"/>
      <c r="H232" s="5"/>
      <c r="I232" s="5"/>
      <c r="J232" s="5"/>
      <c r="K232" s="5"/>
      <c r="L232" s="5"/>
    </row>
    <row r="233">
      <c r="E233" s="5"/>
      <c r="F233" s="5"/>
      <c r="G233" s="5"/>
      <c r="H233" s="5"/>
      <c r="I233" s="5"/>
      <c r="J233" s="5"/>
      <c r="K233" s="5"/>
      <c r="L233" s="5"/>
    </row>
    <row r="234">
      <c r="E234" s="5"/>
      <c r="F234" s="5"/>
      <c r="G234" s="5"/>
      <c r="H234" s="5"/>
      <c r="I234" s="5"/>
      <c r="J234" s="5"/>
      <c r="K234" s="5"/>
      <c r="L234" s="5"/>
    </row>
    <row r="235">
      <c r="E235" s="5"/>
      <c r="F235" s="5"/>
      <c r="G235" s="5"/>
      <c r="H235" s="5"/>
      <c r="I235" s="5"/>
      <c r="J235" s="5"/>
      <c r="K235" s="5"/>
      <c r="L235" s="5"/>
    </row>
    <row r="236">
      <c r="E236" s="5"/>
      <c r="F236" s="5"/>
      <c r="G236" s="5"/>
      <c r="H236" s="5"/>
      <c r="I236" s="5"/>
      <c r="J236" s="5"/>
      <c r="K236" s="5"/>
      <c r="L236" s="5"/>
    </row>
    <row r="237">
      <c r="E237" s="5"/>
      <c r="F237" s="5"/>
      <c r="G237" s="5"/>
      <c r="H237" s="5"/>
      <c r="I237" s="5"/>
      <c r="J237" s="5"/>
      <c r="K237" s="5"/>
      <c r="L237" s="5"/>
    </row>
    <row r="238">
      <c r="E238" s="5"/>
      <c r="F238" s="5"/>
      <c r="G238" s="5"/>
      <c r="H238" s="5"/>
      <c r="I238" s="5"/>
      <c r="J238" s="5"/>
      <c r="K238" s="5"/>
      <c r="L238" s="5"/>
    </row>
    <row r="239">
      <c r="E239" s="5"/>
      <c r="F239" s="5"/>
      <c r="G239" s="5"/>
      <c r="H239" s="5"/>
      <c r="I239" s="5"/>
      <c r="J239" s="5"/>
      <c r="K239" s="5"/>
      <c r="L239" s="5"/>
    </row>
    <row r="240">
      <c r="E240" s="5"/>
      <c r="F240" s="5"/>
      <c r="G240" s="5"/>
      <c r="H240" s="5"/>
      <c r="I240" s="5"/>
      <c r="J240" s="5"/>
      <c r="K240" s="5"/>
      <c r="L240" s="5"/>
    </row>
    <row r="241">
      <c r="E241" s="5"/>
      <c r="F241" s="5"/>
      <c r="G241" s="5"/>
      <c r="H241" s="5"/>
      <c r="I241" s="5"/>
      <c r="J241" s="5"/>
      <c r="K241" s="5"/>
      <c r="L241" s="5"/>
    </row>
    <row r="242">
      <c r="E242" s="5"/>
      <c r="F242" s="5"/>
      <c r="G242" s="5"/>
      <c r="H242" s="5"/>
      <c r="I242" s="5"/>
      <c r="J242" s="5"/>
      <c r="K242" s="5"/>
      <c r="L242" s="5"/>
    </row>
    <row r="243">
      <c r="E243" s="5"/>
      <c r="F243" s="5"/>
      <c r="G243" s="5"/>
      <c r="H243" s="5"/>
      <c r="I243" s="5"/>
      <c r="J243" s="5"/>
      <c r="K243" s="5"/>
      <c r="L243" s="5"/>
    </row>
    <row r="244">
      <c r="E244" s="5"/>
      <c r="F244" s="5"/>
      <c r="G244" s="5"/>
      <c r="H244" s="5"/>
      <c r="I244" s="5"/>
      <c r="J244" s="5"/>
      <c r="K244" s="5"/>
      <c r="L244" s="5"/>
    </row>
    <row r="245">
      <c r="E245" s="5"/>
      <c r="F245" s="5"/>
      <c r="G245" s="5"/>
      <c r="H245" s="5"/>
      <c r="I245" s="5"/>
      <c r="J245" s="5"/>
      <c r="K245" s="5"/>
      <c r="L245" s="5"/>
    </row>
    <row r="246">
      <c r="E246" s="5"/>
      <c r="F246" s="5"/>
      <c r="G246" s="5"/>
      <c r="H246" s="5"/>
      <c r="I246" s="5"/>
      <c r="J246" s="5"/>
      <c r="K246" s="5"/>
      <c r="L246" s="5"/>
    </row>
    <row r="247">
      <c r="E247" s="5"/>
      <c r="F247" s="5"/>
      <c r="G247" s="5"/>
      <c r="H247" s="5"/>
      <c r="I247" s="5"/>
      <c r="J247" s="5"/>
      <c r="K247" s="5"/>
      <c r="L247" s="5"/>
    </row>
    <row r="248">
      <c r="E248" s="5"/>
      <c r="F248" s="5"/>
      <c r="G248" s="5"/>
      <c r="H248" s="5"/>
      <c r="I248" s="5"/>
      <c r="J248" s="5"/>
      <c r="K248" s="5"/>
      <c r="L248" s="5"/>
    </row>
    <row r="249">
      <c r="E249" s="5"/>
      <c r="F249" s="5"/>
      <c r="G249" s="5"/>
      <c r="H249" s="5"/>
      <c r="I249" s="5"/>
      <c r="J249" s="5"/>
      <c r="K249" s="5"/>
      <c r="L249" s="5"/>
    </row>
    <row r="250">
      <c r="E250" s="5"/>
      <c r="F250" s="5"/>
      <c r="G250" s="5"/>
      <c r="H250" s="5"/>
      <c r="I250" s="5"/>
      <c r="J250" s="5"/>
      <c r="K250" s="5"/>
      <c r="L250" s="5"/>
    </row>
    <row r="251">
      <c r="E251" s="5"/>
      <c r="F251" s="5"/>
      <c r="G251" s="5"/>
      <c r="H251" s="5"/>
      <c r="I251" s="5"/>
      <c r="J251" s="5"/>
      <c r="K251" s="5"/>
      <c r="L251" s="5"/>
    </row>
    <row r="252">
      <c r="E252" s="5"/>
      <c r="F252" s="5"/>
      <c r="G252" s="5"/>
      <c r="H252" s="5"/>
      <c r="I252" s="5"/>
      <c r="J252" s="5"/>
      <c r="K252" s="5"/>
      <c r="L252" s="5"/>
    </row>
    <row r="253">
      <c r="E253" s="5"/>
      <c r="F253" s="5"/>
      <c r="G253" s="5"/>
      <c r="H253" s="5"/>
      <c r="I253" s="5"/>
      <c r="J253" s="5"/>
      <c r="K253" s="5"/>
      <c r="L253" s="5"/>
    </row>
    <row r="254">
      <c r="E254" s="5"/>
      <c r="F254" s="5"/>
      <c r="G254" s="5"/>
      <c r="H254" s="5"/>
      <c r="I254" s="5"/>
      <c r="J254" s="5"/>
      <c r="K254" s="5"/>
      <c r="L254" s="5"/>
    </row>
    <row r="255">
      <c r="E255" s="5"/>
      <c r="F255" s="5"/>
      <c r="G255" s="5"/>
      <c r="H255" s="5"/>
      <c r="I255" s="5"/>
      <c r="J255" s="5"/>
      <c r="K255" s="5"/>
      <c r="L255" s="5"/>
    </row>
    <row r="256">
      <c r="E256" s="5"/>
      <c r="F256" s="5"/>
      <c r="G256" s="5"/>
      <c r="H256" s="5"/>
      <c r="I256" s="5"/>
      <c r="J256" s="5"/>
      <c r="K256" s="5"/>
      <c r="L256" s="5"/>
    </row>
    <row r="257">
      <c r="E257" s="5"/>
      <c r="F257" s="5"/>
      <c r="G257" s="5"/>
      <c r="H257" s="5"/>
      <c r="I257" s="5"/>
      <c r="J257" s="5"/>
      <c r="K257" s="5"/>
      <c r="L257" s="5"/>
    </row>
    <row r="258">
      <c r="E258" s="5"/>
      <c r="F258" s="5"/>
      <c r="G258" s="5"/>
      <c r="H258" s="5"/>
      <c r="I258" s="5"/>
      <c r="J258" s="5"/>
      <c r="K258" s="5"/>
      <c r="L258" s="5"/>
    </row>
    <row r="259">
      <c r="E259" s="5"/>
      <c r="F259" s="5"/>
      <c r="G259" s="5"/>
      <c r="H259" s="5"/>
      <c r="I259" s="5"/>
      <c r="J259" s="5"/>
      <c r="K259" s="5"/>
      <c r="L259" s="5"/>
    </row>
    <row r="260">
      <c r="E260" s="5"/>
      <c r="F260" s="5"/>
      <c r="G260" s="5"/>
      <c r="H260" s="5"/>
      <c r="I260" s="5"/>
      <c r="J260" s="5"/>
      <c r="K260" s="5"/>
      <c r="L260" s="5"/>
    </row>
    <row r="261">
      <c r="E261" s="5"/>
      <c r="F261" s="5"/>
      <c r="G261" s="5"/>
      <c r="H261" s="5"/>
      <c r="I261" s="5"/>
      <c r="J261" s="5"/>
      <c r="K261" s="5"/>
      <c r="L261" s="5"/>
    </row>
    <row r="262">
      <c r="E262" s="5"/>
      <c r="F262" s="5"/>
      <c r="G262" s="5"/>
      <c r="H262" s="5"/>
      <c r="I262" s="5"/>
      <c r="J262" s="5"/>
      <c r="K262" s="5"/>
      <c r="L262" s="5"/>
    </row>
    <row r="263">
      <c r="E263" s="5"/>
      <c r="F263" s="5"/>
      <c r="G263" s="5"/>
      <c r="H263" s="5"/>
      <c r="I263" s="5"/>
      <c r="J263" s="5"/>
      <c r="K263" s="5"/>
      <c r="L263" s="5"/>
    </row>
    <row r="264">
      <c r="E264" s="5"/>
      <c r="F264" s="5"/>
      <c r="G264" s="5"/>
      <c r="H264" s="5"/>
      <c r="I264" s="5"/>
      <c r="J264" s="5"/>
      <c r="K264" s="5"/>
      <c r="L264" s="5"/>
    </row>
    <row r="265">
      <c r="E265" s="5"/>
      <c r="F265" s="5"/>
      <c r="G265" s="5"/>
      <c r="H265" s="5"/>
      <c r="I265" s="5"/>
      <c r="J265" s="5"/>
      <c r="K265" s="5"/>
      <c r="L265" s="5"/>
    </row>
    <row r="266">
      <c r="E266" s="5"/>
      <c r="F266" s="5"/>
      <c r="G266" s="5"/>
      <c r="H266" s="5"/>
      <c r="I266" s="5"/>
      <c r="J266" s="5"/>
      <c r="K266" s="5"/>
      <c r="L266" s="5"/>
    </row>
    <row r="267">
      <c r="E267" s="5"/>
      <c r="F267" s="5"/>
      <c r="G267" s="5"/>
      <c r="H267" s="5"/>
      <c r="I267" s="5"/>
      <c r="J267" s="5"/>
      <c r="K267" s="5"/>
      <c r="L267" s="5"/>
    </row>
    <row r="268">
      <c r="E268" s="5"/>
      <c r="F268" s="5"/>
      <c r="G268" s="5"/>
      <c r="H268" s="5"/>
      <c r="I268" s="5"/>
      <c r="J268" s="5"/>
      <c r="K268" s="5"/>
      <c r="L268" s="5"/>
    </row>
    <row r="269">
      <c r="E269" s="5"/>
      <c r="F269" s="5"/>
      <c r="G269" s="5"/>
      <c r="H269" s="5"/>
      <c r="I269" s="5"/>
      <c r="J269" s="5"/>
      <c r="K269" s="5"/>
      <c r="L269" s="5"/>
    </row>
    <row r="270">
      <c r="E270" s="5"/>
      <c r="F270" s="5"/>
      <c r="G270" s="5"/>
      <c r="H270" s="5"/>
      <c r="I270" s="5"/>
      <c r="J270" s="5"/>
      <c r="K270" s="5"/>
      <c r="L270" s="5"/>
    </row>
    <row r="271">
      <c r="E271" s="5"/>
      <c r="F271" s="5"/>
      <c r="G271" s="5"/>
      <c r="H271" s="5"/>
      <c r="I271" s="5"/>
      <c r="J271" s="5"/>
      <c r="K271" s="5"/>
      <c r="L271" s="5"/>
    </row>
    <row r="272">
      <c r="E272" s="5"/>
      <c r="F272" s="5"/>
      <c r="G272" s="5"/>
      <c r="H272" s="5"/>
      <c r="I272" s="5"/>
      <c r="J272" s="5"/>
      <c r="K272" s="5"/>
      <c r="L272" s="5"/>
    </row>
    <row r="273">
      <c r="E273" s="5"/>
      <c r="F273" s="5"/>
      <c r="G273" s="5"/>
      <c r="H273" s="5"/>
      <c r="I273" s="5"/>
      <c r="J273" s="5"/>
      <c r="K273" s="5"/>
      <c r="L273" s="5"/>
    </row>
    <row r="274">
      <c r="E274" s="5"/>
      <c r="F274" s="5"/>
      <c r="G274" s="5"/>
      <c r="H274" s="5"/>
      <c r="I274" s="5"/>
      <c r="J274" s="5"/>
      <c r="K274" s="5"/>
      <c r="L274" s="5"/>
    </row>
    <row r="275">
      <c r="E275" s="5"/>
      <c r="F275" s="5"/>
      <c r="G275" s="5"/>
      <c r="H275" s="5"/>
      <c r="I275" s="5"/>
      <c r="J275" s="5"/>
      <c r="K275" s="5"/>
      <c r="L275" s="5"/>
    </row>
    <row r="276">
      <c r="E276" s="5"/>
      <c r="F276" s="5"/>
      <c r="G276" s="5"/>
      <c r="H276" s="5"/>
      <c r="I276" s="5"/>
      <c r="J276" s="5"/>
      <c r="K276" s="5"/>
      <c r="L276" s="5"/>
    </row>
    <row r="277">
      <c r="E277" s="5"/>
      <c r="F277" s="5"/>
      <c r="G277" s="5"/>
      <c r="H277" s="5"/>
      <c r="I277" s="5"/>
      <c r="J277" s="5"/>
      <c r="K277" s="5"/>
      <c r="L277" s="5"/>
    </row>
    <row r="278">
      <c r="E278" s="5"/>
      <c r="F278" s="5"/>
      <c r="G278" s="5"/>
      <c r="H278" s="5"/>
      <c r="I278" s="5"/>
      <c r="J278" s="5"/>
      <c r="K278" s="5"/>
      <c r="L278" s="5"/>
    </row>
    <row r="279">
      <c r="E279" s="5"/>
      <c r="F279" s="5"/>
      <c r="G279" s="5"/>
      <c r="H279" s="5"/>
      <c r="I279" s="5"/>
      <c r="J279" s="5"/>
      <c r="K279" s="5"/>
      <c r="L279" s="5"/>
    </row>
    <row r="280">
      <c r="E280" s="5"/>
      <c r="F280" s="5"/>
      <c r="G280" s="5"/>
      <c r="H280" s="5"/>
      <c r="I280" s="5"/>
      <c r="J280" s="5"/>
      <c r="K280" s="5"/>
      <c r="L280" s="5"/>
    </row>
    <row r="281">
      <c r="E281" s="5"/>
      <c r="F281" s="5"/>
      <c r="G281" s="5"/>
      <c r="H281" s="5"/>
      <c r="I281" s="5"/>
      <c r="J281" s="5"/>
      <c r="K281" s="5"/>
      <c r="L281" s="5"/>
    </row>
    <row r="282">
      <c r="E282" s="5"/>
      <c r="F282" s="5"/>
      <c r="G282" s="5"/>
      <c r="H282" s="5"/>
      <c r="I282" s="5"/>
      <c r="J282" s="5"/>
      <c r="K282" s="5"/>
      <c r="L282" s="5"/>
    </row>
    <row r="283">
      <c r="E283" s="5"/>
      <c r="F283" s="5"/>
      <c r="G283" s="5"/>
      <c r="H283" s="5"/>
      <c r="I283" s="5"/>
      <c r="J283" s="5"/>
      <c r="K283" s="5"/>
      <c r="L283" s="5"/>
    </row>
    <row r="284">
      <c r="E284" s="5"/>
      <c r="F284" s="5"/>
      <c r="G284" s="5"/>
      <c r="H284" s="5"/>
      <c r="I284" s="5"/>
      <c r="J284" s="5"/>
      <c r="K284" s="5"/>
      <c r="L284" s="5"/>
    </row>
    <row r="285">
      <c r="E285" s="5"/>
      <c r="F285" s="5"/>
      <c r="G285" s="5"/>
      <c r="H285" s="5"/>
      <c r="I285" s="5"/>
      <c r="J285" s="5"/>
      <c r="K285" s="5"/>
      <c r="L285" s="5"/>
    </row>
    <row r="286">
      <c r="E286" s="5"/>
      <c r="F286" s="5"/>
      <c r="G286" s="5"/>
      <c r="H286" s="5"/>
      <c r="I286" s="5"/>
      <c r="J286" s="5"/>
      <c r="K286" s="5"/>
      <c r="L286" s="5"/>
    </row>
    <row r="287">
      <c r="E287" s="5"/>
      <c r="F287" s="5"/>
      <c r="G287" s="5"/>
      <c r="H287" s="5"/>
      <c r="I287" s="5"/>
      <c r="J287" s="5"/>
      <c r="K287" s="5"/>
      <c r="L287" s="5"/>
    </row>
    <row r="288">
      <c r="E288" s="5"/>
      <c r="F288" s="5"/>
      <c r="G288" s="5"/>
      <c r="H288" s="5"/>
      <c r="I288" s="5"/>
      <c r="J288" s="5"/>
      <c r="K288" s="5"/>
      <c r="L288" s="5"/>
    </row>
    <row r="289">
      <c r="E289" s="5"/>
      <c r="F289" s="5"/>
      <c r="G289" s="5"/>
      <c r="H289" s="5"/>
      <c r="I289" s="5"/>
      <c r="J289" s="5"/>
      <c r="K289" s="5"/>
      <c r="L289" s="5"/>
    </row>
    <row r="290">
      <c r="E290" s="5"/>
      <c r="F290" s="5"/>
      <c r="G290" s="5"/>
      <c r="H290" s="5"/>
      <c r="I290" s="5"/>
      <c r="J290" s="5"/>
      <c r="K290" s="5"/>
      <c r="L290" s="5"/>
    </row>
    <row r="291">
      <c r="E291" s="5"/>
      <c r="F291" s="5"/>
      <c r="G291" s="5"/>
      <c r="H291" s="5"/>
      <c r="I291" s="5"/>
      <c r="J291" s="5"/>
      <c r="K291" s="5"/>
      <c r="L291" s="5"/>
    </row>
    <row r="292">
      <c r="E292" s="5"/>
      <c r="F292" s="5"/>
      <c r="G292" s="5"/>
      <c r="H292" s="5"/>
      <c r="I292" s="5"/>
      <c r="J292" s="5"/>
      <c r="K292" s="5"/>
      <c r="L292" s="5"/>
    </row>
    <row r="293">
      <c r="E293" s="5"/>
      <c r="F293" s="5"/>
      <c r="G293" s="5"/>
      <c r="H293" s="5"/>
      <c r="I293" s="5"/>
      <c r="J293" s="5"/>
      <c r="K293" s="5"/>
      <c r="L293" s="5"/>
    </row>
    <row r="294">
      <c r="E294" s="5"/>
      <c r="F294" s="5"/>
      <c r="G294" s="5"/>
      <c r="H294" s="5"/>
      <c r="I294" s="5"/>
      <c r="J294" s="5"/>
      <c r="K294" s="5"/>
      <c r="L294" s="5"/>
    </row>
    <row r="295">
      <c r="E295" s="5"/>
      <c r="F295" s="5"/>
      <c r="G295" s="5"/>
      <c r="H295" s="5"/>
      <c r="I295" s="5"/>
      <c r="J295" s="5"/>
      <c r="K295" s="5"/>
      <c r="L295" s="5"/>
    </row>
    <row r="296">
      <c r="E296" s="5"/>
      <c r="F296" s="5"/>
      <c r="G296" s="5"/>
      <c r="H296" s="5"/>
      <c r="I296" s="5"/>
      <c r="J296" s="5"/>
      <c r="K296" s="5"/>
      <c r="L296" s="5"/>
    </row>
    <row r="297">
      <c r="E297" s="5"/>
      <c r="F297" s="5"/>
      <c r="G297" s="5"/>
      <c r="H297" s="5"/>
      <c r="I297" s="5"/>
      <c r="J297" s="5"/>
      <c r="K297" s="5"/>
      <c r="L297" s="5"/>
    </row>
    <row r="298">
      <c r="E298" s="5"/>
      <c r="F298" s="5"/>
      <c r="G298" s="5"/>
      <c r="H298" s="5"/>
      <c r="I298" s="5"/>
      <c r="J298" s="5"/>
      <c r="K298" s="5"/>
      <c r="L298" s="5"/>
    </row>
    <row r="299">
      <c r="E299" s="5"/>
      <c r="F299" s="5"/>
      <c r="G299" s="5"/>
      <c r="H299" s="5"/>
      <c r="I299" s="5"/>
      <c r="J299" s="5"/>
      <c r="K299" s="5"/>
      <c r="L299" s="5"/>
    </row>
    <row r="300">
      <c r="E300" s="5"/>
      <c r="F300" s="5"/>
      <c r="G300" s="5"/>
      <c r="H300" s="5"/>
      <c r="I300" s="5"/>
      <c r="J300" s="5"/>
      <c r="K300" s="5"/>
      <c r="L300" s="5"/>
    </row>
    <row r="301">
      <c r="E301" s="5"/>
      <c r="F301" s="5"/>
      <c r="G301" s="5"/>
      <c r="H301" s="5"/>
      <c r="I301" s="5"/>
      <c r="J301" s="5"/>
      <c r="K301" s="5"/>
      <c r="L301" s="5"/>
    </row>
    <row r="302">
      <c r="E302" s="5"/>
      <c r="F302" s="5"/>
      <c r="G302" s="5"/>
      <c r="H302" s="5"/>
      <c r="I302" s="5"/>
      <c r="J302" s="5"/>
      <c r="K302" s="5"/>
      <c r="L302" s="5"/>
    </row>
    <row r="303">
      <c r="E303" s="5"/>
      <c r="F303" s="5"/>
      <c r="G303" s="5"/>
      <c r="H303" s="5"/>
      <c r="I303" s="5"/>
      <c r="J303" s="5"/>
      <c r="K303" s="5"/>
      <c r="L303" s="5"/>
    </row>
    <row r="304">
      <c r="E304" s="5"/>
      <c r="F304" s="5"/>
      <c r="G304" s="5"/>
      <c r="H304" s="5"/>
      <c r="I304" s="5"/>
      <c r="J304" s="5"/>
      <c r="K304" s="5"/>
      <c r="L304" s="5"/>
    </row>
    <row r="305">
      <c r="E305" s="5"/>
      <c r="F305" s="5"/>
      <c r="G305" s="5"/>
      <c r="H305" s="5"/>
      <c r="I305" s="5"/>
      <c r="J305" s="5"/>
      <c r="K305" s="5"/>
      <c r="L305" s="5"/>
    </row>
    <row r="306">
      <c r="E306" s="5"/>
      <c r="F306" s="5"/>
      <c r="G306" s="5"/>
      <c r="H306" s="5"/>
      <c r="I306" s="5"/>
      <c r="J306" s="5"/>
      <c r="K306" s="5"/>
      <c r="L306" s="5"/>
    </row>
    <row r="307">
      <c r="E307" s="5"/>
      <c r="F307" s="5"/>
      <c r="G307" s="5"/>
      <c r="H307" s="5"/>
      <c r="I307" s="5"/>
      <c r="J307" s="5"/>
      <c r="K307" s="5"/>
      <c r="L307" s="5"/>
    </row>
    <row r="308">
      <c r="E308" s="5"/>
      <c r="F308" s="5"/>
      <c r="G308" s="5"/>
      <c r="H308" s="5"/>
      <c r="I308" s="5"/>
      <c r="J308" s="5"/>
      <c r="K308" s="5"/>
      <c r="L308" s="5"/>
    </row>
    <row r="309">
      <c r="E309" s="5"/>
      <c r="F309" s="5"/>
      <c r="G309" s="5"/>
      <c r="H309" s="5"/>
      <c r="I309" s="5"/>
      <c r="J309" s="5"/>
      <c r="K309" s="5"/>
      <c r="L309" s="5"/>
    </row>
    <row r="310">
      <c r="E310" s="5"/>
      <c r="F310" s="5"/>
      <c r="G310" s="5"/>
      <c r="H310" s="5"/>
      <c r="I310" s="5"/>
      <c r="J310" s="5"/>
      <c r="K310" s="5"/>
      <c r="L310" s="5"/>
    </row>
    <row r="311">
      <c r="E311" s="5"/>
      <c r="F311" s="5"/>
      <c r="G311" s="5"/>
      <c r="H311" s="5"/>
      <c r="I311" s="5"/>
      <c r="J311" s="5"/>
      <c r="K311" s="5"/>
      <c r="L311" s="5"/>
    </row>
    <row r="312">
      <c r="E312" s="5"/>
      <c r="F312" s="5"/>
      <c r="G312" s="5"/>
      <c r="H312" s="5"/>
      <c r="I312" s="5"/>
      <c r="J312" s="5"/>
      <c r="K312" s="5"/>
      <c r="L312" s="5"/>
    </row>
    <row r="313">
      <c r="E313" s="5"/>
      <c r="F313" s="5"/>
      <c r="G313" s="5"/>
      <c r="H313" s="5"/>
      <c r="I313" s="5"/>
      <c r="J313" s="5"/>
      <c r="K313" s="5"/>
      <c r="L313" s="5"/>
    </row>
    <row r="314">
      <c r="E314" s="5"/>
      <c r="F314" s="5"/>
      <c r="G314" s="5"/>
      <c r="H314" s="5"/>
      <c r="I314" s="5"/>
      <c r="J314" s="5"/>
      <c r="K314" s="5"/>
      <c r="L314" s="5"/>
    </row>
    <row r="315">
      <c r="E315" s="5"/>
      <c r="F315" s="5"/>
      <c r="G315" s="5"/>
      <c r="H315" s="5"/>
      <c r="I315" s="5"/>
      <c r="J315" s="5"/>
      <c r="K315" s="5"/>
      <c r="L315" s="5"/>
    </row>
    <row r="316">
      <c r="E316" s="5"/>
      <c r="F316" s="5"/>
      <c r="G316" s="5"/>
      <c r="H316" s="5"/>
      <c r="I316" s="5"/>
      <c r="J316" s="5"/>
      <c r="K316" s="5"/>
      <c r="L316" s="5"/>
    </row>
    <row r="317">
      <c r="E317" s="5"/>
      <c r="F317" s="5"/>
      <c r="G317" s="5"/>
      <c r="H317" s="5"/>
      <c r="I317" s="5"/>
      <c r="J317" s="5"/>
      <c r="K317" s="5"/>
      <c r="L317" s="5"/>
    </row>
    <row r="318">
      <c r="E318" s="5"/>
      <c r="F318" s="5"/>
      <c r="G318" s="5"/>
      <c r="H318" s="5"/>
      <c r="I318" s="5"/>
      <c r="J318" s="5"/>
      <c r="K318" s="5"/>
      <c r="L318" s="5"/>
    </row>
    <row r="319">
      <c r="E319" s="5"/>
      <c r="F319" s="5"/>
      <c r="G319" s="5"/>
      <c r="H319" s="5"/>
      <c r="I319" s="5"/>
      <c r="J319" s="5"/>
      <c r="K319" s="5"/>
      <c r="L319" s="5"/>
    </row>
    <row r="320">
      <c r="E320" s="5"/>
      <c r="F320" s="5"/>
      <c r="G320" s="5"/>
      <c r="H320" s="5"/>
      <c r="I320" s="5"/>
      <c r="J320" s="5"/>
      <c r="K320" s="5"/>
      <c r="L320" s="5"/>
    </row>
    <row r="321">
      <c r="E321" s="5"/>
      <c r="F321" s="5"/>
      <c r="G321" s="5"/>
      <c r="H321" s="5"/>
      <c r="I321" s="5"/>
      <c r="J321" s="5"/>
      <c r="K321" s="5"/>
      <c r="L321" s="5"/>
    </row>
    <row r="322">
      <c r="E322" s="5"/>
      <c r="F322" s="5"/>
      <c r="G322" s="5"/>
      <c r="H322" s="5"/>
      <c r="I322" s="5"/>
      <c r="J322" s="5"/>
      <c r="K322" s="5"/>
      <c r="L322" s="5"/>
    </row>
    <row r="323">
      <c r="E323" s="5"/>
      <c r="F323" s="5"/>
      <c r="G323" s="5"/>
      <c r="H323" s="5"/>
      <c r="I323" s="5"/>
      <c r="J323" s="5"/>
      <c r="K323" s="5"/>
      <c r="L323" s="5"/>
    </row>
    <row r="324">
      <c r="E324" s="5"/>
      <c r="F324" s="5"/>
      <c r="G324" s="5"/>
      <c r="H324" s="5"/>
      <c r="I324" s="5"/>
      <c r="J324" s="5"/>
      <c r="K324" s="5"/>
      <c r="L324" s="5"/>
    </row>
    <row r="325">
      <c r="E325" s="5"/>
      <c r="F325" s="5"/>
      <c r="G325" s="5"/>
      <c r="H325" s="5"/>
      <c r="I325" s="5"/>
      <c r="J325" s="5"/>
      <c r="K325" s="5"/>
      <c r="L325" s="5"/>
    </row>
    <row r="326">
      <c r="E326" s="5"/>
      <c r="F326" s="5"/>
      <c r="G326" s="5"/>
      <c r="H326" s="5"/>
      <c r="I326" s="5"/>
      <c r="J326" s="5"/>
      <c r="K326" s="5"/>
      <c r="L326" s="5"/>
    </row>
    <row r="327">
      <c r="E327" s="5"/>
      <c r="F327" s="5"/>
      <c r="G327" s="5"/>
      <c r="H327" s="5"/>
      <c r="I327" s="5"/>
      <c r="J327" s="5"/>
      <c r="K327" s="5"/>
      <c r="L327" s="5"/>
    </row>
    <row r="328">
      <c r="E328" s="5"/>
      <c r="F328" s="5"/>
      <c r="G328" s="5"/>
      <c r="H328" s="5"/>
      <c r="I328" s="5"/>
      <c r="J328" s="5"/>
      <c r="K328" s="5"/>
      <c r="L328" s="5"/>
    </row>
    <row r="329">
      <c r="E329" s="5"/>
      <c r="F329" s="5"/>
      <c r="G329" s="5"/>
      <c r="H329" s="5"/>
      <c r="I329" s="5"/>
      <c r="J329" s="5"/>
      <c r="K329" s="5"/>
      <c r="L329" s="5"/>
    </row>
    <row r="330">
      <c r="E330" s="5"/>
      <c r="F330" s="5"/>
      <c r="G330" s="5"/>
      <c r="H330" s="5"/>
      <c r="I330" s="5"/>
      <c r="J330" s="5"/>
      <c r="K330" s="5"/>
      <c r="L330" s="5"/>
    </row>
    <row r="331">
      <c r="E331" s="5"/>
      <c r="F331" s="5"/>
      <c r="G331" s="5"/>
      <c r="H331" s="5"/>
      <c r="I331" s="5"/>
      <c r="J331" s="5"/>
      <c r="K331" s="5"/>
      <c r="L331" s="5"/>
    </row>
    <row r="332">
      <c r="E332" s="5"/>
      <c r="F332" s="5"/>
      <c r="G332" s="5"/>
      <c r="H332" s="5"/>
      <c r="I332" s="5"/>
      <c r="J332" s="5"/>
      <c r="K332" s="5"/>
      <c r="L332" s="5"/>
    </row>
    <row r="333">
      <c r="E333" s="5"/>
      <c r="F333" s="5"/>
      <c r="G333" s="5"/>
      <c r="H333" s="5"/>
      <c r="I333" s="5"/>
      <c r="J333" s="5"/>
      <c r="K333" s="5"/>
      <c r="L333" s="5"/>
    </row>
    <row r="334">
      <c r="E334" s="5"/>
      <c r="F334" s="5"/>
      <c r="G334" s="5"/>
      <c r="H334" s="5"/>
      <c r="I334" s="5"/>
      <c r="J334" s="5"/>
      <c r="K334" s="5"/>
      <c r="L334" s="5"/>
    </row>
    <row r="335">
      <c r="E335" s="5"/>
      <c r="F335" s="5"/>
      <c r="G335" s="5"/>
      <c r="H335" s="5"/>
      <c r="I335" s="5"/>
      <c r="J335" s="5"/>
      <c r="K335" s="5"/>
      <c r="L335" s="5"/>
    </row>
    <row r="336">
      <c r="E336" s="5"/>
      <c r="F336" s="5"/>
      <c r="G336" s="5"/>
      <c r="H336" s="5"/>
      <c r="I336" s="5"/>
      <c r="J336" s="5"/>
      <c r="K336" s="5"/>
      <c r="L336" s="5"/>
    </row>
    <row r="337">
      <c r="E337" s="5"/>
      <c r="F337" s="5"/>
      <c r="G337" s="5"/>
      <c r="H337" s="5"/>
      <c r="I337" s="5"/>
      <c r="J337" s="5"/>
      <c r="K337" s="5"/>
      <c r="L337" s="5"/>
    </row>
    <row r="338">
      <c r="E338" s="5"/>
      <c r="F338" s="5"/>
      <c r="G338" s="5"/>
      <c r="H338" s="5"/>
      <c r="I338" s="5"/>
      <c r="J338" s="5"/>
      <c r="K338" s="5"/>
      <c r="L338" s="5"/>
    </row>
    <row r="339">
      <c r="E339" s="5"/>
      <c r="F339" s="5"/>
      <c r="G339" s="5"/>
      <c r="H339" s="5"/>
      <c r="I339" s="5"/>
      <c r="J339" s="5"/>
      <c r="K339" s="5"/>
      <c r="L339" s="5"/>
    </row>
    <row r="340">
      <c r="E340" s="5"/>
      <c r="F340" s="5"/>
      <c r="G340" s="5"/>
      <c r="H340" s="5"/>
      <c r="I340" s="5"/>
      <c r="J340" s="5"/>
      <c r="K340" s="5"/>
      <c r="L340" s="5"/>
    </row>
    <row r="341">
      <c r="E341" s="5"/>
      <c r="F341" s="5"/>
      <c r="G341" s="5"/>
      <c r="H341" s="5"/>
      <c r="I341" s="5"/>
      <c r="J341" s="5"/>
      <c r="K341" s="5"/>
      <c r="L341" s="5"/>
    </row>
    <row r="342">
      <c r="E342" s="5"/>
      <c r="F342" s="5"/>
      <c r="G342" s="5"/>
      <c r="H342" s="5"/>
      <c r="I342" s="5"/>
      <c r="J342" s="5"/>
      <c r="K342" s="5"/>
      <c r="L342" s="5"/>
    </row>
    <row r="343">
      <c r="E343" s="5"/>
      <c r="F343" s="5"/>
      <c r="G343" s="5"/>
      <c r="H343" s="5"/>
      <c r="I343" s="5"/>
      <c r="J343" s="5"/>
      <c r="K343" s="5"/>
      <c r="L343" s="5"/>
    </row>
    <row r="344">
      <c r="E344" s="5"/>
      <c r="F344" s="5"/>
      <c r="G344" s="5"/>
      <c r="H344" s="5"/>
      <c r="I344" s="5"/>
      <c r="J344" s="5"/>
      <c r="K344" s="5"/>
      <c r="L344" s="5"/>
    </row>
    <row r="345">
      <c r="E345" s="5"/>
      <c r="F345" s="5"/>
      <c r="G345" s="5"/>
      <c r="H345" s="5"/>
      <c r="I345" s="5"/>
      <c r="J345" s="5"/>
      <c r="K345" s="5"/>
      <c r="L345" s="5"/>
    </row>
    <row r="346">
      <c r="E346" s="5"/>
      <c r="F346" s="5"/>
      <c r="G346" s="5"/>
      <c r="H346" s="5"/>
      <c r="I346" s="5"/>
      <c r="J346" s="5"/>
      <c r="K346" s="5"/>
      <c r="L346" s="5"/>
    </row>
    <row r="347">
      <c r="E347" s="5"/>
      <c r="F347" s="5"/>
      <c r="G347" s="5"/>
      <c r="H347" s="5"/>
      <c r="I347" s="5"/>
      <c r="J347" s="5"/>
      <c r="K347" s="5"/>
      <c r="L347" s="5"/>
    </row>
    <row r="348">
      <c r="E348" s="5"/>
      <c r="F348" s="5"/>
      <c r="G348" s="5"/>
      <c r="H348" s="5"/>
      <c r="I348" s="5"/>
      <c r="J348" s="5"/>
      <c r="K348" s="5"/>
      <c r="L348" s="5"/>
    </row>
    <row r="349">
      <c r="E349" s="5"/>
      <c r="F349" s="5"/>
      <c r="G349" s="5"/>
      <c r="H349" s="5"/>
      <c r="I349" s="5"/>
      <c r="J349" s="5"/>
      <c r="K349" s="5"/>
      <c r="L349" s="5"/>
    </row>
    <row r="350">
      <c r="E350" s="5"/>
      <c r="F350" s="5"/>
      <c r="G350" s="5"/>
      <c r="H350" s="5"/>
      <c r="I350" s="5"/>
      <c r="J350" s="5"/>
      <c r="K350" s="5"/>
      <c r="L350" s="5"/>
    </row>
    <row r="351">
      <c r="E351" s="5"/>
      <c r="F351" s="5"/>
      <c r="G351" s="5"/>
      <c r="H351" s="5"/>
      <c r="I351" s="5"/>
      <c r="J351" s="5"/>
      <c r="K351" s="5"/>
      <c r="L351" s="5"/>
    </row>
    <row r="352">
      <c r="E352" s="5"/>
      <c r="F352" s="5"/>
      <c r="G352" s="5"/>
      <c r="H352" s="5"/>
      <c r="I352" s="5"/>
      <c r="J352" s="5"/>
      <c r="K352" s="5"/>
      <c r="L352" s="5"/>
    </row>
    <row r="353">
      <c r="E353" s="5"/>
      <c r="F353" s="5"/>
      <c r="G353" s="5"/>
      <c r="H353" s="5"/>
      <c r="I353" s="5"/>
      <c r="J353" s="5"/>
      <c r="K353" s="5"/>
      <c r="L353" s="5"/>
    </row>
    <row r="354">
      <c r="E354" s="5"/>
      <c r="F354" s="5"/>
      <c r="G354" s="5"/>
      <c r="H354" s="5"/>
      <c r="I354" s="5"/>
      <c r="J354" s="5"/>
      <c r="K354" s="5"/>
      <c r="L354" s="5"/>
    </row>
    <row r="355">
      <c r="E355" s="5"/>
      <c r="F355" s="5"/>
      <c r="G355" s="5"/>
      <c r="H355" s="5"/>
      <c r="I355" s="5"/>
      <c r="J355" s="5"/>
      <c r="K355" s="5"/>
      <c r="L355" s="5"/>
    </row>
    <row r="356">
      <c r="E356" s="5"/>
      <c r="F356" s="5"/>
      <c r="G356" s="5"/>
      <c r="H356" s="5"/>
      <c r="I356" s="5"/>
      <c r="J356" s="5"/>
      <c r="K356" s="5"/>
      <c r="L356" s="5"/>
    </row>
    <row r="357">
      <c r="E357" s="5"/>
      <c r="F357" s="5"/>
      <c r="G357" s="5"/>
      <c r="H357" s="5"/>
      <c r="I357" s="5"/>
      <c r="J357" s="5"/>
      <c r="K357" s="5"/>
      <c r="L357" s="5"/>
    </row>
    <row r="358">
      <c r="E358" s="5"/>
      <c r="F358" s="5"/>
      <c r="G358" s="5"/>
      <c r="H358" s="5"/>
      <c r="I358" s="5"/>
      <c r="J358" s="5"/>
      <c r="K358" s="5"/>
      <c r="L358" s="5"/>
    </row>
    <row r="359">
      <c r="E359" s="5"/>
      <c r="F359" s="5"/>
      <c r="G359" s="5"/>
      <c r="H359" s="5"/>
      <c r="I359" s="5"/>
      <c r="J359" s="5"/>
      <c r="K359" s="5"/>
      <c r="L359" s="5"/>
    </row>
    <row r="360">
      <c r="E360" s="5"/>
      <c r="F360" s="5"/>
      <c r="G360" s="5"/>
      <c r="H360" s="5"/>
      <c r="I360" s="5"/>
      <c r="J360" s="5"/>
      <c r="K360" s="5"/>
      <c r="L360" s="5"/>
    </row>
    <row r="361">
      <c r="E361" s="5"/>
      <c r="F361" s="5"/>
      <c r="G361" s="5"/>
      <c r="H361" s="5"/>
      <c r="I361" s="5"/>
      <c r="J361" s="5"/>
      <c r="K361" s="5"/>
      <c r="L361" s="5"/>
    </row>
    <row r="362">
      <c r="E362" s="5"/>
      <c r="F362" s="5"/>
      <c r="G362" s="5"/>
      <c r="H362" s="5"/>
      <c r="I362" s="5"/>
      <c r="J362" s="5"/>
      <c r="K362" s="5"/>
      <c r="L362" s="5"/>
    </row>
    <row r="363">
      <c r="E363" s="5"/>
      <c r="F363" s="5"/>
      <c r="G363" s="5"/>
      <c r="H363" s="5"/>
      <c r="I363" s="5"/>
      <c r="J363" s="5"/>
      <c r="K363" s="5"/>
      <c r="L363" s="5"/>
    </row>
    <row r="364">
      <c r="E364" s="5"/>
      <c r="F364" s="5"/>
      <c r="G364" s="5"/>
      <c r="H364" s="5"/>
      <c r="I364" s="5"/>
      <c r="J364" s="5"/>
      <c r="K364" s="5"/>
      <c r="L364" s="5"/>
    </row>
    <row r="365">
      <c r="E365" s="5"/>
      <c r="F365" s="5"/>
      <c r="G365" s="5"/>
      <c r="H365" s="5"/>
      <c r="I365" s="5"/>
      <c r="J365" s="5"/>
      <c r="K365" s="5"/>
      <c r="L365" s="5"/>
    </row>
    <row r="366">
      <c r="E366" s="5"/>
      <c r="F366" s="5"/>
      <c r="G366" s="5"/>
      <c r="H366" s="5"/>
      <c r="I366" s="5"/>
      <c r="J366" s="5"/>
      <c r="K366" s="5"/>
      <c r="L366" s="5"/>
    </row>
    <row r="367">
      <c r="E367" s="5"/>
      <c r="F367" s="5"/>
      <c r="G367" s="5"/>
      <c r="H367" s="5"/>
      <c r="I367" s="5"/>
      <c r="J367" s="5"/>
      <c r="K367" s="5"/>
      <c r="L367" s="5"/>
    </row>
    <row r="368">
      <c r="E368" s="5"/>
      <c r="F368" s="5"/>
      <c r="G368" s="5"/>
      <c r="H368" s="5"/>
      <c r="I368" s="5"/>
      <c r="J368" s="5"/>
      <c r="K368" s="5"/>
      <c r="L368" s="5"/>
    </row>
    <row r="369">
      <c r="E369" s="5"/>
      <c r="F369" s="5"/>
      <c r="G369" s="5"/>
      <c r="H369" s="5"/>
      <c r="I369" s="5"/>
      <c r="J369" s="5"/>
      <c r="K369" s="5"/>
      <c r="L369" s="5"/>
    </row>
    <row r="370">
      <c r="E370" s="5"/>
      <c r="F370" s="5"/>
      <c r="G370" s="5"/>
      <c r="H370" s="5"/>
      <c r="I370" s="5"/>
      <c r="J370" s="5"/>
      <c r="K370" s="5"/>
      <c r="L370" s="5"/>
    </row>
    <row r="371">
      <c r="E371" s="5"/>
      <c r="F371" s="5"/>
      <c r="G371" s="5"/>
      <c r="H371" s="5"/>
      <c r="I371" s="5"/>
      <c r="J371" s="5"/>
      <c r="K371" s="5"/>
      <c r="L371" s="5"/>
    </row>
    <row r="372">
      <c r="E372" s="5"/>
      <c r="F372" s="5"/>
      <c r="G372" s="5"/>
      <c r="H372" s="5"/>
      <c r="I372" s="5"/>
      <c r="J372" s="5"/>
      <c r="K372" s="5"/>
      <c r="L372" s="5"/>
    </row>
    <row r="373">
      <c r="E373" s="5"/>
      <c r="F373" s="5"/>
      <c r="G373" s="5"/>
      <c r="H373" s="5"/>
      <c r="I373" s="5"/>
      <c r="J373" s="5"/>
      <c r="K373" s="5"/>
      <c r="L373" s="5"/>
    </row>
    <row r="374">
      <c r="E374" s="5"/>
      <c r="F374" s="5"/>
      <c r="G374" s="5"/>
      <c r="H374" s="5"/>
      <c r="I374" s="5"/>
      <c r="J374" s="5"/>
      <c r="K374" s="5"/>
      <c r="L374" s="5"/>
    </row>
    <row r="375">
      <c r="E375" s="5"/>
      <c r="F375" s="5"/>
      <c r="G375" s="5"/>
      <c r="H375" s="5"/>
      <c r="I375" s="5"/>
      <c r="J375" s="5"/>
      <c r="K375" s="5"/>
      <c r="L375" s="5"/>
    </row>
    <row r="376">
      <c r="E376" s="5"/>
      <c r="F376" s="5"/>
      <c r="G376" s="5"/>
      <c r="H376" s="5"/>
      <c r="I376" s="5"/>
      <c r="J376" s="5"/>
      <c r="K376" s="5"/>
      <c r="L376" s="5"/>
    </row>
    <row r="377">
      <c r="E377" s="5"/>
      <c r="F377" s="5"/>
      <c r="G377" s="5"/>
      <c r="H377" s="5"/>
      <c r="I377" s="5"/>
      <c r="J377" s="5"/>
      <c r="K377" s="5"/>
      <c r="L377" s="5"/>
    </row>
    <row r="378">
      <c r="E378" s="5"/>
      <c r="F378" s="5"/>
      <c r="G378" s="5"/>
      <c r="H378" s="5"/>
      <c r="I378" s="5"/>
      <c r="J378" s="5"/>
      <c r="K378" s="5"/>
      <c r="L378" s="5"/>
    </row>
    <row r="379">
      <c r="E379" s="5"/>
      <c r="F379" s="5"/>
      <c r="G379" s="5"/>
      <c r="H379" s="5"/>
      <c r="I379" s="5"/>
      <c r="J379" s="5"/>
      <c r="K379" s="5"/>
      <c r="L379" s="5"/>
    </row>
    <row r="380">
      <c r="E380" s="5"/>
      <c r="F380" s="5"/>
      <c r="G380" s="5"/>
      <c r="H380" s="5"/>
      <c r="I380" s="5"/>
      <c r="J380" s="5"/>
      <c r="K380" s="5"/>
      <c r="L380" s="5"/>
    </row>
    <row r="381">
      <c r="E381" s="5"/>
      <c r="F381" s="5"/>
      <c r="G381" s="5"/>
      <c r="H381" s="5"/>
      <c r="I381" s="5"/>
      <c r="J381" s="5"/>
      <c r="K381" s="5"/>
      <c r="L381" s="5"/>
    </row>
    <row r="382">
      <c r="E382" s="5"/>
      <c r="F382" s="5"/>
      <c r="G382" s="5"/>
      <c r="H382" s="5"/>
      <c r="I382" s="5"/>
      <c r="J382" s="5"/>
      <c r="K382" s="5"/>
      <c r="L382" s="5"/>
    </row>
    <row r="383">
      <c r="E383" s="5"/>
      <c r="F383" s="5"/>
      <c r="G383" s="5"/>
      <c r="H383" s="5"/>
      <c r="I383" s="5"/>
      <c r="J383" s="5"/>
      <c r="K383" s="5"/>
      <c r="L383" s="5"/>
    </row>
    <row r="384">
      <c r="E384" s="5"/>
      <c r="F384" s="5"/>
      <c r="G384" s="5"/>
      <c r="H384" s="5"/>
      <c r="I384" s="5"/>
      <c r="J384" s="5"/>
      <c r="K384" s="5"/>
      <c r="L384" s="5"/>
    </row>
    <row r="385">
      <c r="E385" s="5"/>
      <c r="F385" s="5"/>
      <c r="G385" s="5"/>
      <c r="H385" s="5"/>
      <c r="I385" s="5"/>
      <c r="J385" s="5"/>
      <c r="K385" s="5"/>
      <c r="L385" s="5"/>
    </row>
    <row r="386">
      <c r="E386" s="5"/>
      <c r="F386" s="5"/>
      <c r="G386" s="5"/>
      <c r="H386" s="5"/>
      <c r="I386" s="5"/>
      <c r="J386" s="5"/>
      <c r="K386" s="5"/>
      <c r="L386" s="5"/>
    </row>
    <row r="387">
      <c r="E387" s="5"/>
      <c r="F387" s="5"/>
      <c r="G387" s="5"/>
      <c r="H387" s="5"/>
      <c r="I387" s="5"/>
      <c r="J387" s="5"/>
      <c r="K387" s="5"/>
      <c r="L387" s="5"/>
    </row>
    <row r="388">
      <c r="E388" s="5"/>
      <c r="F388" s="5"/>
      <c r="G388" s="5"/>
      <c r="H388" s="5"/>
      <c r="I388" s="5"/>
      <c r="J388" s="5"/>
      <c r="K388" s="5"/>
      <c r="L388" s="5"/>
    </row>
    <row r="389">
      <c r="E389" s="5"/>
      <c r="F389" s="5"/>
      <c r="G389" s="5"/>
      <c r="H389" s="5"/>
      <c r="I389" s="5"/>
      <c r="J389" s="5"/>
      <c r="K389" s="5"/>
      <c r="L389" s="5"/>
    </row>
    <row r="390">
      <c r="E390" s="5"/>
      <c r="F390" s="5"/>
      <c r="G390" s="5"/>
      <c r="H390" s="5"/>
      <c r="I390" s="5"/>
      <c r="J390" s="5"/>
      <c r="K390" s="5"/>
      <c r="L390" s="5"/>
    </row>
    <row r="391">
      <c r="E391" s="5"/>
      <c r="F391" s="5"/>
      <c r="G391" s="5"/>
      <c r="H391" s="5"/>
      <c r="I391" s="5"/>
      <c r="J391" s="5"/>
      <c r="K391" s="5"/>
      <c r="L391" s="5"/>
    </row>
    <row r="392">
      <c r="E392" s="5"/>
      <c r="F392" s="5"/>
      <c r="G392" s="5"/>
      <c r="H392" s="5"/>
      <c r="I392" s="5"/>
      <c r="J392" s="5"/>
      <c r="K392" s="5"/>
      <c r="L392" s="5"/>
    </row>
    <row r="393">
      <c r="E393" s="5"/>
      <c r="F393" s="5"/>
      <c r="G393" s="5"/>
      <c r="H393" s="5"/>
      <c r="I393" s="5"/>
      <c r="J393" s="5"/>
      <c r="K393" s="5"/>
      <c r="L393" s="5"/>
    </row>
    <row r="394">
      <c r="E394" s="5"/>
      <c r="F394" s="5"/>
      <c r="G394" s="5"/>
      <c r="H394" s="5"/>
      <c r="I394" s="5"/>
      <c r="J394" s="5"/>
      <c r="K394" s="5"/>
      <c r="L394" s="5"/>
    </row>
    <row r="395">
      <c r="E395" s="5"/>
      <c r="F395" s="5"/>
      <c r="G395" s="5"/>
      <c r="H395" s="5"/>
      <c r="I395" s="5"/>
      <c r="J395" s="5"/>
      <c r="K395" s="5"/>
      <c r="L395" s="5"/>
    </row>
    <row r="396">
      <c r="E396" s="5"/>
      <c r="F396" s="5"/>
      <c r="G396" s="5"/>
      <c r="H396" s="5"/>
      <c r="I396" s="5"/>
      <c r="J396" s="5"/>
      <c r="K396" s="5"/>
      <c r="L396" s="5"/>
    </row>
    <row r="397">
      <c r="E397" s="5"/>
      <c r="F397" s="5"/>
      <c r="G397" s="5"/>
      <c r="H397" s="5"/>
      <c r="I397" s="5"/>
      <c r="J397" s="5"/>
      <c r="K397" s="5"/>
      <c r="L397" s="5"/>
    </row>
    <row r="398">
      <c r="E398" s="5"/>
      <c r="F398" s="5"/>
      <c r="G398" s="5"/>
      <c r="H398" s="5"/>
      <c r="I398" s="5"/>
      <c r="J398" s="5"/>
      <c r="K398" s="5"/>
      <c r="L398" s="5"/>
    </row>
    <row r="399">
      <c r="E399" s="5"/>
      <c r="F399" s="5"/>
      <c r="G399" s="5"/>
      <c r="H399" s="5"/>
      <c r="I399" s="5"/>
      <c r="J399" s="5"/>
      <c r="K399" s="5"/>
      <c r="L399" s="5"/>
    </row>
    <row r="400">
      <c r="E400" s="5"/>
      <c r="F400" s="5"/>
      <c r="G400" s="5"/>
      <c r="H400" s="5"/>
      <c r="I400" s="5"/>
      <c r="J400" s="5"/>
      <c r="K400" s="5"/>
      <c r="L400" s="5"/>
    </row>
    <row r="401">
      <c r="E401" s="5"/>
      <c r="F401" s="5"/>
      <c r="G401" s="5"/>
      <c r="H401" s="5"/>
      <c r="I401" s="5"/>
      <c r="J401" s="5"/>
      <c r="K401" s="5"/>
      <c r="L401" s="5"/>
    </row>
    <row r="402">
      <c r="E402" s="5"/>
      <c r="F402" s="5"/>
      <c r="G402" s="5"/>
      <c r="H402" s="5"/>
      <c r="I402" s="5"/>
      <c r="J402" s="5"/>
      <c r="K402" s="5"/>
      <c r="L402" s="5"/>
    </row>
    <row r="403">
      <c r="E403" s="5"/>
      <c r="F403" s="5"/>
      <c r="G403" s="5"/>
      <c r="H403" s="5"/>
      <c r="I403" s="5"/>
      <c r="J403" s="5"/>
      <c r="K403" s="5"/>
      <c r="L403" s="5"/>
    </row>
    <row r="404">
      <c r="E404" s="5"/>
      <c r="F404" s="5"/>
      <c r="G404" s="5"/>
      <c r="H404" s="5"/>
      <c r="I404" s="5"/>
      <c r="J404" s="5"/>
      <c r="K404" s="5"/>
      <c r="L404" s="5"/>
    </row>
    <row r="405">
      <c r="E405" s="5"/>
      <c r="F405" s="5"/>
      <c r="G405" s="5"/>
      <c r="H405" s="5"/>
      <c r="I405" s="5"/>
      <c r="J405" s="5"/>
      <c r="K405" s="5"/>
      <c r="L405" s="5"/>
    </row>
    <row r="406">
      <c r="E406" s="5"/>
      <c r="F406" s="5"/>
      <c r="G406" s="5"/>
      <c r="H406" s="5"/>
      <c r="I406" s="5"/>
      <c r="J406" s="5"/>
      <c r="K406" s="5"/>
      <c r="L406" s="5"/>
    </row>
    <row r="407">
      <c r="E407" s="5"/>
      <c r="F407" s="5"/>
      <c r="G407" s="5"/>
      <c r="H407" s="5"/>
      <c r="I407" s="5"/>
      <c r="J407" s="5"/>
      <c r="K407" s="5"/>
      <c r="L407" s="5"/>
    </row>
    <row r="408">
      <c r="E408" s="5"/>
      <c r="F408" s="5"/>
      <c r="G408" s="5"/>
      <c r="H408" s="5"/>
      <c r="I408" s="5"/>
      <c r="J408" s="5"/>
      <c r="K408" s="5"/>
      <c r="L408" s="5"/>
    </row>
    <row r="409">
      <c r="E409" s="5"/>
      <c r="F409" s="5"/>
      <c r="G409" s="5"/>
      <c r="H409" s="5"/>
      <c r="I409" s="5"/>
      <c r="J409" s="5"/>
      <c r="K409" s="5"/>
      <c r="L409" s="5"/>
    </row>
    <row r="410">
      <c r="E410" s="5"/>
      <c r="F410" s="5"/>
      <c r="G410" s="5"/>
      <c r="H410" s="5"/>
      <c r="I410" s="5"/>
      <c r="J410" s="5"/>
      <c r="K410" s="5"/>
      <c r="L410" s="5"/>
    </row>
    <row r="411">
      <c r="E411" s="5"/>
      <c r="F411" s="5"/>
      <c r="G411" s="5"/>
      <c r="H411" s="5"/>
      <c r="I411" s="5"/>
      <c r="J411" s="5"/>
      <c r="K411" s="5"/>
      <c r="L411" s="5"/>
    </row>
    <row r="412">
      <c r="E412" s="5"/>
      <c r="F412" s="5"/>
      <c r="G412" s="5"/>
      <c r="H412" s="5"/>
      <c r="I412" s="5"/>
      <c r="J412" s="5"/>
      <c r="K412" s="5"/>
      <c r="L412" s="5"/>
    </row>
    <row r="413">
      <c r="E413" s="5"/>
      <c r="F413" s="5"/>
      <c r="G413" s="5"/>
      <c r="H413" s="5"/>
      <c r="I413" s="5"/>
      <c r="J413" s="5"/>
      <c r="K413" s="5"/>
      <c r="L413" s="5"/>
    </row>
    <row r="414">
      <c r="E414" s="5"/>
      <c r="F414" s="5"/>
      <c r="G414" s="5"/>
      <c r="H414" s="5"/>
      <c r="I414" s="5"/>
      <c r="J414" s="5"/>
      <c r="K414" s="5"/>
      <c r="L414" s="5"/>
    </row>
    <row r="415">
      <c r="E415" s="5"/>
      <c r="F415" s="5"/>
      <c r="G415" s="5"/>
      <c r="H415" s="5"/>
      <c r="I415" s="5"/>
      <c r="J415" s="5"/>
      <c r="K415" s="5"/>
      <c r="L415" s="5"/>
    </row>
    <row r="416">
      <c r="E416" s="5"/>
      <c r="F416" s="5"/>
      <c r="G416" s="5"/>
      <c r="H416" s="5"/>
      <c r="I416" s="5"/>
      <c r="J416" s="5"/>
      <c r="K416" s="5"/>
      <c r="L416" s="5"/>
    </row>
    <row r="417">
      <c r="E417" s="5"/>
      <c r="F417" s="5"/>
      <c r="G417" s="5"/>
      <c r="H417" s="5"/>
      <c r="I417" s="5"/>
      <c r="J417" s="5"/>
      <c r="K417" s="5"/>
      <c r="L417" s="5"/>
    </row>
    <row r="418">
      <c r="E418" s="5"/>
      <c r="F418" s="5"/>
      <c r="G418" s="5"/>
      <c r="H418" s="5"/>
      <c r="I418" s="5"/>
      <c r="J418" s="5"/>
      <c r="K418" s="5"/>
      <c r="L418" s="5"/>
    </row>
    <row r="419">
      <c r="E419" s="5"/>
      <c r="F419" s="5"/>
      <c r="G419" s="5"/>
      <c r="H419" s="5"/>
      <c r="I419" s="5"/>
      <c r="J419" s="5"/>
      <c r="K419" s="5"/>
      <c r="L419" s="5"/>
    </row>
    <row r="420">
      <c r="E420" s="5"/>
      <c r="F420" s="5"/>
      <c r="G420" s="5"/>
      <c r="H420" s="5"/>
      <c r="I420" s="5"/>
      <c r="J420" s="5"/>
      <c r="K420" s="5"/>
      <c r="L420" s="5"/>
    </row>
    <row r="421">
      <c r="E421" s="5"/>
      <c r="F421" s="5"/>
      <c r="G421" s="5"/>
      <c r="H421" s="5"/>
      <c r="I421" s="5"/>
      <c r="J421" s="5"/>
      <c r="K421" s="5"/>
      <c r="L421" s="5"/>
    </row>
    <row r="422">
      <c r="E422" s="5"/>
      <c r="F422" s="5"/>
      <c r="G422" s="5"/>
      <c r="H422" s="5"/>
      <c r="I422" s="5"/>
      <c r="J422" s="5"/>
      <c r="K422" s="5"/>
      <c r="L422" s="5"/>
    </row>
    <row r="423">
      <c r="E423" s="5"/>
      <c r="F423" s="5"/>
      <c r="G423" s="5"/>
      <c r="H423" s="5"/>
      <c r="I423" s="5"/>
      <c r="J423" s="5"/>
      <c r="K423" s="5"/>
      <c r="L423" s="5"/>
    </row>
    <row r="424">
      <c r="E424" s="5"/>
      <c r="F424" s="5"/>
      <c r="G424" s="5"/>
      <c r="H424" s="5"/>
      <c r="I424" s="5"/>
      <c r="J424" s="5"/>
      <c r="K424" s="5"/>
      <c r="L424" s="5"/>
    </row>
    <row r="425">
      <c r="E425" s="5"/>
      <c r="F425" s="5"/>
      <c r="G425" s="5"/>
      <c r="H425" s="5"/>
      <c r="I425" s="5"/>
      <c r="J425" s="5"/>
      <c r="K425" s="5"/>
      <c r="L425" s="5"/>
    </row>
    <row r="426">
      <c r="E426" s="5"/>
      <c r="F426" s="5"/>
      <c r="G426" s="5"/>
      <c r="H426" s="5"/>
      <c r="I426" s="5"/>
      <c r="J426" s="5"/>
      <c r="K426" s="5"/>
      <c r="L426" s="5"/>
    </row>
    <row r="427">
      <c r="E427" s="5"/>
      <c r="F427" s="5"/>
      <c r="G427" s="5"/>
      <c r="H427" s="5"/>
      <c r="I427" s="5"/>
      <c r="J427" s="5"/>
      <c r="K427" s="5"/>
      <c r="L427" s="5"/>
    </row>
    <row r="428">
      <c r="E428" s="5"/>
      <c r="F428" s="5"/>
      <c r="G428" s="5"/>
      <c r="H428" s="5"/>
      <c r="I428" s="5"/>
      <c r="J428" s="5"/>
      <c r="K428" s="5"/>
      <c r="L428" s="5"/>
    </row>
    <row r="429">
      <c r="E429" s="5"/>
      <c r="F429" s="5"/>
      <c r="G429" s="5"/>
      <c r="H429" s="5"/>
      <c r="I429" s="5"/>
      <c r="J429" s="5"/>
      <c r="K429" s="5"/>
      <c r="L429" s="5"/>
    </row>
    <row r="430">
      <c r="E430" s="5"/>
      <c r="F430" s="5"/>
      <c r="G430" s="5"/>
      <c r="H430" s="5"/>
      <c r="I430" s="5"/>
      <c r="J430" s="5"/>
      <c r="K430" s="5"/>
      <c r="L430" s="5"/>
    </row>
    <row r="431">
      <c r="E431" s="5"/>
      <c r="F431" s="5"/>
      <c r="G431" s="5"/>
      <c r="H431" s="5"/>
      <c r="I431" s="5"/>
      <c r="J431" s="5"/>
      <c r="K431" s="5"/>
      <c r="L431" s="5"/>
    </row>
    <row r="432">
      <c r="E432" s="5"/>
      <c r="F432" s="5"/>
      <c r="G432" s="5"/>
      <c r="H432" s="5"/>
      <c r="I432" s="5"/>
      <c r="J432" s="5"/>
      <c r="K432" s="5"/>
      <c r="L432" s="5"/>
    </row>
    <row r="433">
      <c r="E433" s="5"/>
      <c r="F433" s="5"/>
      <c r="G433" s="5"/>
      <c r="H433" s="5"/>
      <c r="I433" s="5"/>
      <c r="J433" s="5"/>
      <c r="K433" s="5"/>
      <c r="L433" s="5"/>
    </row>
    <row r="434">
      <c r="E434" s="5"/>
      <c r="F434" s="5"/>
      <c r="G434" s="5"/>
      <c r="H434" s="5"/>
      <c r="I434" s="5"/>
      <c r="J434" s="5"/>
      <c r="K434" s="5"/>
      <c r="L434" s="5"/>
    </row>
    <row r="435">
      <c r="E435" s="5"/>
      <c r="F435" s="5"/>
      <c r="G435" s="5"/>
      <c r="H435" s="5"/>
      <c r="I435" s="5"/>
      <c r="J435" s="5"/>
      <c r="K435" s="5"/>
      <c r="L435" s="5"/>
    </row>
    <row r="436">
      <c r="E436" s="5"/>
      <c r="F436" s="5"/>
      <c r="G436" s="5"/>
      <c r="H436" s="5"/>
      <c r="I436" s="5"/>
      <c r="J436" s="5"/>
      <c r="K436" s="5"/>
      <c r="L436" s="5"/>
    </row>
    <row r="437">
      <c r="E437" s="5"/>
      <c r="F437" s="5"/>
      <c r="G437" s="5"/>
      <c r="H437" s="5"/>
      <c r="I437" s="5"/>
      <c r="J437" s="5"/>
      <c r="K437" s="5"/>
      <c r="L437" s="5"/>
    </row>
    <row r="438">
      <c r="E438" s="5"/>
      <c r="F438" s="5"/>
      <c r="G438" s="5"/>
      <c r="H438" s="5"/>
      <c r="I438" s="5"/>
      <c r="J438" s="5"/>
      <c r="K438" s="5"/>
      <c r="L438" s="5"/>
    </row>
    <row r="439">
      <c r="E439" s="5"/>
      <c r="F439" s="5"/>
      <c r="G439" s="5"/>
      <c r="H439" s="5"/>
      <c r="I439" s="5"/>
      <c r="J439" s="5"/>
      <c r="K439" s="5"/>
      <c r="L439" s="5"/>
    </row>
    <row r="440">
      <c r="E440" s="5"/>
      <c r="F440" s="5"/>
      <c r="G440" s="5"/>
      <c r="H440" s="5"/>
      <c r="I440" s="5"/>
      <c r="J440" s="5"/>
      <c r="K440" s="5"/>
      <c r="L440" s="5"/>
    </row>
    <row r="441">
      <c r="E441" s="5"/>
      <c r="F441" s="5"/>
      <c r="G441" s="5"/>
      <c r="H441" s="5"/>
      <c r="I441" s="5"/>
      <c r="J441" s="5"/>
      <c r="K441" s="5"/>
      <c r="L441" s="5"/>
    </row>
    <row r="442">
      <c r="E442" s="5"/>
      <c r="F442" s="5"/>
      <c r="G442" s="5"/>
      <c r="H442" s="5"/>
      <c r="I442" s="5"/>
      <c r="J442" s="5"/>
      <c r="K442" s="5"/>
      <c r="L442" s="5"/>
    </row>
    <row r="443">
      <c r="E443" s="5"/>
      <c r="F443" s="5"/>
      <c r="G443" s="5"/>
      <c r="H443" s="5"/>
      <c r="I443" s="5"/>
      <c r="J443" s="5"/>
      <c r="K443" s="5"/>
      <c r="L443" s="5"/>
    </row>
    <row r="444">
      <c r="E444" s="5"/>
      <c r="F444" s="5"/>
      <c r="G444" s="5"/>
      <c r="H444" s="5"/>
      <c r="I444" s="5"/>
      <c r="J444" s="5"/>
      <c r="K444" s="5"/>
      <c r="L444" s="5"/>
    </row>
    <row r="445">
      <c r="E445" s="5"/>
      <c r="F445" s="5"/>
      <c r="G445" s="5"/>
      <c r="H445" s="5"/>
      <c r="I445" s="5"/>
      <c r="J445" s="5"/>
      <c r="K445" s="5"/>
      <c r="L445" s="5"/>
    </row>
    <row r="446">
      <c r="E446" s="5"/>
      <c r="F446" s="5"/>
      <c r="G446" s="5"/>
      <c r="H446" s="5"/>
      <c r="I446" s="5"/>
      <c r="J446" s="5"/>
      <c r="K446" s="5"/>
      <c r="L446" s="5"/>
    </row>
    <row r="447">
      <c r="E447" s="5"/>
      <c r="F447" s="5"/>
      <c r="G447" s="5"/>
      <c r="H447" s="5"/>
      <c r="I447" s="5"/>
      <c r="J447" s="5"/>
      <c r="K447" s="5"/>
      <c r="L447" s="5"/>
    </row>
    <row r="448">
      <c r="E448" s="5"/>
      <c r="F448" s="5"/>
      <c r="G448" s="5"/>
      <c r="H448" s="5"/>
      <c r="I448" s="5"/>
      <c r="J448" s="5"/>
      <c r="K448" s="5"/>
      <c r="L448" s="5"/>
    </row>
    <row r="449">
      <c r="E449" s="5"/>
      <c r="F449" s="5"/>
      <c r="G449" s="5"/>
      <c r="H449" s="5"/>
      <c r="I449" s="5"/>
      <c r="J449" s="5"/>
      <c r="K449" s="5"/>
      <c r="L449" s="5"/>
    </row>
    <row r="450">
      <c r="E450" s="5"/>
      <c r="F450" s="5"/>
      <c r="G450" s="5"/>
      <c r="H450" s="5"/>
      <c r="I450" s="5"/>
      <c r="J450" s="5"/>
      <c r="K450" s="5"/>
      <c r="L450" s="5"/>
    </row>
    <row r="451">
      <c r="E451" s="5"/>
      <c r="F451" s="5"/>
      <c r="G451" s="5"/>
      <c r="H451" s="5"/>
      <c r="I451" s="5"/>
      <c r="J451" s="5"/>
      <c r="K451" s="5"/>
      <c r="L451" s="5"/>
    </row>
    <row r="452">
      <c r="E452" s="5"/>
      <c r="F452" s="5"/>
      <c r="G452" s="5"/>
      <c r="H452" s="5"/>
      <c r="I452" s="5"/>
      <c r="J452" s="5"/>
      <c r="K452" s="5"/>
      <c r="L452" s="5"/>
    </row>
    <row r="453">
      <c r="E453" s="5"/>
      <c r="F453" s="5"/>
      <c r="G453" s="5"/>
      <c r="H453" s="5"/>
      <c r="I453" s="5"/>
      <c r="J453" s="5"/>
      <c r="K453" s="5"/>
      <c r="L453" s="5"/>
    </row>
    <row r="454">
      <c r="E454" s="5"/>
      <c r="F454" s="5"/>
      <c r="G454" s="5"/>
      <c r="H454" s="5"/>
      <c r="I454" s="5"/>
      <c r="J454" s="5"/>
      <c r="K454" s="5"/>
      <c r="L454" s="5"/>
    </row>
    <row r="455">
      <c r="E455" s="5"/>
      <c r="F455" s="5"/>
      <c r="G455" s="5"/>
      <c r="H455" s="5"/>
      <c r="I455" s="5"/>
      <c r="J455" s="5"/>
      <c r="K455" s="5"/>
      <c r="L455" s="5"/>
    </row>
    <row r="456">
      <c r="E456" s="5"/>
      <c r="F456" s="5"/>
      <c r="G456" s="5"/>
      <c r="H456" s="5"/>
      <c r="I456" s="5"/>
      <c r="J456" s="5"/>
      <c r="K456" s="5"/>
      <c r="L456" s="5"/>
    </row>
    <row r="457">
      <c r="E457" s="5"/>
      <c r="F457" s="5"/>
      <c r="G457" s="5"/>
      <c r="H457" s="5"/>
      <c r="I457" s="5"/>
      <c r="J457" s="5"/>
      <c r="K457" s="5"/>
      <c r="L457" s="5"/>
    </row>
    <row r="458">
      <c r="E458" s="5"/>
      <c r="F458" s="5"/>
      <c r="G458" s="5"/>
      <c r="H458" s="5"/>
      <c r="I458" s="5"/>
      <c r="J458" s="5"/>
      <c r="K458" s="5"/>
      <c r="L458" s="5"/>
    </row>
    <row r="459">
      <c r="E459" s="5"/>
      <c r="F459" s="5"/>
      <c r="G459" s="5"/>
      <c r="H459" s="5"/>
      <c r="I459" s="5"/>
      <c r="J459" s="5"/>
      <c r="K459" s="5"/>
      <c r="L459" s="5"/>
    </row>
    <row r="460">
      <c r="E460" s="5"/>
      <c r="F460" s="5"/>
      <c r="G460" s="5"/>
      <c r="H460" s="5"/>
      <c r="I460" s="5"/>
      <c r="J460" s="5"/>
      <c r="K460" s="5"/>
      <c r="L460" s="5"/>
    </row>
    <row r="461">
      <c r="E461" s="5"/>
      <c r="F461" s="5"/>
      <c r="G461" s="5"/>
      <c r="H461" s="5"/>
      <c r="I461" s="5"/>
      <c r="J461" s="5"/>
      <c r="K461" s="5"/>
      <c r="L461" s="5"/>
    </row>
    <row r="462">
      <c r="E462" s="5"/>
      <c r="F462" s="5"/>
      <c r="G462" s="5"/>
      <c r="H462" s="5"/>
      <c r="I462" s="5"/>
      <c r="J462" s="5"/>
      <c r="K462" s="5"/>
      <c r="L462" s="5"/>
    </row>
    <row r="463">
      <c r="E463" s="5"/>
      <c r="F463" s="5"/>
      <c r="G463" s="5"/>
      <c r="H463" s="5"/>
      <c r="I463" s="5"/>
      <c r="J463" s="5"/>
      <c r="K463" s="5"/>
      <c r="L463" s="5"/>
    </row>
    <row r="464">
      <c r="E464" s="5"/>
      <c r="F464" s="5"/>
      <c r="G464" s="5"/>
      <c r="H464" s="5"/>
      <c r="I464" s="5"/>
      <c r="J464" s="5"/>
      <c r="K464" s="5"/>
      <c r="L464" s="5"/>
    </row>
    <row r="465">
      <c r="E465" s="5"/>
      <c r="F465" s="5"/>
      <c r="G465" s="5"/>
      <c r="H465" s="5"/>
      <c r="I465" s="5"/>
      <c r="J465" s="5"/>
      <c r="K465" s="5"/>
      <c r="L465" s="5"/>
    </row>
    <row r="466">
      <c r="E466" s="5"/>
      <c r="F466" s="5"/>
      <c r="G466" s="5"/>
      <c r="H466" s="5"/>
      <c r="I466" s="5"/>
      <c r="J466" s="5"/>
      <c r="K466" s="5"/>
      <c r="L466" s="5"/>
    </row>
    <row r="467">
      <c r="E467" s="5"/>
      <c r="F467" s="5"/>
      <c r="G467" s="5"/>
      <c r="H467" s="5"/>
      <c r="I467" s="5"/>
      <c r="J467" s="5"/>
      <c r="K467" s="5"/>
      <c r="L467" s="5"/>
    </row>
    <row r="468">
      <c r="E468" s="5"/>
      <c r="F468" s="5"/>
      <c r="G468" s="5"/>
      <c r="H468" s="5"/>
      <c r="I468" s="5"/>
      <c r="J468" s="5"/>
      <c r="K468" s="5"/>
      <c r="L468" s="5"/>
    </row>
    <row r="469">
      <c r="E469" s="5"/>
      <c r="F469" s="5"/>
      <c r="G469" s="5"/>
      <c r="H469" s="5"/>
      <c r="I469" s="5"/>
      <c r="J469" s="5"/>
      <c r="K469" s="5"/>
      <c r="L469" s="5"/>
    </row>
    <row r="470">
      <c r="E470" s="5"/>
      <c r="F470" s="5"/>
      <c r="G470" s="5"/>
      <c r="H470" s="5"/>
      <c r="I470" s="5"/>
      <c r="J470" s="5"/>
      <c r="K470" s="5"/>
      <c r="L470" s="5"/>
    </row>
    <row r="471">
      <c r="E471" s="5"/>
      <c r="F471" s="5"/>
      <c r="G471" s="5"/>
      <c r="H471" s="5"/>
      <c r="I471" s="5"/>
      <c r="J471" s="5"/>
      <c r="K471" s="5"/>
      <c r="L471" s="5"/>
    </row>
    <row r="472">
      <c r="E472" s="5"/>
      <c r="F472" s="5"/>
      <c r="G472" s="5"/>
      <c r="H472" s="5"/>
      <c r="I472" s="5"/>
      <c r="J472" s="5"/>
      <c r="K472" s="5"/>
      <c r="L472" s="5"/>
    </row>
    <row r="473">
      <c r="E473" s="5"/>
      <c r="F473" s="5"/>
      <c r="G473" s="5"/>
      <c r="H473" s="5"/>
      <c r="I473" s="5"/>
      <c r="J473" s="5"/>
      <c r="K473" s="5"/>
      <c r="L473" s="5"/>
    </row>
    <row r="474">
      <c r="E474" s="5"/>
      <c r="F474" s="5"/>
      <c r="G474" s="5"/>
      <c r="H474" s="5"/>
      <c r="I474" s="5"/>
      <c r="J474" s="5"/>
      <c r="K474" s="5"/>
      <c r="L474" s="5"/>
    </row>
    <row r="475">
      <c r="E475" s="5"/>
      <c r="F475" s="5"/>
      <c r="G475" s="5"/>
      <c r="H475" s="5"/>
      <c r="I475" s="5"/>
      <c r="J475" s="5"/>
      <c r="K475" s="5"/>
      <c r="L475" s="5"/>
    </row>
    <row r="476">
      <c r="E476" s="5"/>
      <c r="F476" s="5"/>
      <c r="G476" s="5"/>
      <c r="H476" s="5"/>
      <c r="I476" s="5"/>
      <c r="J476" s="5"/>
      <c r="K476" s="5"/>
      <c r="L476" s="5"/>
    </row>
    <row r="477">
      <c r="E477" s="5"/>
      <c r="F477" s="5"/>
      <c r="G477" s="5"/>
      <c r="H477" s="5"/>
      <c r="I477" s="5"/>
      <c r="J477" s="5"/>
      <c r="K477" s="5"/>
      <c r="L477" s="5"/>
    </row>
    <row r="478">
      <c r="E478" s="5"/>
      <c r="F478" s="5"/>
      <c r="G478" s="5"/>
      <c r="H478" s="5"/>
      <c r="I478" s="5"/>
      <c r="J478" s="5"/>
      <c r="K478" s="5"/>
      <c r="L478" s="5"/>
    </row>
    <row r="479">
      <c r="E479" s="5"/>
      <c r="F479" s="5"/>
      <c r="G479" s="5"/>
      <c r="H479" s="5"/>
      <c r="I479" s="5"/>
      <c r="J479" s="5"/>
      <c r="K479" s="5"/>
      <c r="L479" s="5"/>
    </row>
    <row r="480">
      <c r="E480" s="5"/>
      <c r="F480" s="5"/>
      <c r="G480" s="5"/>
      <c r="H480" s="5"/>
      <c r="I480" s="5"/>
      <c r="J480" s="5"/>
      <c r="K480" s="5"/>
      <c r="L480" s="5"/>
    </row>
    <row r="481">
      <c r="E481" s="5"/>
      <c r="F481" s="5"/>
      <c r="G481" s="5"/>
      <c r="H481" s="5"/>
      <c r="I481" s="5"/>
      <c r="J481" s="5"/>
      <c r="K481" s="5"/>
      <c r="L481" s="5"/>
    </row>
    <row r="482">
      <c r="E482" s="5"/>
      <c r="F482" s="5"/>
      <c r="G482" s="5"/>
      <c r="H482" s="5"/>
      <c r="I482" s="5"/>
      <c r="J482" s="5"/>
      <c r="K482" s="5"/>
      <c r="L482" s="5"/>
    </row>
    <row r="483">
      <c r="E483" s="5"/>
      <c r="F483" s="5"/>
      <c r="G483" s="5"/>
      <c r="H483" s="5"/>
      <c r="I483" s="5"/>
      <c r="J483" s="5"/>
      <c r="K483" s="5"/>
      <c r="L483" s="5"/>
    </row>
    <row r="484">
      <c r="E484" s="5"/>
      <c r="F484" s="5"/>
      <c r="G484" s="5"/>
      <c r="H484" s="5"/>
      <c r="I484" s="5"/>
      <c r="J484" s="5"/>
      <c r="K484" s="5"/>
      <c r="L484" s="5"/>
    </row>
    <row r="485">
      <c r="E485" s="5"/>
      <c r="F485" s="5"/>
      <c r="G485" s="5"/>
      <c r="H485" s="5"/>
      <c r="I485" s="5"/>
      <c r="J485" s="5"/>
      <c r="K485" s="5"/>
      <c r="L485" s="5"/>
    </row>
    <row r="486">
      <c r="E486" s="5"/>
      <c r="F486" s="5"/>
      <c r="G486" s="5"/>
      <c r="H486" s="5"/>
      <c r="I486" s="5"/>
      <c r="J486" s="5"/>
      <c r="K486" s="5"/>
      <c r="L486" s="5"/>
    </row>
    <row r="487">
      <c r="E487" s="5"/>
      <c r="F487" s="5"/>
      <c r="G487" s="5"/>
      <c r="H487" s="5"/>
      <c r="I487" s="5"/>
      <c r="J487" s="5"/>
      <c r="K487" s="5"/>
      <c r="L487" s="5"/>
    </row>
    <row r="488">
      <c r="E488" s="5"/>
      <c r="F488" s="5"/>
      <c r="G488" s="5"/>
      <c r="H488" s="5"/>
      <c r="I488" s="5"/>
      <c r="J488" s="5"/>
      <c r="K488" s="5"/>
      <c r="L488" s="5"/>
    </row>
    <row r="489">
      <c r="E489" s="5"/>
      <c r="F489" s="5"/>
      <c r="G489" s="5"/>
      <c r="H489" s="5"/>
      <c r="I489" s="5"/>
      <c r="J489" s="5"/>
      <c r="K489" s="5"/>
      <c r="L489" s="5"/>
    </row>
    <row r="490">
      <c r="E490" s="5"/>
      <c r="F490" s="5"/>
      <c r="G490" s="5"/>
      <c r="H490" s="5"/>
      <c r="I490" s="5"/>
      <c r="J490" s="5"/>
      <c r="K490" s="5"/>
      <c r="L490" s="5"/>
    </row>
    <row r="491">
      <c r="E491" s="5"/>
      <c r="F491" s="5"/>
      <c r="G491" s="5"/>
      <c r="H491" s="5"/>
      <c r="I491" s="5"/>
      <c r="J491" s="5"/>
      <c r="K491" s="5"/>
      <c r="L491" s="5"/>
    </row>
    <row r="492">
      <c r="E492" s="5"/>
      <c r="F492" s="5"/>
      <c r="G492" s="5"/>
      <c r="H492" s="5"/>
      <c r="I492" s="5"/>
      <c r="J492" s="5"/>
      <c r="K492" s="5"/>
      <c r="L492" s="5"/>
    </row>
    <row r="493">
      <c r="E493" s="5"/>
      <c r="F493" s="5"/>
      <c r="G493" s="5"/>
      <c r="H493" s="5"/>
      <c r="I493" s="5"/>
      <c r="J493" s="5"/>
      <c r="K493" s="5"/>
      <c r="L493" s="5"/>
    </row>
    <row r="494">
      <c r="E494" s="5"/>
      <c r="F494" s="5"/>
      <c r="G494" s="5"/>
      <c r="H494" s="5"/>
      <c r="I494" s="5"/>
      <c r="J494" s="5"/>
      <c r="K494" s="5"/>
      <c r="L494" s="5"/>
    </row>
    <row r="495">
      <c r="E495" s="5"/>
      <c r="F495" s="5"/>
      <c r="G495" s="5"/>
      <c r="H495" s="5"/>
      <c r="I495" s="5"/>
      <c r="J495" s="5"/>
      <c r="K495" s="5"/>
      <c r="L495" s="5"/>
    </row>
    <row r="496">
      <c r="E496" s="5"/>
      <c r="F496" s="5"/>
      <c r="G496" s="5"/>
      <c r="H496" s="5"/>
      <c r="I496" s="5"/>
      <c r="J496" s="5"/>
      <c r="K496" s="5"/>
      <c r="L496" s="5"/>
    </row>
    <row r="497">
      <c r="E497" s="5"/>
      <c r="F497" s="5"/>
      <c r="G497" s="5"/>
      <c r="H497" s="5"/>
      <c r="I497" s="5"/>
      <c r="J497" s="5"/>
      <c r="K497" s="5"/>
      <c r="L497" s="5"/>
    </row>
    <row r="498">
      <c r="E498" s="5"/>
      <c r="F498" s="5"/>
      <c r="G498" s="5"/>
      <c r="H498" s="5"/>
      <c r="I498" s="5"/>
      <c r="J498" s="5"/>
      <c r="K498" s="5"/>
      <c r="L498" s="5"/>
    </row>
    <row r="499">
      <c r="E499" s="5"/>
      <c r="F499" s="5"/>
      <c r="G499" s="5"/>
      <c r="H499" s="5"/>
      <c r="I499" s="5"/>
      <c r="J499" s="5"/>
      <c r="K499" s="5"/>
      <c r="L499" s="5"/>
    </row>
    <row r="500">
      <c r="E500" s="5"/>
      <c r="F500" s="5"/>
      <c r="G500" s="5"/>
      <c r="H500" s="5"/>
      <c r="I500" s="5"/>
      <c r="J500" s="5"/>
      <c r="K500" s="5"/>
      <c r="L500" s="5"/>
    </row>
    <row r="501">
      <c r="E501" s="5"/>
      <c r="F501" s="5"/>
      <c r="G501" s="5"/>
      <c r="H501" s="5"/>
      <c r="I501" s="5"/>
      <c r="J501" s="5"/>
      <c r="K501" s="5"/>
      <c r="L501" s="5"/>
    </row>
    <row r="502">
      <c r="E502" s="5"/>
      <c r="F502" s="5"/>
      <c r="G502" s="5"/>
      <c r="H502" s="5"/>
      <c r="I502" s="5"/>
      <c r="J502" s="5"/>
      <c r="K502" s="5"/>
      <c r="L502" s="5"/>
    </row>
    <row r="503">
      <c r="E503" s="5"/>
      <c r="F503" s="5"/>
      <c r="G503" s="5"/>
      <c r="H503" s="5"/>
      <c r="I503" s="5"/>
      <c r="J503" s="5"/>
      <c r="K503" s="5"/>
      <c r="L503" s="5"/>
    </row>
    <row r="504">
      <c r="E504" s="5"/>
      <c r="F504" s="5"/>
      <c r="G504" s="5"/>
      <c r="H504" s="5"/>
      <c r="I504" s="5"/>
      <c r="J504" s="5"/>
      <c r="K504" s="5"/>
      <c r="L504" s="5"/>
    </row>
    <row r="505">
      <c r="E505" s="5"/>
      <c r="F505" s="5"/>
      <c r="G505" s="5"/>
      <c r="H505" s="5"/>
      <c r="I505" s="5"/>
      <c r="J505" s="5"/>
      <c r="K505" s="5"/>
      <c r="L505" s="5"/>
    </row>
    <row r="506">
      <c r="E506" s="5"/>
      <c r="F506" s="5"/>
      <c r="G506" s="5"/>
      <c r="H506" s="5"/>
      <c r="I506" s="5"/>
      <c r="J506" s="5"/>
      <c r="K506" s="5"/>
      <c r="L506" s="5"/>
    </row>
    <row r="507">
      <c r="E507" s="5"/>
      <c r="F507" s="5"/>
      <c r="G507" s="5"/>
      <c r="H507" s="5"/>
      <c r="I507" s="5"/>
      <c r="J507" s="5"/>
      <c r="K507" s="5"/>
      <c r="L507" s="5"/>
    </row>
    <row r="508">
      <c r="E508" s="5"/>
      <c r="F508" s="5"/>
      <c r="G508" s="5"/>
      <c r="H508" s="5"/>
      <c r="I508" s="5"/>
      <c r="J508" s="5"/>
      <c r="K508" s="5"/>
      <c r="L508" s="5"/>
    </row>
    <row r="509">
      <c r="E509" s="5"/>
      <c r="F509" s="5"/>
      <c r="G509" s="5"/>
      <c r="H509" s="5"/>
      <c r="I509" s="5"/>
      <c r="J509" s="5"/>
      <c r="K509" s="5"/>
      <c r="L509" s="5"/>
    </row>
    <row r="510">
      <c r="E510" s="5"/>
      <c r="F510" s="5"/>
      <c r="G510" s="5"/>
      <c r="H510" s="5"/>
      <c r="I510" s="5"/>
      <c r="J510" s="5"/>
      <c r="K510" s="5"/>
      <c r="L510" s="5"/>
    </row>
    <row r="511">
      <c r="E511" s="5"/>
      <c r="F511" s="5"/>
      <c r="G511" s="5"/>
      <c r="H511" s="5"/>
      <c r="I511" s="5"/>
      <c r="J511" s="5"/>
      <c r="K511" s="5"/>
      <c r="L511" s="5"/>
    </row>
    <row r="512">
      <c r="E512" s="5"/>
      <c r="F512" s="5"/>
      <c r="G512" s="5"/>
      <c r="H512" s="5"/>
      <c r="I512" s="5"/>
      <c r="J512" s="5"/>
      <c r="K512" s="5"/>
      <c r="L512" s="5"/>
    </row>
    <row r="513">
      <c r="E513" s="5"/>
      <c r="F513" s="5"/>
      <c r="G513" s="5"/>
      <c r="H513" s="5"/>
      <c r="I513" s="5"/>
      <c r="J513" s="5"/>
      <c r="K513" s="5"/>
      <c r="L513" s="5"/>
    </row>
    <row r="514">
      <c r="E514" s="5"/>
      <c r="F514" s="5"/>
      <c r="G514" s="5"/>
      <c r="H514" s="5"/>
      <c r="I514" s="5"/>
      <c r="J514" s="5"/>
      <c r="K514" s="5"/>
      <c r="L514" s="5"/>
    </row>
    <row r="515">
      <c r="E515" s="5"/>
      <c r="F515" s="5"/>
      <c r="G515" s="5"/>
      <c r="H515" s="5"/>
      <c r="I515" s="5"/>
      <c r="J515" s="5"/>
      <c r="K515" s="5"/>
      <c r="L515" s="5"/>
    </row>
    <row r="516">
      <c r="E516" s="5"/>
      <c r="F516" s="5"/>
      <c r="G516" s="5"/>
      <c r="H516" s="5"/>
      <c r="I516" s="5"/>
      <c r="J516" s="5"/>
      <c r="K516" s="5"/>
      <c r="L516" s="5"/>
    </row>
    <row r="517">
      <c r="E517" s="5"/>
      <c r="F517" s="5"/>
      <c r="G517" s="5"/>
      <c r="H517" s="5"/>
      <c r="I517" s="5"/>
      <c r="J517" s="5"/>
      <c r="K517" s="5"/>
      <c r="L517" s="5"/>
    </row>
    <row r="518">
      <c r="E518" s="5"/>
      <c r="F518" s="5"/>
      <c r="G518" s="5"/>
      <c r="H518" s="5"/>
      <c r="I518" s="5"/>
      <c r="J518" s="5"/>
      <c r="K518" s="5"/>
      <c r="L518" s="5"/>
    </row>
    <row r="519">
      <c r="E519" s="5"/>
      <c r="F519" s="5"/>
      <c r="G519" s="5"/>
      <c r="H519" s="5"/>
      <c r="I519" s="5"/>
      <c r="J519" s="5"/>
      <c r="K519" s="5"/>
      <c r="L519" s="5"/>
    </row>
    <row r="520">
      <c r="E520" s="5"/>
      <c r="F520" s="5"/>
      <c r="G520" s="5"/>
      <c r="H520" s="5"/>
      <c r="I520" s="5"/>
      <c r="J520" s="5"/>
      <c r="K520" s="5"/>
      <c r="L520" s="5"/>
    </row>
    <row r="521">
      <c r="E521" s="5"/>
      <c r="F521" s="5"/>
      <c r="G521" s="5"/>
      <c r="H521" s="5"/>
      <c r="I521" s="5"/>
      <c r="J521" s="5"/>
      <c r="K521" s="5"/>
      <c r="L521" s="5"/>
    </row>
    <row r="522">
      <c r="E522" s="5"/>
      <c r="F522" s="5"/>
      <c r="G522" s="5"/>
      <c r="H522" s="5"/>
      <c r="I522" s="5"/>
      <c r="J522" s="5"/>
      <c r="K522" s="5"/>
      <c r="L522" s="5"/>
    </row>
    <row r="523">
      <c r="E523" s="5"/>
      <c r="F523" s="5"/>
      <c r="G523" s="5"/>
      <c r="H523" s="5"/>
      <c r="I523" s="5"/>
      <c r="J523" s="5"/>
      <c r="K523" s="5"/>
      <c r="L523" s="5"/>
    </row>
    <row r="524">
      <c r="E524" s="5"/>
      <c r="F524" s="5"/>
      <c r="G524" s="5"/>
      <c r="H524" s="5"/>
      <c r="I524" s="5"/>
      <c r="J524" s="5"/>
      <c r="K524" s="5"/>
      <c r="L524" s="5"/>
    </row>
    <row r="525">
      <c r="E525" s="5"/>
      <c r="F525" s="5"/>
      <c r="G525" s="5"/>
      <c r="H525" s="5"/>
      <c r="I525" s="5"/>
      <c r="J525" s="5"/>
      <c r="K525" s="5"/>
      <c r="L525" s="5"/>
    </row>
    <row r="526">
      <c r="E526" s="5"/>
      <c r="F526" s="5"/>
      <c r="G526" s="5"/>
      <c r="H526" s="5"/>
      <c r="I526" s="5"/>
      <c r="J526" s="5"/>
      <c r="K526" s="5"/>
      <c r="L526" s="5"/>
    </row>
    <row r="527">
      <c r="E527" s="5"/>
      <c r="F527" s="5"/>
      <c r="G527" s="5"/>
      <c r="H527" s="5"/>
      <c r="I527" s="5"/>
      <c r="J527" s="5"/>
      <c r="K527" s="5"/>
      <c r="L527" s="5"/>
    </row>
    <row r="528">
      <c r="E528" s="5"/>
      <c r="F528" s="5"/>
      <c r="G528" s="5"/>
      <c r="H528" s="5"/>
      <c r="I528" s="5"/>
      <c r="J528" s="5"/>
      <c r="K528" s="5"/>
      <c r="L528" s="5"/>
    </row>
    <row r="529">
      <c r="E529" s="5"/>
      <c r="F529" s="5"/>
      <c r="G529" s="5"/>
      <c r="H529" s="5"/>
      <c r="I529" s="5"/>
      <c r="J529" s="5"/>
      <c r="K529" s="5"/>
      <c r="L529" s="5"/>
    </row>
    <row r="530">
      <c r="E530" s="5"/>
      <c r="F530" s="5"/>
      <c r="G530" s="5"/>
      <c r="H530" s="5"/>
      <c r="I530" s="5"/>
      <c r="J530" s="5"/>
      <c r="K530" s="5"/>
      <c r="L530" s="5"/>
    </row>
    <row r="531">
      <c r="E531" s="5"/>
      <c r="F531" s="5"/>
      <c r="G531" s="5"/>
      <c r="H531" s="5"/>
      <c r="I531" s="5"/>
      <c r="J531" s="5"/>
      <c r="K531" s="5"/>
      <c r="L531" s="5"/>
    </row>
    <row r="532">
      <c r="E532" s="5"/>
      <c r="F532" s="5"/>
      <c r="G532" s="5"/>
      <c r="H532" s="5"/>
      <c r="I532" s="5"/>
      <c r="J532" s="5"/>
      <c r="K532" s="5"/>
      <c r="L532" s="5"/>
    </row>
    <row r="533">
      <c r="E533" s="5"/>
      <c r="F533" s="5"/>
      <c r="G533" s="5"/>
      <c r="H533" s="5"/>
      <c r="I533" s="5"/>
      <c r="J533" s="5"/>
      <c r="K533" s="5"/>
      <c r="L533" s="5"/>
    </row>
    <row r="534">
      <c r="E534" s="5"/>
      <c r="F534" s="5"/>
      <c r="G534" s="5"/>
      <c r="H534" s="5"/>
      <c r="I534" s="5"/>
      <c r="J534" s="5"/>
      <c r="K534" s="5"/>
      <c r="L534" s="5"/>
    </row>
    <row r="535">
      <c r="E535" s="5"/>
      <c r="F535" s="5"/>
      <c r="G535" s="5"/>
      <c r="H535" s="5"/>
      <c r="I535" s="5"/>
      <c r="J535" s="5"/>
      <c r="K535" s="5"/>
      <c r="L535" s="5"/>
    </row>
    <row r="536">
      <c r="E536" s="5"/>
      <c r="F536" s="5"/>
      <c r="G536" s="5"/>
      <c r="H536" s="5"/>
      <c r="I536" s="5"/>
      <c r="J536" s="5"/>
      <c r="K536" s="5"/>
      <c r="L536" s="5"/>
    </row>
    <row r="537">
      <c r="E537" s="5"/>
      <c r="F537" s="5"/>
      <c r="G537" s="5"/>
      <c r="H537" s="5"/>
      <c r="I537" s="5"/>
      <c r="J537" s="5"/>
      <c r="K537" s="5"/>
      <c r="L537" s="5"/>
    </row>
    <row r="538">
      <c r="E538" s="5"/>
      <c r="F538" s="5"/>
      <c r="G538" s="5"/>
      <c r="H538" s="5"/>
      <c r="I538" s="5"/>
      <c r="J538" s="5"/>
      <c r="K538" s="5"/>
      <c r="L538" s="5"/>
    </row>
    <row r="539">
      <c r="E539" s="5"/>
      <c r="F539" s="5"/>
      <c r="G539" s="5"/>
      <c r="H539" s="5"/>
      <c r="I539" s="5"/>
      <c r="J539" s="5"/>
      <c r="K539" s="5"/>
      <c r="L539" s="5"/>
    </row>
    <row r="540">
      <c r="E540" s="5"/>
      <c r="F540" s="5"/>
      <c r="G540" s="5"/>
      <c r="H540" s="5"/>
      <c r="I540" s="5"/>
      <c r="J540" s="5"/>
      <c r="K540" s="5"/>
      <c r="L540" s="5"/>
    </row>
    <row r="541">
      <c r="E541" s="5"/>
      <c r="F541" s="5"/>
      <c r="G541" s="5"/>
      <c r="H541" s="5"/>
      <c r="I541" s="5"/>
      <c r="J541" s="5"/>
      <c r="K541" s="5"/>
      <c r="L541" s="5"/>
    </row>
    <row r="542">
      <c r="E542" s="5"/>
      <c r="F542" s="5"/>
      <c r="G542" s="5"/>
      <c r="H542" s="5"/>
      <c r="I542" s="5"/>
      <c r="J542" s="5"/>
      <c r="K542" s="5"/>
      <c r="L542" s="5"/>
    </row>
    <row r="543">
      <c r="E543" s="5"/>
      <c r="F543" s="5"/>
      <c r="G543" s="5"/>
      <c r="H543" s="5"/>
      <c r="I543" s="5"/>
      <c r="J543" s="5"/>
      <c r="K543" s="5"/>
      <c r="L543" s="5"/>
    </row>
    <row r="544">
      <c r="E544" s="5"/>
      <c r="F544" s="5"/>
      <c r="G544" s="5"/>
      <c r="H544" s="5"/>
      <c r="I544" s="5"/>
      <c r="J544" s="5"/>
      <c r="K544" s="5"/>
      <c r="L544" s="5"/>
    </row>
    <row r="545">
      <c r="E545" s="5"/>
      <c r="F545" s="5"/>
      <c r="G545" s="5"/>
      <c r="H545" s="5"/>
      <c r="I545" s="5"/>
      <c r="J545" s="5"/>
      <c r="K545" s="5"/>
      <c r="L545" s="5"/>
    </row>
    <row r="546">
      <c r="E546" s="5"/>
      <c r="F546" s="5"/>
      <c r="G546" s="5"/>
      <c r="H546" s="5"/>
      <c r="I546" s="5"/>
      <c r="J546" s="5"/>
      <c r="K546" s="5"/>
      <c r="L546" s="5"/>
    </row>
    <row r="547">
      <c r="E547" s="5"/>
      <c r="F547" s="5"/>
      <c r="G547" s="5"/>
      <c r="H547" s="5"/>
      <c r="I547" s="5"/>
      <c r="J547" s="5"/>
      <c r="K547" s="5"/>
      <c r="L547" s="5"/>
    </row>
    <row r="548">
      <c r="E548" s="5"/>
      <c r="F548" s="5"/>
      <c r="G548" s="5"/>
      <c r="H548" s="5"/>
      <c r="I548" s="5"/>
      <c r="J548" s="5"/>
      <c r="K548" s="5"/>
      <c r="L548" s="5"/>
    </row>
    <row r="549">
      <c r="E549" s="5"/>
      <c r="F549" s="5"/>
      <c r="G549" s="5"/>
      <c r="H549" s="5"/>
      <c r="I549" s="5"/>
      <c r="J549" s="5"/>
      <c r="K549" s="5"/>
      <c r="L549" s="5"/>
    </row>
    <row r="550">
      <c r="E550" s="5"/>
      <c r="F550" s="5"/>
      <c r="G550" s="5"/>
      <c r="H550" s="5"/>
      <c r="I550" s="5"/>
      <c r="J550" s="5"/>
      <c r="K550" s="5"/>
      <c r="L550" s="5"/>
    </row>
    <row r="551">
      <c r="E551" s="5"/>
      <c r="F551" s="5"/>
      <c r="G551" s="5"/>
      <c r="H551" s="5"/>
      <c r="I551" s="5"/>
      <c r="J551" s="5"/>
      <c r="K551" s="5"/>
      <c r="L551" s="5"/>
    </row>
    <row r="552">
      <c r="E552" s="5"/>
      <c r="F552" s="5"/>
      <c r="G552" s="5"/>
      <c r="H552" s="5"/>
      <c r="I552" s="5"/>
      <c r="J552" s="5"/>
      <c r="K552" s="5"/>
      <c r="L552" s="5"/>
    </row>
    <row r="553">
      <c r="E553" s="5"/>
      <c r="F553" s="5"/>
      <c r="G553" s="5"/>
      <c r="H553" s="5"/>
      <c r="I553" s="5"/>
      <c r="J553" s="5"/>
      <c r="K553" s="5"/>
      <c r="L553" s="5"/>
    </row>
    <row r="554">
      <c r="E554" s="5"/>
      <c r="F554" s="5"/>
      <c r="G554" s="5"/>
      <c r="H554" s="5"/>
      <c r="I554" s="5"/>
      <c r="J554" s="5"/>
      <c r="K554" s="5"/>
      <c r="L554" s="5"/>
    </row>
    <row r="555">
      <c r="E555" s="5"/>
      <c r="F555" s="5"/>
      <c r="G555" s="5"/>
      <c r="H555" s="5"/>
      <c r="I555" s="5"/>
      <c r="J555" s="5"/>
      <c r="K555" s="5"/>
      <c r="L555" s="5"/>
    </row>
    <row r="556">
      <c r="E556" s="5"/>
      <c r="F556" s="5"/>
      <c r="G556" s="5"/>
      <c r="H556" s="5"/>
      <c r="I556" s="5"/>
      <c r="J556" s="5"/>
      <c r="K556" s="5"/>
      <c r="L556" s="5"/>
    </row>
    <row r="557">
      <c r="E557" s="5"/>
      <c r="F557" s="5"/>
      <c r="G557" s="5"/>
      <c r="H557" s="5"/>
      <c r="I557" s="5"/>
      <c r="J557" s="5"/>
      <c r="K557" s="5"/>
      <c r="L557" s="5"/>
    </row>
    <row r="558">
      <c r="E558" s="5"/>
      <c r="F558" s="5"/>
      <c r="G558" s="5"/>
      <c r="H558" s="5"/>
      <c r="I558" s="5"/>
      <c r="J558" s="5"/>
      <c r="K558" s="5"/>
      <c r="L558" s="5"/>
    </row>
    <row r="559">
      <c r="E559" s="5"/>
      <c r="F559" s="5"/>
      <c r="G559" s="5"/>
      <c r="H559" s="5"/>
      <c r="I559" s="5"/>
      <c r="J559" s="5"/>
      <c r="K559" s="5"/>
      <c r="L559" s="5"/>
    </row>
    <row r="560">
      <c r="E560" s="5"/>
      <c r="F560" s="5"/>
      <c r="G560" s="5"/>
      <c r="H560" s="5"/>
      <c r="I560" s="5"/>
      <c r="J560" s="5"/>
      <c r="K560" s="5"/>
      <c r="L560" s="5"/>
    </row>
    <row r="561">
      <c r="E561" s="5"/>
      <c r="F561" s="5"/>
      <c r="G561" s="5"/>
      <c r="H561" s="5"/>
      <c r="I561" s="5"/>
      <c r="J561" s="5"/>
      <c r="K561" s="5"/>
      <c r="L561" s="5"/>
    </row>
    <row r="562">
      <c r="E562" s="5"/>
      <c r="F562" s="5"/>
      <c r="G562" s="5"/>
      <c r="H562" s="5"/>
      <c r="I562" s="5"/>
      <c r="J562" s="5"/>
      <c r="K562" s="5"/>
      <c r="L562" s="5"/>
    </row>
    <row r="563">
      <c r="E563" s="5"/>
      <c r="F563" s="5"/>
      <c r="G563" s="5"/>
      <c r="H563" s="5"/>
      <c r="I563" s="5"/>
      <c r="J563" s="5"/>
      <c r="K563" s="5"/>
      <c r="L563" s="5"/>
    </row>
    <row r="564">
      <c r="E564" s="5"/>
      <c r="F564" s="5"/>
      <c r="G564" s="5"/>
      <c r="H564" s="5"/>
      <c r="I564" s="5"/>
      <c r="J564" s="5"/>
      <c r="K564" s="5"/>
      <c r="L564" s="5"/>
    </row>
    <row r="565">
      <c r="E565" s="5"/>
      <c r="F565" s="5"/>
      <c r="G565" s="5"/>
      <c r="H565" s="5"/>
      <c r="I565" s="5"/>
      <c r="J565" s="5"/>
      <c r="K565" s="5"/>
      <c r="L565" s="5"/>
    </row>
    <row r="566">
      <c r="E566" s="5"/>
      <c r="F566" s="5"/>
      <c r="G566" s="5"/>
      <c r="H566" s="5"/>
      <c r="I566" s="5"/>
      <c r="J566" s="5"/>
      <c r="K566" s="5"/>
      <c r="L566" s="5"/>
    </row>
    <row r="567">
      <c r="E567" s="5"/>
      <c r="F567" s="5"/>
      <c r="G567" s="5"/>
      <c r="H567" s="5"/>
      <c r="I567" s="5"/>
      <c r="J567" s="5"/>
      <c r="K567" s="5"/>
      <c r="L567" s="5"/>
    </row>
    <row r="568">
      <c r="E568" s="5"/>
      <c r="F568" s="5"/>
      <c r="G568" s="5"/>
      <c r="H568" s="5"/>
      <c r="I568" s="5"/>
      <c r="J568" s="5"/>
      <c r="K568" s="5"/>
      <c r="L568" s="5"/>
    </row>
    <row r="569">
      <c r="E569" s="5"/>
      <c r="F569" s="5"/>
      <c r="G569" s="5"/>
      <c r="H569" s="5"/>
      <c r="I569" s="5"/>
      <c r="J569" s="5"/>
      <c r="K569" s="5"/>
      <c r="L569" s="5"/>
    </row>
    <row r="570">
      <c r="E570" s="5"/>
      <c r="F570" s="5"/>
      <c r="G570" s="5"/>
      <c r="H570" s="5"/>
      <c r="I570" s="5"/>
      <c r="J570" s="5"/>
      <c r="K570" s="5"/>
      <c r="L570" s="5"/>
    </row>
    <row r="571">
      <c r="E571" s="5"/>
      <c r="F571" s="5"/>
      <c r="G571" s="5"/>
      <c r="H571" s="5"/>
      <c r="I571" s="5"/>
      <c r="J571" s="5"/>
      <c r="K571" s="5"/>
      <c r="L571" s="5"/>
    </row>
    <row r="572">
      <c r="E572" s="5"/>
      <c r="F572" s="5"/>
      <c r="G572" s="5"/>
      <c r="H572" s="5"/>
      <c r="I572" s="5"/>
      <c r="J572" s="5"/>
      <c r="K572" s="5"/>
      <c r="L572" s="5"/>
    </row>
    <row r="573">
      <c r="E573" s="5"/>
      <c r="F573" s="5"/>
      <c r="G573" s="5"/>
      <c r="H573" s="5"/>
      <c r="I573" s="5"/>
      <c r="J573" s="5"/>
      <c r="K573" s="5"/>
      <c r="L573" s="5"/>
    </row>
    <row r="574">
      <c r="E574" s="5"/>
      <c r="F574" s="5"/>
      <c r="G574" s="5"/>
      <c r="H574" s="5"/>
      <c r="I574" s="5"/>
      <c r="J574" s="5"/>
      <c r="K574" s="5"/>
      <c r="L574" s="5"/>
    </row>
    <row r="575">
      <c r="E575" s="5"/>
      <c r="F575" s="5"/>
      <c r="G575" s="5"/>
      <c r="H575" s="5"/>
      <c r="I575" s="5"/>
      <c r="J575" s="5"/>
      <c r="K575" s="5"/>
      <c r="L575" s="5"/>
    </row>
    <row r="576">
      <c r="E576" s="5"/>
      <c r="F576" s="5"/>
      <c r="G576" s="5"/>
      <c r="H576" s="5"/>
      <c r="I576" s="5"/>
      <c r="J576" s="5"/>
      <c r="K576" s="5"/>
      <c r="L576" s="5"/>
    </row>
    <row r="577">
      <c r="E577" s="5"/>
      <c r="F577" s="5"/>
      <c r="G577" s="5"/>
      <c r="H577" s="5"/>
      <c r="I577" s="5"/>
      <c r="J577" s="5"/>
      <c r="K577" s="5"/>
      <c r="L577" s="5"/>
    </row>
    <row r="578">
      <c r="E578" s="5"/>
      <c r="F578" s="5"/>
      <c r="G578" s="5"/>
      <c r="H578" s="5"/>
      <c r="I578" s="5"/>
      <c r="J578" s="5"/>
      <c r="K578" s="5"/>
      <c r="L578" s="5"/>
    </row>
    <row r="579">
      <c r="E579" s="5"/>
      <c r="F579" s="5"/>
      <c r="G579" s="5"/>
      <c r="H579" s="5"/>
      <c r="I579" s="5"/>
      <c r="J579" s="5"/>
      <c r="K579" s="5"/>
      <c r="L579" s="5"/>
    </row>
    <row r="580">
      <c r="E580" s="5"/>
      <c r="F580" s="5"/>
      <c r="G580" s="5"/>
      <c r="H580" s="5"/>
      <c r="I580" s="5"/>
      <c r="J580" s="5"/>
      <c r="K580" s="5"/>
      <c r="L580" s="5"/>
    </row>
    <row r="581">
      <c r="E581" s="5"/>
      <c r="F581" s="5"/>
      <c r="G581" s="5"/>
      <c r="H581" s="5"/>
      <c r="I581" s="5"/>
      <c r="J581" s="5"/>
      <c r="K581" s="5"/>
      <c r="L581" s="5"/>
    </row>
    <row r="582">
      <c r="E582" s="5"/>
      <c r="F582" s="5"/>
      <c r="G582" s="5"/>
      <c r="H582" s="5"/>
      <c r="I582" s="5"/>
      <c r="J582" s="5"/>
      <c r="K582" s="5"/>
      <c r="L582" s="5"/>
    </row>
    <row r="583">
      <c r="E583" s="5"/>
      <c r="F583" s="5"/>
      <c r="G583" s="5"/>
      <c r="H583" s="5"/>
      <c r="I583" s="5"/>
      <c r="J583" s="5"/>
      <c r="K583" s="5"/>
      <c r="L583" s="5"/>
    </row>
    <row r="584">
      <c r="E584" s="5"/>
      <c r="F584" s="5"/>
      <c r="G584" s="5"/>
      <c r="H584" s="5"/>
      <c r="I584" s="5"/>
      <c r="J584" s="5"/>
      <c r="K584" s="5"/>
      <c r="L584" s="5"/>
    </row>
    <row r="585">
      <c r="E585" s="5"/>
      <c r="F585" s="5"/>
      <c r="G585" s="5"/>
      <c r="H585" s="5"/>
      <c r="I585" s="5"/>
      <c r="J585" s="5"/>
      <c r="K585" s="5"/>
      <c r="L585" s="5"/>
    </row>
    <row r="586">
      <c r="E586" s="5"/>
      <c r="F586" s="5"/>
      <c r="G586" s="5"/>
      <c r="H586" s="5"/>
      <c r="I586" s="5"/>
      <c r="J586" s="5"/>
      <c r="K586" s="5"/>
      <c r="L586" s="5"/>
    </row>
    <row r="587">
      <c r="E587" s="5"/>
      <c r="F587" s="5"/>
      <c r="G587" s="5"/>
      <c r="H587" s="5"/>
      <c r="I587" s="5"/>
      <c r="J587" s="5"/>
      <c r="K587" s="5"/>
      <c r="L587" s="5"/>
    </row>
    <row r="588">
      <c r="E588" s="5"/>
      <c r="F588" s="5"/>
      <c r="G588" s="5"/>
      <c r="H588" s="5"/>
      <c r="I588" s="5"/>
      <c r="J588" s="5"/>
      <c r="K588" s="5"/>
      <c r="L588" s="5"/>
    </row>
    <row r="589">
      <c r="E589" s="5"/>
      <c r="F589" s="5"/>
      <c r="G589" s="5"/>
      <c r="H589" s="5"/>
      <c r="I589" s="5"/>
      <c r="J589" s="5"/>
      <c r="K589" s="5"/>
      <c r="L589" s="5"/>
    </row>
    <row r="590">
      <c r="E590" s="5"/>
      <c r="F590" s="5"/>
      <c r="G590" s="5"/>
      <c r="H590" s="5"/>
      <c r="I590" s="5"/>
      <c r="J590" s="5"/>
      <c r="K590" s="5"/>
      <c r="L590" s="5"/>
    </row>
    <row r="591">
      <c r="E591" s="5"/>
      <c r="F591" s="5"/>
      <c r="G591" s="5"/>
      <c r="H591" s="5"/>
      <c r="I591" s="5"/>
      <c r="J591" s="5"/>
      <c r="K591" s="5"/>
      <c r="L591" s="5"/>
    </row>
    <row r="592">
      <c r="E592" s="5"/>
      <c r="F592" s="5"/>
      <c r="G592" s="5"/>
      <c r="H592" s="5"/>
      <c r="I592" s="5"/>
      <c r="J592" s="5"/>
      <c r="K592" s="5"/>
      <c r="L592" s="5"/>
    </row>
    <row r="593">
      <c r="E593" s="5"/>
      <c r="F593" s="5"/>
      <c r="G593" s="5"/>
      <c r="H593" s="5"/>
      <c r="I593" s="5"/>
      <c r="J593" s="5"/>
      <c r="K593" s="5"/>
      <c r="L593" s="5"/>
    </row>
    <row r="594">
      <c r="E594" s="5"/>
      <c r="F594" s="5"/>
      <c r="G594" s="5"/>
      <c r="H594" s="5"/>
      <c r="I594" s="5"/>
      <c r="J594" s="5"/>
      <c r="K594" s="5"/>
      <c r="L594" s="5"/>
    </row>
    <row r="595">
      <c r="E595" s="5"/>
      <c r="F595" s="5"/>
      <c r="G595" s="5"/>
      <c r="H595" s="5"/>
      <c r="I595" s="5"/>
      <c r="J595" s="5"/>
      <c r="K595" s="5"/>
      <c r="L595" s="5"/>
    </row>
    <row r="596">
      <c r="E596" s="5"/>
      <c r="F596" s="5"/>
      <c r="G596" s="5"/>
      <c r="H596" s="5"/>
      <c r="I596" s="5"/>
      <c r="J596" s="5"/>
      <c r="K596" s="5"/>
      <c r="L596" s="5"/>
    </row>
    <row r="597">
      <c r="E597" s="5"/>
      <c r="F597" s="5"/>
      <c r="G597" s="5"/>
      <c r="H597" s="5"/>
      <c r="I597" s="5"/>
      <c r="J597" s="5"/>
      <c r="K597" s="5"/>
      <c r="L597" s="5"/>
    </row>
    <row r="598">
      <c r="E598" s="5"/>
      <c r="F598" s="5"/>
      <c r="G598" s="5"/>
      <c r="H598" s="5"/>
      <c r="I598" s="5"/>
      <c r="J598" s="5"/>
      <c r="K598" s="5"/>
      <c r="L598" s="5"/>
    </row>
    <row r="599">
      <c r="E599" s="5"/>
      <c r="F599" s="5"/>
      <c r="G599" s="5"/>
      <c r="H599" s="5"/>
      <c r="I599" s="5"/>
      <c r="J599" s="5"/>
      <c r="K599" s="5"/>
      <c r="L599" s="5"/>
    </row>
    <row r="600">
      <c r="E600" s="5"/>
      <c r="F600" s="5"/>
      <c r="G600" s="5"/>
      <c r="H600" s="5"/>
      <c r="I600" s="5"/>
      <c r="J600" s="5"/>
      <c r="K600" s="5"/>
      <c r="L600" s="5"/>
    </row>
    <row r="601">
      <c r="E601" s="5"/>
      <c r="F601" s="5"/>
      <c r="G601" s="5"/>
      <c r="H601" s="5"/>
      <c r="I601" s="5"/>
      <c r="J601" s="5"/>
      <c r="K601" s="5"/>
      <c r="L601" s="5"/>
    </row>
    <row r="602">
      <c r="E602" s="5"/>
      <c r="F602" s="5"/>
      <c r="G602" s="5"/>
      <c r="H602" s="5"/>
      <c r="I602" s="5"/>
      <c r="J602" s="5"/>
      <c r="K602" s="5"/>
      <c r="L602" s="5"/>
    </row>
    <row r="603">
      <c r="E603" s="5"/>
      <c r="F603" s="5"/>
      <c r="G603" s="5"/>
      <c r="H603" s="5"/>
      <c r="I603" s="5"/>
      <c r="J603" s="5"/>
      <c r="K603" s="5"/>
      <c r="L603" s="5"/>
    </row>
    <row r="604">
      <c r="E604" s="5"/>
      <c r="F604" s="5"/>
      <c r="G604" s="5"/>
      <c r="H604" s="5"/>
      <c r="I604" s="5"/>
      <c r="J604" s="5"/>
      <c r="K604" s="5"/>
      <c r="L604" s="5"/>
    </row>
    <row r="605">
      <c r="E605" s="5"/>
      <c r="F605" s="5"/>
      <c r="G605" s="5"/>
      <c r="H605" s="5"/>
      <c r="I605" s="5"/>
      <c r="J605" s="5"/>
      <c r="K605" s="5"/>
      <c r="L605" s="5"/>
    </row>
    <row r="606">
      <c r="E606" s="5"/>
      <c r="F606" s="5"/>
      <c r="G606" s="5"/>
      <c r="H606" s="5"/>
      <c r="I606" s="5"/>
      <c r="J606" s="5"/>
      <c r="K606" s="5"/>
      <c r="L606" s="5"/>
    </row>
    <row r="607">
      <c r="E607" s="5"/>
      <c r="F607" s="5"/>
      <c r="G607" s="5"/>
      <c r="H607" s="5"/>
      <c r="I607" s="5"/>
      <c r="J607" s="5"/>
      <c r="K607" s="5"/>
      <c r="L607" s="5"/>
    </row>
    <row r="608">
      <c r="E608" s="5"/>
      <c r="F608" s="5"/>
      <c r="G608" s="5"/>
      <c r="H608" s="5"/>
      <c r="I608" s="5"/>
      <c r="J608" s="5"/>
      <c r="K608" s="5"/>
      <c r="L608" s="5"/>
    </row>
    <row r="609">
      <c r="E609" s="5"/>
      <c r="F609" s="5"/>
      <c r="G609" s="5"/>
      <c r="H609" s="5"/>
      <c r="I609" s="5"/>
      <c r="J609" s="5"/>
      <c r="K609" s="5"/>
      <c r="L609" s="5"/>
    </row>
    <row r="610">
      <c r="E610" s="5"/>
      <c r="F610" s="5"/>
      <c r="G610" s="5"/>
      <c r="H610" s="5"/>
      <c r="I610" s="5"/>
      <c r="J610" s="5"/>
      <c r="K610" s="5"/>
      <c r="L610" s="5"/>
    </row>
    <row r="611">
      <c r="E611" s="5"/>
      <c r="F611" s="5"/>
      <c r="G611" s="5"/>
      <c r="H611" s="5"/>
      <c r="I611" s="5"/>
      <c r="J611" s="5"/>
      <c r="K611" s="5"/>
      <c r="L611" s="5"/>
    </row>
    <row r="612">
      <c r="E612" s="5"/>
      <c r="F612" s="5"/>
      <c r="G612" s="5"/>
      <c r="H612" s="5"/>
      <c r="I612" s="5"/>
      <c r="J612" s="5"/>
      <c r="K612" s="5"/>
      <c r="L612" s="5"/>
    </row>
    <row r="613">
      <c r="E613" s="5"/>
      <c r="F613" s="5"/>
      <c r="G613" s="5"/>
      <c r="H613" s="5"/>
      <c r="I613" s="5"/>
      <c r="J613" s="5"/>
      <c r="K613" s="5"/>
      <c r="L613" s="5"/>
    </row>
    <row r="614">
      <c r="E614" s="5"/>
      <c r="F614" s="5"/>
      <c r="G614" s="5"/>
      <c r="H614" s="5"/>
      <c r="I614" s="5"/>
      <c r="J614" s="5"/>
      <c r="K614" s="5"/>
      <c r="L614" s="5"/>
    </row>
    <row r="615">
      <c r="E615" s="5"/>
      <c r="F615" s="5"/>
      <c r="G615" s="5"/>
      <c r="H615" s="5"/>
      <c r="I615" s="5"/>
      <c r="J615" s="5"/>
      <c r="K615" s="5"/>
      <c r="L615" s="5"/>
    </row>
    <row r="616">
      <c r="E616" s="5"/>
      <c r="F616" s="5"/>
      <c r="G616" s="5"/>
      <c r="H616" s="5"/>
      <c r="I616" s="5"/>
      <c r="J616" s="5"/>
      <c r="K616" s="5"/>
      <c r="L616" s="5"/>
    </row>
    <row r="617">
      <c r="E617" s="5"/>
      <c r="F617" s="5"/>
      <c r="G617" s="5"/>
      <c r="H617" s="5"/>
      <c r="I617" s="5"/>
      <c r="J617" s="5"/>
      <c r="K617" s="5"/>
      <c r="L617" s="5"/>
    </row>
    <row r="618">
      <c r="E618" s="5"/>
      <c r="F618" s="5"/>
      <c r="G618" s="5"/>
      <c r="H618" s="5"/>
      <c r="I618" s="5"/>
      <c r="J618" s="5"/>
      <c r="K618" s="5"/>
      <c r="L618" s="5"/>
    </row>
    <row r="619">
      <c r="E619" s="5"/>
      <c r="F619" s="5"/>
      <c r="G619" s="5"/>
      <c r="H619" s="5"/>
      <c r="I619" s="5"/>
      <c r="J619" s="5"/>
      <c r="K619" s="5"/>
      <c r="L619" s="5"/>
    </row>
    <row r="620">
      <c r="E620" s="5"/>
      <c r="F620" s="5"/>
      <c r="G620" s="5"/>
      <c r="H620" s="5"/>
      <c r="I620" s="5"/>
      <c r="J620" s="5"/>
      <c r="K620" s="5"/>
      <c r="L620" s="5"/>
    </row>
    <row r="621">
      <c r="E621" s="5"/>
      <c r="F621" s="5"/>
      <c r="G621" s="5"/>
      <c r="H621" s="5"/>
      <c r="I621" s="5"/>
      <c r="J621" s="5"/>
      <c r="K621" s="5"/>
      <c r="L621" s="5"/>
    </row>
    <row r="622">
      <c r="E622" s="5"/>
      <c r="F622" s="5"/>
      <c r="G622" s="5"/>
      <c r="H622" s="5"/>
      <c r="I622" s="5"/>
      <c r="J622" s="5"/>
      <c r="K622" s="5"/>
      <c r="L622" s="5"/>
    </row>
    <row r="623">
      <c r="E623" s="5"/>
      <c r="F623" s="5"/>
      <c r="G623" s="5"/>
      <c r="H623" s="5"/>
      <c r="I623" s="5"/>
      <c r="J623" s="5"/>
      <c r="K623" s="5"/>
      <c r="L623" s="5"/>
    </row>
    <row r="624">
      <c r="E624" s="5"/>
      <c r="F624" s="5"/>
      <c r="G624" s="5"/>
      <c r="H624" s="5"/>
      <c r="I624" s="5"/>
      <c r="J624" s="5"/>
      <c r="K624" s="5"/>
      <c r="L624" s="5"/>
    </row>
    <row r="625">
      <c r="E625" s="5"/>
      <c r="F625" s="5"/>
      <c r="G625" s="5"/>
      <c r="H625" s="5"/>
      <c r="I625" s="5"/>
      <c r="J625" s="5"/>
      <c r="K625" s="5"/>
      <c r="L625" s="5"/>
    </row>
    <row r="626">
      <c r="E626" s="5"/>
      <c r="F626" s="5"/>
      <c r="G626" s="5"/>
      <c r="H626" s="5"/>
      <c r="I626" s="5"/>
      <c r="J626" s="5"/>
      <c r="K626" s="5"/>
      <c r="L626" s="5"/>
    </row>
    <row r="627">
      <c r="E627" s="5"/>
      <c r="F627" s="5"/>
      <c r="G627" s="5"/>
      <c r="H627" s="5"/>
      <c r="I627" s="5"/>
      <c r="J627" s="5"/>
      <c r="K627" s="5"/>
      <c r="L627" s="5"/>
    </row>
    <row r="628">
      <c r="E628" s="5"/>
      <c r="F628" s="5"/>
      <c r="G628" s="5"/>
      <c r="H628" s="5"/>
      <c r="I628" s="5"/>
      <c r="J628" s="5"/>
      <c r="K628" s="5"/>
      <c r="L628" s="5"/>
    </row>
    <row r="629">
      <c r="E629" s="5"/>
      <c r="F629" s="5"/>
      <c r="G629" s="5"/>
      <c r="H629" s="5"/>
      <c r="I629" s="5"/>
      <c r="J629" s="5"/>
      <c r="K629" s="5"/>
      <c r="L629" s="5"/>
    </row>
    <row r="630">
      <c r="E630" s="5"/>
      <c r="F630" s="5"/>
      <c r="G630" s="5"/>
      <c r="H630" s="5"/>
      <c r="I630" s="5"/>
      <c r="J630" s="5"/>
      <c r="K630" s="5"/>
      <c r="L630" s="5"/>
    </row>
    <row r="631">
      <c r="E631" s="5"/>
      <c r="F631" s="5"/>
      <c r="G631" s="5"/>
      <c r="H631" s="5"/>
      <c r="I631" s="5"/>
      <c r="J631" s="5"/>
      <c r="K631" s="5"/>
      <c r="L631" s="5"/>
    </row>
    <row r="632">
      <c r="E632" s="5"/>
      <c r="F632" s="5"/>
      <c r="G632" s="5"/>
      <c r="H632" s="5"/>
      <c r="I632" s="5"/>
      <c r="J632" s="5"/>
      <c r="K632" s="5"/>
      <c r="L632" s="5"/>
    </row>
    <row r="633">
      <c r="E633" s="5"/>
      <c r="F633" s="5"/>
      <c r="G633" s="5"/>
      <c r="H633" s="5"/>
      <c r="I633" s="5"/>
      <c r="J633" s="5"/>
      <c r="K633" s="5"/>
      <c r="L633" s="5"/>
    </row>
    <row r="634">
      <c r="E634" s="5"/>
      <c r="F634" s="5"/>
      <c r="G634" s="5"/>
      <c r="H634" s="5"/>
      <c r="I634" s="5"/>
      <c r="J634" s="5"/>
      <c r="K634" s="5"/>
      <c r="L634" s="5"/>
    </row>
    <row r="635">
      <c r="E635" s="5"/>
      <c r="F635" s="5"/>
      <c r="G635" s="5"/>
      <c r="H635" s="5"/>
      <c r="I635" s="5"/>
      <c r="J635" s="5"/>
      <c r="K635" s="5"/>
      <c r="L635" s="5"/>
    </row>
    <row r="636">
      <c r="E636" s="5"/>
      <c r="F636" s="5"/>
      <c r="G636" s="5"/>
      <c r="H636" s="5"/>
      <c r="I636" s="5"/>
      <c r="J636" s="5"/>
      <c r="K636" s="5"/>
      <c r="L636" s="5"/>
    </row>
    <row r="637">
      <c r="E637" s="5"/>
      <c r="F637" s="5"/>
      <c r="G637" s="5"/>
      <c r="H637" s="5"/>
      <c r="I637" s="5"/>
      <c r="J637" s="5"/>
      <c r="K637" s="5"/>
      <c r="L637" s="5"/>
    </row>
    <row r="638">
      <c r="E638" s="5"/>
      <c r="F638" s="5"/>
      <c r="G638" s="5"/>
      <c r="H638" s="5"/>
      <c r="I638" s="5"/>
      <c r="J638" s="5"/>
      <c r="K638" s="5"/>
      <c r="L638" s="5"/>
    </row>
    <row r="639">
      <c r="E639" s="5"/>
      <c r="F639" s="5"/>
      <c r="G639" s="5"/>
      <c r="H639" s="5"/>
      <c r="I639" s="5"/>
      <c r="J639" s="5"/>
      <c r="K639" s="5"/>
      <c r="L639" s="5"/>
    </row>
    <row r="640">
      <c r="E640" s="5"/>
      <c r="F640" s="5"/>
      <c r="G640" s="5"/>
      <c r="H640" s="5"/>
      <c r="I640" s="5"/>
      <c r="J640" s="5"/>
      <c r="K640" s="5"/>
      <c r="L640" s="5"/>
    </row>
    <row r="641">
      <c r="E641" s="5"/>
      <c r="F641" s="5"/>
      <c r="G641" s="5"/>
      <c r="H641" s="5"/>
      <c r="I641" s="5"/>
      <c r="J641" s="5"/>
      <c r="K641" s="5"/>
      <c r="L641" s="5"/>
    </row>
    <row r="642">
      <c r="E642" s="5"/>
      <c r="F642" s="5"/>
      <c r="G642" s="5"/>
      <c r="H642" s="5"/>
      <c r="I642" s="5"/>
      <c r="J642" s="5"/>
      <c r="K642" s="5"/>
      <c r="L642" s="5"/>
    </row>
    <row r="643">
      <c r="E643" s="5"/>
      <c r="F643" s="5"/>
      <c r="G643" s="5"/>
      <c r="H643" s="5"/>
      <c r="I643" s="5"/>
      <c r="J643" s="5"/>
      <c r="K643" s="5"/>
      <c r="L643" s="5"/>
    </row>
    <row r="644">
      <c r="E644" s="5"/>
      <c r="F644" s="5"/>
      <c r="G644" s="5"/>
      <c r="H644" s="5"/>
      <c r="I644" s="5"/>
      <c r="J644" s="5"/>
      <c r="K644" s="5"/>
      <c r="L644" s="5"/>
    </row>
    <row r="645">
      <c r="E645" s="5"/>
      <c r="F645" s="5"/>
      <c r="G645" s="5"/>
      <c r="H645" s="5"/>
      <c r="I645" s="5"/>
      <c r="J645" s="5"/>
      <c r="K645" s="5"/>
      <c r="L645" s="5"/>
    </row>
    <row r="646">
      <c r="E646" s="5"/>
      <c r="F646" s="5"/>
      <c r="G646" s="5"/>
      <c r="H646" s="5"/>
      <c r="I646" s="5"/>
      <c r="J646" s="5"/>
      <c r="K646" s="5"/>
      <c r="L646" s="5"/>
    </row>
    <row r="647">
      <c r="E647" s="5"/>
      <c r="F647" s="5"/>
      <c r="G647" s="5"/>
      <c r="H647" s="5"/>
      <c r="I647" s="5"/>
      <c r="J647" s="5"/>
      <c r="K647" s="5"/>
      <c r="L647" s="5"/>
    </row>
    <row r="648">
      <c r="E648" s="5"/>
      <c r="F648" s="5"/>
      <c r="G648" s="5"/>
      <c r="H648" s="5"/>
      <c r="I648" s="5"/>
      <c r="J648" s="5"/>
      <c r="K648" s="5"/>
      <c r="L648" s="5"/>
    </row>
    <row r="649">
      <c r="E649" s="5"/>
      <c r="F649" s="5"/>
      <c r="G649" s="5"/>
      <c r="H649" s="5"/>
      <c r="I649" s="5"/>
      <c r="J649" s="5"/>
      <c r="K649" s="5"/>
      <c r="L649" s="5"/>
    </row>
    <row r="650">
      <c r="E650" s="5"/>
      <c r="F650" s="5"/>
      <c r="G650" s="5"/>
      <c r="H650" s="5"/>
      <c r="I650" s="5"/>
      <c r="J650" s="5"/>
      <c r="K650" s="5"/>
      <c r="L650" s="5"/>
    </row>
    <row r="651">
      <c r="E651" s="5"/>
      <c r="F651" s="5"/>
      <c r="G651" s="5"/>
      <c r="H651" s="5"/>
      <c r="I651" s="5"/>
      <c r="J651" s="5"/>
      <c r="K651" s="5"/>
      <c r="L651" s="5"/>
    </row>
    <row r="652">
      <c r="E652" s="5"/>
      <c r="F652" s="5"/>
      <c r="G652" s="5"/>
      <c r="H652" s="5"/>
      <c r="I652" s="5"/>
      <c r="J652" s="5"/>
      <c r="K652" s="5"/>
      <c r="L652" s="5"/>
    </row>
    <row r="653">
      <c r="E653" s="5"/>
      <c r="F653" s="5"/>
      <c r="G653" s="5"/>
      <c r="H653" s="5"/>
      <c r="I653" s="5"/>
      <c r="J653" s="5"/>
      <c r="K653" s="5"/>
      <c r="L653" s="5"/>
    </row>
    <row r="654">
      <c r="E654" s="5"/>
      <c r="F654" s="5"/>
      <c r="G654" s="5"/>
      <c r="H654" s="5"/>
      <c r="I654" s="5"/>
      <c r="J654" s="5"/>
      <c r="K654" s="5"/>
      <c r="L654" s="5"/>
    </row>
    <row r="655">
      <c r="E655" s="5"/>
      <c r="F655" s="5"/>
      <c r="G655" s="5"/>
      <c r="H655" s="5"/>
      <c r="I655" s="5"/>
      <c r="J655" s="5"/>
      <c r="K655" s="5"/>
      <c r="L655" s="5"/>
    </row>
    <row r="656">
      <c r="E656" s="5"/>
      <c r="F656" s="5"/>
      <c r="G656" s="5"/>
      <c r="H656" s="5"/>
      <c r="I656" s="5"/>
      <c r="J656" s="5"/>
      <c r="K656" s="5"/>
      <c r="L656" s="5"/>
    </row>
    <row r="657">
      <c r="E657" s="5"/>
      <c r="F657" s="5"/>
      <c r="G657" s="5"/>
      <c r="H657" s="5"/>
      <c r="I657" s="5"/>
      <c r="J657" s="5"/>
      <c r="K657" s="5"/>
      <c r="L657" s="5"/>
    </row>
    <row r="658">
      <c r="E658" s="5"/>
      <c r="F658" s="5"/>
      <c r="G658" s="5"/>
      <c r="H658" s="5"/>
      <c r="I658" s="5"/>
      <c r="J658" s="5"/>
      <c r="K658" s="5"/>
      <c r="L658" s="5"/>
    </row>
    <row r="659">
      <c r="E659" s="5"/>
      <c r="F659" s="5"/>
      <c r="G659" s="5"/>
      <c r="H659" s="5"/>
      <c r="I659" s="5"/>
      <c r="J659" s="5"/>
      <c r="K659" s="5"/>
      <c r="L659" s="5"/>
    </row>
    <row r="660">
      <c r="E660" s="5"/>
      <c r="F660" s="5"/>
      <c r="G660" s="5"/>
      <c r="H660" s="5"/>
      <c r="I660" s="5"/>
      <c r="J660" s="5"/>
      <c r="K660" s="5"/>
      <c r="L660" s="5"/>
    </row>
    <row r="661">
      <c r="E661" s="5"/>
      <c r="F661" s="5"/>
      <c r="G661" s="5"/>
      <c r="H661" s="5"/>
      <c r="I661" s="5"/>
      <c r="J661" s="5"/>
      <c r="K661" s="5"/>
      <c r="L661" s="5"/>
    </row>
    <row r="662">
      <c r="E662" s="5"/>
      <c r="F662" s="5"/>
      <c r="G662" s="5"/>
      <c r="H662" s="5"/>
      <c r="I662" s="5"/>
      <c r="J662" s="5"/>
      <c r="K662" s="5"/>
      <c r="L662" s="5"/>
    </row>
    <row r="663">
      <c r="E663" s="5"/>
      <c r="F663" s="5"/>
      <c r="G663" s="5"/>
      <c r="H663" s="5"/>
      <c r="I663" s="5"/>
      <c r="J663" s="5"/>
      <c r="K663" s="5"/>
      <c r="L663" s="5"/>
    </row>
    <row r="664">
      <c r="E664" s="5"/>
      <c r="F664" s="5"/>
      <c r="G664" s="5"/>
      <c r="H664" s="5"/>
      <c r="I664" s="5"/>
      <c r="J664" s="5"/>
      <c r="K664" s="5"/>
      <c r="L664" s="5"/>
    </row>
  </sheetData>
  <conditionalFormatting sqref="E1:E664 G1:G664 I1:I664 F2:F103 H2:H103 J2:L103">
    <cfRule type="containsText" dxfId="0" priority="1" operator="containsText" text="yes">
      <formula>NOT(ISERROR(SEARCH(("yes"),(E1))))</formula>
    </cfRule>
  </conditionalFormatting>
  <conditionalFormatting sqref="E1:E664 G1:G664 I1:I664 F2:F103 H2:H103 J2:L103">
    <cfRule type="containsText" dxfId="1" priority="2" operator="containsText" text="decent">
      <formula>NOT(ISERROR(SEARCH(("decent"),(E1))))</formula>
    </cfRule>
  </conditionalFormatting>
  <conditionalFormatting sqref="F97">
    <cfRule type="containsText" dxfId="6" priority="3" operator="containsText" text="probably not">
      <formula>NOT(ISERROR(SEARCH(("probably not"),(F97))))</formula>
    </cfRule>
  </conditionalFormatting>
  <conditionalFormatting sqref="F97">
    <cfRule type="containsText" dxfId="1" priority="4" operator="containsText" text="probably">
      <formula>NOT(ISERROR(SEARCH(("probably"),(F97))))</formula>
    </cfRule>
  </conditionalFormatting>
  <conditionalFormatting sqref="E1:E664 G1:G664 I1:I664 F2:F103 H2:H103 J2:L103">
    <cfRule type="containsText" dxfId="2" priority="5" operator="containsText" text="maybe">
      <formula>NOT(ISERROR(SEARCH(("maybe"),(E1))))</formula>
    </cfRule>
  </conditionalFormatting>
  <conditionalFormatting sqref="E1:E664 G1:G664 I1:I664 F2:F103 H2:H103 J2:L103">
    <cfRule type="containsText" dxfId="3" priority="6" operator="containsText" text="no">
      <formula>NOT(ISERROR(SEARCH(("no"),(E1))))</formula>
    </cfRule>
  </conditionalFormatting>
  <conditionalFormatting sqref="L1:L664">
    <cfRule type="cellIs" dxfId="4" priority="7" operator="lessThanOrEqual">
      <formula>1</formula>
    </cfRule>
  </conditionalFormatting>
  <conditionalFormatting sqref="L1:L664">
    <cfRule type="cellIs" dxfId="4" priority="8" operator="greaterThanOrEqual">
      <formula>5</formula>
    </cfRule>
  </conditionalFormatting>
  <conditionalFormatting sqref="L1:L664">
    <cfRule type="cellIs" dxfId="5" priority="9" operator="lessThanOrEqual">
      <formula>2</formula>
    </cfRule>
  </conditionalFormatting>
  <conditionalFormatting sqref="L1:L664">
    <cfRule type="cellIs" dxfId="5" priority="10" operator="greaterThanOrEqual">
      <formula>4</formula>
    </cfRule>
  </conditionalFormatting>
  <conditionalFormatting sqref="L1:L664">
    <cfRule type="cellIs" dxfId="0" priority="11" operator="between">
      <formula>2</formula>
      <formula>4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2.0" ySplit="1.0" topLeftCell="M2" activePane="bottomRight" state="frozen"/>
      <selection activeCell="M1" sqref="M1" pane="topRight"/>
      <selection activeCell="A2" sqref="A2" pane="bottomLeft"/>
      <selection activeCell="M2" sqref="M2" pane="bottomRight"/>
    </sheetView>
  </sheetViews>
  <sheetFormatPr customHeight="1" defaultColWidth="12.63" defaultRowHeight="15.75"/>
  <cols>
    <col customWidth="1" min="4" max="4" width="17.25"/>
    <col customWidth="1" min="5" max="5" width="12.5"/>
    <col customWidth="1" min="6" max="6" width="20.88"/>
    <col customWidth="1" min="7" max="7" width="9.75"/>
    <col customWidth="1" min="8" max="8" width="8.88"/>
    <col customWidth="1" min="9" max="9" width="9.88"/>
    <col customWidth="1" min="10" max="10" width="8.88"/>
    <col customWidth="1" min="11" max="12" width="14.75"/>
  </cols>
  <sheetData>
    <row r="1">
      <c r="A1" s="1"/>
      <c r="B1" s="1" t="s">
        <v>0</v>
      </c>
      <c r="C1" s="1"/>
      <c r="D1" s="1" t="s">
        <v>1</v>
      </c>
      <c r="E1" s="3" t="s">
        <v>3</v>
      </c>
      <c r="F1" s="3" t="s">
        <v>4</v>
      </c>
      <c r="G1" s="3" t="s">
        <v>5</v>
      </c>
      <c r="H1" s="3" t="s">
        <v>4</v>
      </c>
      <c r="I1" s="2" t="s">
        <v>6</v>
      </c>
      <c r="J1" s="2" t="s">
        <v>4</v>
      </c>
      <c r="K1" s="2" t="s">
        <v>2</v>
      </c>
      <c r="L1" s="2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</row>
    <row r="2">
      <c r="A2" s="1" t="s">
        <v>19</v>
      </c>
      <c r="B2" s="1" t="s">
        <v>116</v>
      </c>
      <c r="C2" s="1" t="s">
        <v>73</v>
      </c>
      <c r="D2" s="1" t="s">
        <v>117</v>
      </c>
      <c r="E2" s="3" t="str">
        <f>'res269 Ari'!C2</f>
        <v>maybe</v>
      </c>
      <c r="F2" s="3" t="str">
        <f>'res269 Ari'!D2</f>
        <v/>
      </c>
      <c r="G2" s="3" t="str">
        <f>'res269 Summer'!C2</f>
        <v>decent</v>
      </c>
      <c r="H2" s="3" t="str">
        <f>'res269 Summer'!D2</f>
        <v/>
      </c>
      <c r="I2" s="3" t="s">
        <v>24</v>
      </c>
      <c r="J2" s="3" t="str">
        <f>'res269 Mary Shay'!D2</f>
        <v/>
      </c>
      <c r="K2" s="3" t="s">
        <v>118</v>
      </c>
      <c r="L2" s="3">
        <v>2.2694</v>
      </c>
      <c r="M2" s="1" t="str">
        <f>IFERROR(__xludf.DUMMYFUNCTION("IFERROR(REGEXEXTRACT(G2, ""res(269|122)""), ""none"")"),"none")</f>
        <v>none</v>
      </c>
      <c r="N2" s="1">
        <v>-16.620105</v>
      </c>
      <c r="O2" s="1">
        <v>12.0</v>
      </c>
      <c r="P2" s="1">
        <v>3.0</v>
      </c>
      <c r="Q2" s="1">
        <v>0.416667</v>
      </c>
      <c r="R2" s="1">
        <v>2.0</v>
      </c>
      <c r="S2" s="1">
        <v>-0.664324</v>
      </c>
      <c r="T2" s="1">
        <v>100.0</v>
      </c>
      <c r="U2" s="1">
        <v>0.0</v>
      </c>
      <c r="V2" s="1">
        <v>0.0</v>
      </c>
      <c r="W2" s="1">
        <v>100.132238</v>
      </c>
    </row>
    <row r="3">
      <c r="A3" s="1" t="s">
        <v>19</v>
      </c>
      <c r="B3" s="1" t="s">
        <v>72</v>
      </c>
      <c r="C3" s="1" t="s">
        <v>73</v>
      </c>
      <c r="D3" s="1" t="s">
        <v>74</v>
      </c>
      <c r="E3" s="3" t="str">
        <f>'res269 Ari'!C5</f>
        <v>decent</v>
      </c>
      <c r="F3" s="3" t="str">
        <f>'res269 Ari'!D5</f>
        <v/>
      </c>
      <c r="G3" s="3" t="str">
        <f>'res269 Summer'!C5</f>
        <v>decent</v>
      </c>
      <c r="H3" s="3" t="str">
        <f>'res269 Summer'!D5</f>
        <v/>
      </c>
      <c r="I3" s="3" t="s">
        <v>26</v>
      </c>
      <c r="J3" s="3" t="str">
        <f>'res269 Mary Shay'!D5</f>
        <v/>
      </c>
      <c r="K3" s="3" t="s">
        <v>75</v>
      </c>
      <c r="L3" s="3">
        <v>2.8567</v>
      </c>
      <c r="M3" s="1" t="str">
        <f>IFERROR(__xludf.DUMMYFUNCTION("IFERROR(REGEXEXTRACT(G3, ""res(269|122)""), ""none"")"),"none")</f>
        <v>none</v>
      </c>
      <c r="N3" s="1">
        <v>-15.124595</v>
      </c>
      <c r="O3" s="1">
        <v>8.0</v>
      </c>
      <c r="P3" s="1">
        <v>5.0</v>
      </c>
      <c r="Q3" s="1">
        <v>0.375</v>
      </c>
      <c r="R3" s="1">
        <v>2.0</v>
      </c>
      <c r="S3" s="1">
        <v>-0.84012</v>
      </c>
      <c r="T3" s="1">
        <v>100.0</v>
      </c>
      <c r="U3" s="1">
        <v>0.0</v>
      </c>
      <c r="V3" s="1">
        <v>0.0</v>
      </c>
      <c r="W3" s="1">
        <v>99.410285</v>
      </c>
    </row>
    <row r="4">
      <c r="A4" s="1" t="s">
        <v>19</v>
      </c>
      <c r="B4" s="1" t="s">
        <v>119</v>
      </c>
      <c r="C4" s="1" t="s">
        <v>73</v>
      </c>
      <c r="D4" s="1" t="s">
        <v>120</v>
      </c>
      <c r="E4" s="3" t="str">
        <f>'res269 Ari'!C7</f>
        <v>maybe</v>
      </c>
      <c r="F4" s="3" t="str">
        <f>'res269 Ari'!D7</f>
        <v/>
      </c>
      <c r="G4" s="3" t="str">
        <f>'res269 Summer'!C7</f>
        <v>decent</v>
      </c>
      <c r="H4" s="3" t="str">
        <f>'res269 Summer'!D7</f>
        <v/>
      </c>
      <c r="I4" s="3" t="s">
        <v>95</v>
      </c>
      <c r="J4" s="3" t="str">
        <f>'res269 Mary Shay'!D7</f>
        <v/>
      </c>
      <c r="K4" s="3" t="s">
        <v>121</v>
      </c>
      <c r="L4" s="3">
        <v>3.8803</v>
      </c>
      <c r="M4" s="1" t="str">
        <f>IFERROR(__xludf.DUMMYFUNCTION("IFERROR(REGEXEXTRACT(G4, ""res(269|122)""), ""none"")"),"none")</f>
        <v>none</v>
      </c>
      <c r="N4" s="1">
        <v>-15.234041</v>
      </c>
      <c r="O4" s="1">
        <v>8.0</v>
      </c>
      <c r="P4" s="1">
        <v>3.0</v>
      </c>
      <c r="Q4" s="1">
        <v>0.25</v>
      </c>
      <c r="R4" s="1">
        <v>3.0</v>
      </c>
      <c r="S4" s="1">
        <v>-0.552818</v>
      </c>
      <c r="T4" s="1">
        <v>100.0</v>
      </c>
      <c r="U4" s="1">
        <v>0.0</v>
      </c>
      <c r="V4" s="1">
        <v>0.0</v>
      </c>
      <c r="W4" s="1">
        <v>98.463141</v>
      </c>
    </row>
    <row r="5">
      <c r="A5" s="1" t="s">
        <v>19</v>
      </c>
      <c r="B5" s="1" t="s">
        <v>76</v>
      </c>
      <c r="C5" s="1" t="s">
        <v>73</v>
      </c>
      <c r="D5" s="1" t="s">
        <v>77</v>
      </c>
      <c r="E5" s="3" t="str">
        <f>'res269 Ari'!C8</f>
        <v>decent</v>
      </c>
      <c r="F5" s="3" t="str">
        <f>'res269 Ari'!D8</f>
        <v/>
      </c>
      <c r="G5" s="3" t="str">
        <f>'res269 Summer'!C8</f>
        <v>decent</v>
      </c>
      <c r="H5" s="3" t="str">
        <f>'res269 Summer'!D8</f>
        <v/>
      </c>
      <c r="I5" s="3" t="s">
        <v>26</v>
      </c>
      <c r="J5" s="3" t="str">
        <f>'res269 Mary Shay'!D8</f>
        <v/>
      </c>
      <c r="K5" s="3" t="s">
        <v>78</v>
      </c>
      <c r="L5" s="3">
        <v>1.89272</v>
      </c>
      <c r="M5" s="1" t="str">
        <f>IFERROR(__xludf.DUMMYFUNCTION("IFERROR(REGEXEXTRACT(G5, ""res(269|122)""), ""none"")"),"none")</f>
        <v>none</v>
      </c>
      <c r="N5" s="1">
        <v>-15.196061</v>
      </c>
      <c r="O5" s="1">
        <v>7.0</v>
      </c>
      <c r="P5" s="1">
        <v>2.0</v>
      </c>
      <c r="Q5" s="1">
        <v>0.285714</v>
      </c>
      <c r="R5" s="1">
        <v>2.0</v>
      </c>
      <c r="S5" s="1">
        <v>-1.471521</v>
      </c>
      <c r="T5" s="1">
        <v>100.0</v>
      </c>
      <c r="U5" s="1">
        <v>0.0</v>
      </c>
      <c r="V5" s="1">
        <v>0.0</v>
      </c>
      <c r="W5" s="1">
        <v>94.618132</v>
      </c>
    </row>
    <row r="6">
      <c r="A6" s="1" t="s">
        <v>19</v>
      </c>
      <c r="B6" s="1" t="s">
        <v>122</v>
      </c>
      <c r="C6" s="1" t="s">
        <v>73</v>
      </c>
      <c r="D6" s="1" t="s">
        <v>123</v>
      </c>
      <c r="E6" s="3" t="str">
        <f>'res269 Ari'!C15</f>
        <v>decent</v>
      </c>
      <c r="F6" s="3" t="str">
        <f>'res269 Ari'!D15</f>
        <v/>
      </c>
      <c r="G6" s="3" t="str">
        <f>'res269 Summer'!C15</f>
        <v>no</v>
      </c>
      <c r="H6" s="3" t="str">
        <f>'res269 Summer'!D15</f>
        <v/>
      </c>
      <c r="I6" s="3" t="s">
        <v>95</v>
      </c>
      <c r="J6" s="3" t="str">
        <f>'res269 Mary Shay'!D15</f>
        <v/>
      </c>
      <c r="K6" s="3" t="s">
        <v>124</v>
      </c>
      <c r="L6" s="3">
        <v>2.44862</v>
      </c>
      <c r="M6" s="1" t="str">
        <f>IFERROR(__xludf.DUMMYFUNCTION("IFERROR(REGEXEXTRACT(G6, ""res(269|122)""), ""none"")"),"none")</f>
        <v>none</v>
      </c>
      <c r="N6" s="1">
        <v>-15.778424</v>
      </c>
      <c r="O6" s="1">
        <v>10.0</v>
      </c>
      <c r="P6" s="1">
        <v>4.0</v>
      </c>
      <c r="Q6" s="1">
        <v>0.3</v>
      </c>
      <c r="R6" s="1">
        <v>2.0</v>
      </c>
      <c r="S6" s="1">
        <v>-0.444144</v>
      </c>
      <c r="T6" s="1">
        <v>100.0</v>
      </c>
      <c r="U6" s="1">
        <v>0.0</v>
      </c>
      <c r="V6" s="1">
        <v>0.0</v>
      </c>
      <c r="W6" s="1">
        <v>100.077432</v>
      </c>
    </row>
    <row r="7">
      <c r="A7" s="1" t="s">
        <v>19</v>
      </c>
      <c r="B7" s="1" t="s">
        <v>125</v>
      </c>
      <c r="C7" s="1" t="s">
        <v>73</v>
      </c>
      <c r="D7" s="1" t="s">
        <v>126</v>
      </c>
      <c r="E7" s="3" t="str">
        <f>'res269 Ari'!C16</f>
        <v>maybe</v>
      </c>
      <c r="F7" s="3" t="str">
        <f>'res269 Ari'!D16</f>
        <v/>
      </c>
      <c r="G7" s="3" t="str">
        <f>'res269 Summer'!C16</f>
        <v>decent</v>
      </c>
      <c r="H7" s="3" t="str">
        <f>'res269 Summer'!D16</f>
        <v/>
      </c>
      <c r="I7" s="3" t="s">
        <v>24</v>
      </c>
      <c r="J7" s="3" t="str">
        <f>'res269 Mary Shay'!D16</f>
        <v/>
      </c>
      <c r="K7" s="3" t="s">
        <v>127</v>
      </c>
      <c r="L7" s="3">
        <v>0.752300000000001</v>
      </c>
      <c r="M7" s="1" t="str">
        <f>IFERROR(__xludf.DUMMYFUNCTION("IFERROR(REGEXEXTRACT(G7, ""res(269|122)""), ""none"")"),"none")</f>
        <v>none</v>
      </c>
      <c r="N7" s="1">
        <v>-16.377062</v>
      </c>
      <c r="O7" s="1">
        <v>9.0</v>
      </c>
      <c r="P7" s="1">
        <v>1.0</v>
      </c>
      <c r="Q7" s="1">
        <v>0.333333</v>
      </c>
      <c r="R7" s="1">
        <v>2.0</v>
      </c>
      <c r="S7" s="1">
        <v>-1.84415</v>
      </c>
      <c r="T7" s="1">
        <v>100.0</v>
      </c>
      <c r="U7" s="1">
        <v>0.0</v>
      </c>
      <c r="V7" s="1">
        <v>0.0</v>
      </c>
      <c r="W7" s="1">
        <v>94.112121</v>
      </c>
    </row>
    <row r="8">
      <c r="A8" s="1" t="s">
        <v>19</v>
      </c>
      <c r="B8" s="1" t="s">
        <v>128</v>
      </c>
      <c r="C8" s="1" t="s">
        <v>73</v>
      </c>
      <c r="D8" s="1" t="s">
        <v>129</v>
      </c>
      <c r="E8" s="3" t="str">
        <f>'res269 Ari'!C18</f>
        <v>decent</v>
      </c>
      <c r="F8" s="3" t="str">
        <f>'res269 Ari'!D18</f>
        <v/>
      </c>
      <c r="G8" s="3" t="str">
        <f>'res269 Summer'!C18</f>
        <v>no</v>
      </c>
      <c r="H8" s="3" t="str">
        <f>'res269 Summer'!D18</f>
        <v/>
      </c>
      <c r="I8" s="3" t="s">
        <v>95</v>
      </c>
      <c r="J8" s="3" t="str">
        <f>'res269 Mary Shay'!D18</f>
        <v/>
      </c>
      <c r="K8" s="3" t="s">
        <v>130</v>
      </c>
      <c r="L8" s="3">
        <v>2.3189</v>
      </c>
      <c r="M8" s="1" t="str">
        <f>IFERROR(__xludf.DUMMYFUNCTION("IFERROR(REGEXEXTRACT(G8, ""res(269|122)""), ""none"")"),"none")</f>
        <v>none</v>
      </c>
      <c r="N8" s="1">
        <v>-16.004339</v>
      </c>
      <c r="O8" s="1">
        <v>7.0</v>
      </c>
      <c r="P8" s="1">
        <v>1.0</v>
      </c>
      <c r="Q8" s="1">
        <v>0.285714</v>
      </c>
      <c r="R8" s="1">
        <v>2.0</v>
      </c>
      <c r="S8" s="1">
        <v>-0.643672</v>
      </c>
      <c r="T8" s="1">
        <v>100.0</v>
      </c>
      <c r="U8" s="1">
        <v>0.0</v>
      </c>
      <c r="V8" s="1">
        <v>0.0</v>
      </c>
      <c r="W8" s="1">
        <v>93.637703</v>
      </c>
    </row>
    <row r="9">
      <c r="A9" s="1" t="s">
        <v>19</v>
      </c>
      <c r="B9" s="1" t="s">
        <v>79</v>
      </c>
      <c r="C9" s="1" t="s">
        <v>73</v>
      </c>
      <c r="D9" s="1" t="s">
        <v>80</v>
      </c>
      <c r="E9" s="3" t="str">
        <f>'res269 Ari'!C21</f>
        <v>decent</v>
      </c>
      <c r="F9" s="3" t="str">
        <f>'res269 Ari'!D21</f>
        <v>N on 6 member ring could twist to hit TYR122 and be much better</v>
      </c>
      <c r="G9" s="3" t="str">
        <f>'res269 Summer'!C21</f>
        <v>decent</v>
      </c>
      <c r="H9" s="3" t="str">
        <f>'res269 Summer'!D21</f>
        <v/>
      </c>
      <c r="I9" s="3" t="s">
        <v>26</v>
      </c>
      <c r="J9" s="3" t="str">
        <f>'res269 Mary Shay'!D21</f>
        <v/>
      </c>
      <c r="K9" s="3" t="s">
        <v>81</v>
      </c>
      <c r="L9" s="3">
        <v>1.1287</v>
      </c>
      <c r="M9" s="1" t="str">
        <f>IFERROR(__xludf.DUMMYFUNCTION("IFERROR(REGEXEXTRACT(G9, ""res(269|122)""), ""none"")"),"none")</f>
        <v>none</v>
      </c>
      <c r="N9" s="1">
        <v>-15.111049</v>
      </c>
      <c r="O9" s="1">
        <v>8.0</v>
      </c>
      <c r="P9" s="1">
        <v>4.0</v>
      </c>
      <c r="Q9" s="1">
        <v>0.5</v>
      </c>
      <c r="R9" s="1">
        <v>3.0</v>
      </c>
      <c r="S9" s="1">
        <v>-1.48802099999999</v>
      </c>
      <c r="T9" s="1">
        <v>100.0</v>
      </c>
      <c r="U9" s="1">
        <v>0.0</v>
      </c>
      <c r="V9" s="1">
        <v>0.0</v>
      </c>
      <c r="W9" s="1">
        <v>98.90093</v>
      </c>
    </row>
    <row r="10">
      <c r="A10" s="1" t="s">
        <v>19</v>
      </c>
      <c r="B10" s="1" t="s">
        <v>131</v>
      </c>
      <c r="C10" s="1" t="s">
        <v>73</v>
      </c>
      <c r="D10" s="1" t="s">
        <v>132</v>
      </c>
      <c r="E10" s="3" t="str">
        <f>'res269 Ari'!C25</f>
        <v>yes</v>
      </c>
      <c r="F10" s="3" t="str">
        <f>'res269 Ari'!D25</f>
        <v>it sits high, but I like all of its interactions</v>
      </c>
      <c r="G10" s="3" t="str">
        <f>'res269 Summer'!C25</f>
        <v>no</v>
      </c>
      <c r="H10" s="3" t="str">
        <f>'res269 Summer'!D25</f>
        <v/>
      </c>
      <c r="I10" s="3" t="s">
        <v>95</v>
      </c>
      <c r="J10" s="3" t="str">
        <f>'res269 Mary Shay'!D25</f>
        <v/>
      </c>
      <c r="K10" s="3" t="s">
        <v>133</v>
      </c>
      <c r="L10" s="3">
        <v>1.65339999999999</v>
      </c>
      <c r="M10" s="1" t="str">
        <f>IFERROR(__xludf.DUMMYFUNCTION("IFERROR(REGEXEXTRACT(G10, ""res(269|122)""), ""none"")"),"none")</f>
        <v>none</v>
      </c>
      <c r="N10" s="1">
        <v>-15.787491</v>
      </c>
      <c r="O10" s="1">
        <v>6.0</v>
      </c>
      <c r="P10" s="1">
        <v>2.0</v>
      </c>
      <c r="Q10" s="1">
        <v>0.333333</v>
      </c>
      <c r="R10" s="1">
        <v>3.0</v>
      </c>
      <c r="S10" s="1">
        <v>-1.153959</v>
      </c>
      <c r="T10" s="1">
        <v>100.0</v>
      </c>
      <c r="U10" s="1">
        <v>0.0</v>
      </c>
      <c r="V10" s="1">
        <v>0.0</v>
      </c>
      <c r="W10" s="1">
        <v>94.391883</v>
      </c>
    </row>
    <row r="11">
      <c r="A11" s="1" t="s">
        <v>19</v>
      </c>
      <c r="B11" s="1" t="s">
        <v>134</v>
      </c>
      <c r="C11" s="1" t="s">
        <v>73</v>
      </c>
      <c r="D11" s="1" t="s">
        <v>135</v>
      </c>
      <c r="E11" s="3" t="str">
        <f>'res269 Ari'!C26</f>
        <v>decent</v>
      </c>
      <c r="F11" s="3" t="str">
        <f>'res269 Ari'!D26</f>
        <v/>
      </c>
      <c r="G11" s="3" t="str">
        <f>'res269 Summer'!C26</f>
        <v>no</v>
      </c>
      <c r="H11" s="3" t="str">
        <f>'res269 Summer'!D26</f>
        <v/>
      </c>
      <c r="I11" s="3" t="s">
        <v>95</v>
      </c>
      <c r="J11" s="3" t="str">
        <f>'res269 Mary Shay'!D26</f>
        <v/>
      </c>
      <c r="K11" s="3" t="s">
        <v>136</v>
      </c>
      <c r="L11" s="3">
        <v>2.47561999999999</v>
      </c>
      <c r="M11" s="1" t="str">
        <f>IFERROR(__xludf.DUMMYFUNCTION("IFERROR(REGEXEXTRACT(G11, ""res(269|122)""), ""none"")"),"none")</f>
        <v>none</v>
      </c>
      <c r="N11" s="1">
        <v>-16.526444</v>
      </c>
      <c r="O11" s="1">
        <v>7.0</v>
      </c>
      <c r="P11" s="1">
        <v>3.0</v>
      </c>
      <c r="Q11" s="1">
        <v>0.428571</v>
      </c>
      <c r="R11" s="1">
        <v>3.0</v>
      </c>
      <c r="S11" s="1">
        <v>-1.370961</v>
      </c>
      <c r="T11" s="1">
        <v>100.0</v>
      </c>
      <c r="U11" s="1">
        <v>0.0</v>
      </c>
      <c r="V11" s="1">
        <v>0.0</v>
      </c>
      <c r="W11" s="1">
        <v>95.531166</v>
      </c>
    </row>
    <row r="12">
      <c r="A12" s="1" t="s">
        <v>19</v>
      </c>
      <c r="B12" s="1" t="s">
        <v>137</v>
      </c>
      <c r="C12" s="1" t="s">
        <v>73</v>
      </c>
      <c r="D12" s="1" t="s">
        <v>138</v>
      </c>
      <c r="E12" s="3" t="str">
        <f>'res269 Ari'!C27</f>
        <v>yes</v>
      </c>
      <c r="F12" s="3" t="str">
        <f>'res269 Ari'!D27</f>
        <v>lots of good interactions and extends across the pocket, even if there are a lot of interactions not considered real; enantiomer with PV-005460257111</v>
      </c>
      <c r="G12" s="3" t="str">
        <f>'res269 Summer'!C27</f>
        <v>no</v>
      </c>
      <c r="H12" s="3" t="str">
        <f>'res269 Summer'!D27</f>
        <v/>
      </c>
      <c r="I12" s="3" t="s">
        <v>95</v>
      </c>
      <c r="J12" s="3" t="str">
        <f>'res269 Mary Shay'!D27</f>
        <v/>
      </c>
      <c r="K12" s="3" t="s">
        <v>139</v>
      </c>
      <c r="L12" s="3">
        <v>2.7386</v>
      </c>
      <c r="M12" s="1" t="str">
        <f>IFERROR(__xludf.DUMMYFUNCTION("IFERROR(REGEXEXTRACT(G12, ""res(269|122)""), ""none"")"),"none")</f>
        <v>none</v>
      </c>
      <c r="N12" s="1">
        <v>-15.442965</v>
      </c>
      <c r="O12" s="1">
        <v>7.0</v>
      </c>
      <c r="P12" s="1">
        <v>3.0</v>
      </c>
      <c r="Q12" s="1">
        <v>0.285714</v>
      </c>
      <c r="R12" s="1">
        <v>2.0</v>
      </c>
      <c r="S12" s="1">
        <v>-0.995888</v>
      </c>
      <c r="T12" s="1">
        <v>100.0</v>
      </c>
      <c r="U12" s="1">
        <v>0.0</v>
      </c>
      <c r="V12" s="1">
        <v>0.0</v>
      </c>
      <c r="W12" s="1">
        <v>95.846861</v>
      </c>
    </row>
    <row r="13">
      <c r="A13" s="1" t="s">
        <v>19</v>
      </c>
      <c r="B13" s="1" t="s">
        <v>140</v>
      </c>
      <c r="C13" s="1" t="s">
        <v>73</v>
      </c>
      <c r="D13" s="1" t="s">
        <v>141</v>
      </c>
      <c r="E13" s="3" t="str">
        <f>'res269 Ari'!C33</f>
        <v>decent</v>
      </c>
      <c r="F13" s="3" t="str">
        <f>'res269 Ari'!D33</f>
        <v>could hit glu398 better</v>
      </c>
      <c r="G13" s="3" t="str">
        <f>'res269 Summer'!C33</f>
        <v>no</v>
      </c>
      <c r="H13" s="3" t="str">
        <f>'res269 Summer'!D33</f>
        <v/>
      </c>
      <c r="I13" s="3" t="s">
        <v>95</v>
      </c>
      <c r="J13" s="3" t="str">
        <f>'res269 Mary Shay'!D33</f>
        <v/>
      </c>
      <c r="K13" s="3" t="s">
        <v>142</v>
      </c>
      <c r="L13" s="3">
        <v>3.12826</v>
      </c>
      <c r="M13" s="1" t="str">
        <f>IFERROR(__xludf.DUMMYFUNCTION("IFERROR(REGEXEXTRACT(G13, ""res(269|122)""), ""none"")"),"none")</f>
        <v>none</v>
      </c>
      <c r="N13" s="1">
        <v>-15.155078</v>
      </c>
      <c r="O13" s="1">
        <v>8.0</v>
      </c>
      <c r="P13" s="1">
        <v>2.0</v>
      </c>
      <c r="Q13" s="1">
        <v>0.25</v>
      </c>
      <c r="R13" s="1">
        <v>2.0</v>
      </c>
      <c r="S13" s="1">
        <v>-0.394031</v>
      </c>
      <c r="T13" s="1">
        <v>100.0</v>
      </c>
      <c r="U13" s="1">
        <v>0.0</v>
      </c>
      <c r="V13" s="1">
        <v>0.0</v>
      </c>
      <c r="W13" s="1">
        <v>96.700891</v>
      </c>
    </row>
    <row r="14">
      <c r="A14" s="1" t="s">
        <v>19</v>
      </c>
      <c r="B14" s="1" t="s">
        <v>143</v>
      </c>
      <c r="C14" s="1" t="s">
        <v>73</v>
      </c>
      <c r="D14" s="1" t="s">
        <v>144</v>
      </c>
      <c r="E14" s="3" t="str">
        <f>'res269 Ari'!C34</f>
        <v>yes</v>
      </c>
      <c r="F14" s="3" t="str">
        <f>'res269 Ari'!D34</f>
        <v/>
      </c>
      <c r="G14" s="3" t="str">
        <f>'res269 Summer'!C34</f>
        <v>no</v>
      </c>
      <c r="H14" s="3" t="str">
        <f>'res269 Summer'!D34</f>
        <v/>
      </c>
      <c r="I14" s="3" t="s">
        <v>95</v>
      </c>
      <c r="J14" s="3" t="str">
        <f>'res269 Mary Shay'!D34</f>
        <v/>
      </c>
      <c r="K14" s="3" t="s">
        <v>145</v>
      </c>
      <c r="L14" s="3">
        <v>3.13442</v>
      </c>
      <c r="M14" s="1" t="str">
        <f>IFERROR(__xludf.DUMMYFUNCTION("IFERROR(REGEXEXTRACT(G14, ""res(269|122)""), ""none"")"),"none")</f>
        <v>none</v>
      </c>
      <c r="N14" s="1">
        <v>-15.473368</v>
      </c>
      <c r="O14" s="1">
        <v>8.0</v>
      </c>
      <c r="P14" s="1">
        <v>2.0</v>
      </c>
      <c r="Q14" s="1">
        <v>0.375</v>
      </c>
      <c r="R14" s="1">
        <v>2.0</v>
      </c>
      <c r="S14" s="1">
        <v>-0.972362</v>
      </c>
      <c r="T14" s="1">
        <v>100.0</v>
      </c>
      <c r="U14" s="1">
        <v>0.0</v>
      </c>
      <c r="V14" s="1">
        <v>0.0</v>
      </c>
      <c r="W14" s="1">
        <v>95.92927</v>
      </c>
    </row>
    <row r="15">
      <c r="A15" s="1" t="s">
        <v>19</v>
      </c>
      <c r="B15" s="1" t="s">
        <v>146</v>
      </c>
      <c r="C15" s="1" t="s">
        <v>73</v>
      </c>
      <c r="D15" s="1" t="s">
        <v>147</v>
      </c>
      <c r="E15" s="3" t="str">
        <f>'res269 Ari'!C35</f>
        <v>yes</v>
      </c>
      <c r="F15" s="3" t="str">
        <f>'res269 Ari'!D35</f>
        <v>I think tyr202 could hbond with the hydroxyl</v>
      </c>
      <c r="G15" s="3" t="str">
        <f>#REF!</f>
        <v>#REF!</v>
      </c>
      <c r="H15" s="3" t="str">
        <f>'res269 Summer'!D35</f>
        <v/>
      </c>
      <c r="I15" s="3" t="s">
        <v>24</v>
      </c>
      <c r="J15" s="3" t="str">
        <f>'res269 Mary Shay'!D35</f>
        <v/>
      </c>
      <c r="K15" s="3" t="s">
        <v>148</v>
      </c>
      <c r="L15" s="3">
        <v>1.20833999999999</v>
      </c>
      <c r="M15" s="1" t="str">
        <f>IFERROR(__xludf.DUMMYFUNCTION("IFERROR(REGEXEXTRACT(G15, ""res(269|122)""), ""none"")"),"none")</f>
        <v>none</v>
      </c>
      <c r="N15" s="1">
        <v>-15.32929</v>
      </c>
      <c r="O15" s="1">
        <v>9.0</v>
      </c>
      <c r="P15" s="1">
        <v>2.0</v>
      </c>
      <c r="Q15" s="1">
        <v>0.444444</v>
      </c>
      <c r="R15" s="1">
        <v>3.0</v>
      </c>
      <c r="S15" s="1">
        <v>-1.169854</v>
      </c>
      <c r="T15" s="1">
        <v>100.0</v>
      </c>
      <c r="U15" s="1">
        <v>0.0</v>
      </c>
      <c r="V15" s="1">
        <v>0.0</v>
      </c>
      <c r="W15" s="1">
        <v>97.9453</v>
      </c>
    </row>
    <row r="16">
      <c r="A16" s="1" t="s">
        <v>19</v>
      </c>
      <c r="B16" s="1" t="s">
        <v>149</v>
      </c>
      <c r="C16" s="1" t="s">
        <v>73</v>
      </c>
      <c r="D16" s="1" t="s">
        <v>150</v>
      </c>
      <c r="E16" s="3" t="str">
        <f>'res269 Ari'!C40</f>
        <v>yes</v>
      </c>
      <c r="F16" s="3" t="str">
        <f>'res269 Ari'!D40</f>
        <v/>
      </c>
      <c r="G16" s="3" t="str">
        <f>'res269 Summer'!C40</f>
        <v>no</v>
      </c>
      <c r="H16" s="3" t="str">
        <f>'res269 Summer'!D40</f>
        <v/>
      </c>
      <c r="I16" s="3" t="s">
        <v>24</v>
      </c>
      <c r="J16" s="3" t="str">
        <f>'res269 Mary Shay'!D40</f>
        <v/>
      </c>
      <c r="K16" s="3" t="s">
        <v>151</v>
      </c>
      <c r="L16" s="3">
        <v>2.61142</v>
      </c>
      <c r="M16" s="1" t="str">
        <f>IFERROR(__xludf.DUMMYFUNCTION("IFERROR(REGEXEXTRACT(G16, ""res(269|122)""), ""none"")"),"none")</f>
        <v>none</v>
      </c>
      <c r="N16" s="1">
        <v>-16.574584</v>
      </c>
      <c r="O16" s="1">
        <v>6.0</v>
      </c>
      <c r="P16" s="1">
        <v>1.0</v>
      </c>
      <c r="Q16" s="1">
        <v>0.333333</v>
      </c>
      <c r="R16" s="1">
        <v>2.0</v>
      </c>
      <c r="S16" s="1">
        <v>-0.53138</v>
      </c>
      <c r="T16" s="1">
        <v>100.0</v>
      </c>
      <c r="U16" s="1">
        <v>0.0</v>
      </c>
      <c r="V16" s="1">
        <v>0.0</v>
      </c>
      <c r="W16" s="1">
        <v>92.227369</v>
      </c>
    </row>
    <row r="17">
      <c r="A17" s="1" t="s">
        <v>19</v>
      </c>
      <c r="B17" s="1" t="s">
        <v>152</v>
      </c>
      <c r="C17" s="1" t="s">
        <v>73</v>
      </c>
      <c r="D17" s="1" t="s">
        <v>153</v>
      </c>
      <c r="E17" s="3" t="str">
        <f>'res269 Ari'!C41</f>
        <v>yes</v>
      </c>
      <c r="F17" s="3" t="str">
        <f>'res269 Ari'!D41</f>
        <v>same pose as PV-006143645775 and PV-006143645776, enantiomer</v>
      </c>
      <c r="G17" s="3" t="str">
        <f>'res269 Summer'!C41</f>
        <v>no</v>
      </c>
      <c r="H17" s="3" t="str">
        <f>'res269 Summer'!D41</f>
        <v/>
      </c>
      <c r="I17" s="3" t="s">
        <v>24</v>
      </c>
      <c r="J17" s="3" t="str">
        <f>'res269 Mary Shay'!D41</f>
        <v/>
      </c>
      <c r="K17" s="3" t="s">
        <v>154</v>
      </c>
      <c r="L17" s="3">
        <v>1.1456</v>
      </c>
      <c r="M17" s="1" t="str">
        <f>IFERROR(__xludf.DUMMYFUNCTION("IFERROR(REGEXEXTRACT(G17, ""res(269|122)""), ""none"")"),"none")</f>
        <v>none</v>
      </c>
      <c r="N17" s="1">
        <v>-16.381515</v>
      </c>
      <c r="O17" s="1">
        <v>6.0</v>
      </c>
      <c r="P17" s="1">
        <v>3.0</v>
      </c>
      <c r="Q17" s="1">
        <v>0.5</v>
      </c>
      <c r="R17" s="1">
        <v>2.0</v>
      </c>
      <c r="S17" s="1">
        <v>-0.391175999999999</v>
      </c>
      <c r="T17" s="1">
        <v>100.0</v>
      </c>
      <c r="U17" s="1">
        <v>0.0</v>
      </c>
      <c r="V17" s="1">
        <v>0.0</v>
      </c>
      <c r="W17" s="1">
        <v>94.727309</v>
      </c>
    </row>
    <row r="18">
      <c r="A18" s="1" t="s">
        <v>19</v>
      </c>
      <c r="B18" s="1" t="s">
        <v>155</v>
      </c>
      <c r="C18" s="1" t="s">
        <v>73</v>
      </c>
      <c r="D18" s="1" t="s">
        <v>156</v>
      </c>
      <c r="E18" s="3" t="str">
        <f>'res269 Ari'!C45</f>
        <v>maybe</v>
      </c>
      <c r="F18" s="3" t="str">
        <f>'res269 Ari'!D45</f>
        <v/>
      </c>
      <c r="G18" s="3" t="str">
        <f>'res269 Summer'!C45</f>
        <v>decent</v>
      </c>
      <c r="H18" s="3" t="str">
        <f>'res269 Summer'!D45</f>
        <v/>
      </c>
      <c r="I18" s="3" t="s">
        <v>95</v>
      </c>
      <c r="J18" s="3" t="str">
        <f>'res269 Mary Shay'!D45</f>
        <v/>
      </c>
      <c r="K18" s="3" t="s">
        <v>157</v>
      </c>
      <c r="L18" s="3">
        <v>0.4256</v>
      </c>
      <c r="M18" s="1" t="str">
        <f>IFERROR(__xludf.DUMMYFUNCTION("IFERROR(REGEXEXTRACT(G18, ""res(269|122)""), ""none"")"),"none")</f>
        <v>none</v>
      </c>
      <c r="N18" s="1">
        <v>-16.196607</v>
      </c>
      <c r="O18" s="1">
        <v>8.0</v>
      </c>
      <c r="P18" s="1">
        <v>5.0</v>
      </c>
      <c r="Q18" s="1">
        <v>0.625</v>
      </c>
      <c r="R18" s="1">
        <v>3.0</v>
      </c>
      <c r="S18" s="1">
        <v>-1.08205699999999</v>
      </c>
      <c r="T18" s="1">
        <v>100.0</v>
      </c>
      <c r="U18" s="1">
        <v>0.0</v>
      </c>
      <c r="V18" s="1">
        <v>0.0</v>
      </c>
      <c r="W18" s="1">
        <v>99.346336</v>
      </c>
    </row>
    <row r="19">
      <c r="A19" s="1" t="s">
        <v>19</v>
      </c>
      <c r="B19" s="1" t="s">
        <v>158</v>
      </c>
      <c r="C19" s="1" t="s">
        <v>73</v>
      </c>
      <c r="D19" s="1" t="s">
        <v>159</v>
      </c>
      <c r="E19" s="3" t="str">
        <f>'res269 Ari'!C47</f>
        <v>maybe</v>
      </c>
      <c r="F19" s="3" t="str">
        <f>'res269 Ari'!D47</f>
        <v/>
      </c>
      <c r="G19" s="3" t="str">
        <f>'res269 Summer'!C47</f>
        <v>decent</v>
      </c>
      <c r="H19" s="3" t="str">
        <f>'res269 Summer'!D47</f>
        <v/>
      </c>
      <c r="I19" s="3" t="s">
        <v>95</v>
      </c>
      <c r="J19" s="3" t="str">
        <f>'res269 Mary Shay'!D47</f>
        <v/>
      </c>
      <c r="K19" s="3" t="s">
        <v>160</v>
      </c>
      <c r="L19" s="3">
        <v>1.81689999999999</v>
      </c>
      <c r="M19" s="1" t="str">
        <f>IFERROR(__xludf.DUMMYFUNCTION("IFERROR(REGEXEXTRACT(G19, ""res(269|122)""), ""none"")"),"none")</f>
        <v>none</v>
      </c>
      <c r="N19" s="1">
        <v>-17.250811</v>
      </c>
      <c r="O19" s="1">
        <v>11.0</v>
      </c>
      <c r="P19" s="1">
        <v>5.0</v>
      </c>
      <c r="Q19" s="1">
        <v>0.272727</v>
      </c>
      <c r="R19" s="1">
        <v>2.0</v>
      </c>
      <c r="S19" s="1">
        <v>-0.713731</v>
      </c>
      <c r="T19" s="1">
        <v>100.0</v>
      </c>
      <c r="U19" s="1">
        <v>0.0</v>
      </c>
      <c r="V19" s="1">
        <v>0.0</v>
      </c>
      <c r="W19" s="1">
        <v>100.308185</v>
      </c>
    </row>
    <row r="20">
      <c r="A20" s="1" t="s">
        <v>19</v>
      </c>
      <c r="B20" s="1" t="s">
        <v>161</v>
      </c>
      <c r="C20" s="1" t="s">
        <v>73</v>
      </c>
      <c r="D20" s="1" t="s">
        <v>162</v>
      </c>
      <c r="E20" s="3" t="str">
        <f>'res269 Ari'!C49</f>
        <v>maybe</v>
      </c>
      <c r="F20" s="3" t="str">
        <f>'res269 Ari'!D49</f>
        <v/>
      </c>
      <c r="G20" s="3" t="str">
        <f>'res269 Summer'!C49</f>
        <v>decent</v>
      </c>
      <c r="H20" s="3" t="str">
        <f>'res269 Summer'!D49</f>
        <v/>
      </c>
      <c r="I20" s="3" t="s">
        <v>24</v>
      </c>
      <c r="J20" s="3" t="str">
        <f>'res269 Mary Shay'!D49</f>
        <v/>
      </c>
      <c r="K20" s="3" t="s">
        <v>163</v>
      </c>
      <c r="L20" s="3">
        <v>2.75664</v>
      </c>
      <c r="M20" s="1" t="str">
        <f>IFERROR(__xludf.DUMMYFUNCTION("IFERROR(REGEXEXTRACT(G20, ""res(269|122)""), ""none"")"),"none")</f>
        <v>none</v>
      </c>
      <c r="N20" s="1">
        <v>-17.483332</v>
      </c>
      <c r="O20" s="1">
        <v>7.0</v>
      </c>
      <c r="P20" s="1">
        <v>2.0</v>
      </c>
      <c r="Q20" s="1">
        <v>0.428571</v>
      </c>
      <c r="R20" s="1">
        <v>2.0</v>
      </c>
      <c r="S20" s="1">
        <v>-0.934603</v>
      </c>
      <c r="T20" s="1">
        <v>100.0</v>
      </c>
      <c r="U20" s="1">
        <v>0.0</v>
      </c>
      <c r="V20" s="1">
        <v>0.0</v>
      </c>
      <c r="W20" s="1">
        <v>93.010636</v>
      </c>
    </row>
    <row r="21">
      <c r="A21" s="1" t="s">
        <v>19</v>
      </c>
      <c r="B21" s="1" t="s">
        <v>83</v>
      </c>
      <c r="C21" s="1" t="s">
        <v>73</v>
      </c>
      <c r="D21" s="1" t="s">
        <v>84</v>
      </c>
      <c r="E21" s="3" t="str">
        <f>'res269 Ari'!C53</f>
        <v>maybe</v>
      </c>
      <c r="F21" s="3" t="str">
        <f>'res269 Ari'!D53</f>
        <v/>
      </c>
      <c r="G21" s="3" t="str">
        <f>'res269 Summer'!C53</f>
        <v>decent</v>
      </c>
      <c r="H21" s="3" t="str">
        <f>'res269 Summer'!D53</f>
        <v/>
      </c>
      <c r="I21" s="3" t="s">
        <v>26</v>
      </c>
      <c r="J21" s="3" t="str">
        <f>'res269 Mary Shay'!D53</f>
        <v/>
      </c>
      <c r="K21" s="3" t="s">
        <v>85</v>
      </c>
      <c r="L21" s="3">
        <v>2.22049999999999</v>
      </c>
      <c r="M21" s="1" t="str">
        <f>IFERROR(__xludf.DUMMYFUNCTION("IFERROR(REGEXEXTRACT(G21, ""res(269|122)""), ""none"")"),"none")</f>
        <v>none</v>
      </c>
      <c r="N21" s="1">
        <v>-15.19198</v>
      </c>
      <c r="O21" s="1">
        <v>8.0</v>
      </c>
      <c r="P21" s="1">
        <v>3.0</v>
      </c>
      <c r="Q21" s="1">
        <v>0.375</v>
      </c>
      <c r="R21" s="1">
        <v>2.0</v>
      </c>
      <c r="S21" s="1">
        <v>-1.182302</v>
      </c>
      <c r="T21" s="1">
        <v>100.0</v>
      </c>
      <c r="U21" s="1">
        <v>0.0</v>
      </c>
      <c r="V21" s="1">
        <v>0.0</v>
      </c>
      <c r="W21" s="1">
        <v>97.000718</v>
      </c>
    </row>
    <row r="22">
      <c r="A22" s="1" t="s">
        <v>19</v>
      </c>
      <c r="B22" s="1" t="s">
        <v>86</v>
      </c>
      <c r="C22" s="1" t="s">
        <v>73</v>
      </c>
      <c r="D22" s="1" t="s">
        <v>87</v>
      </c>
      <c r="E22" s="3" t="str">
        <f>'res269 Ari'!C54</f>
        <v>maybe</v>
      </c>
      <c r="F22" s="3" t="str">
        <f>'res269 Ari'!D54</f>
        <v/>
      </c>
      <c r="G22" s="3" t="str">
        <f>'res269 Summer'!C54</f>
        <v>yes</v>
      </c>
      <c r="H22" s="3" t="str">
        <f>'res269 Summer'!D54</f>
        <v/>
      </c>
      <c r="I22" s="3" t="s">
        <v>26</v>
      </c>
      <c r="J22" s="3" t="str">
        <f>'res269 Mary Shay'!D54</f>
        <v/>
      </c>
      <c r="K22" s="3" t="s">
        <v>88</v>
      </c>
      <c r="L22" s="3">
        <v>2.4222</v>
      </c>
      <c r="M22" s="1" t="str">
        <f>IFERROR(__xludf.DUMMYFUNCTION("IFERROR(REGEXEXTRACT(G22, ""res(269|122)""), ""none"")"),"none")</f>
        <v>none</v>
      </c>
      <c r="N22" s="1">
        <v>-15.653385</v>
      </c>
      <c r="O22" s="1">
        <v>8.0</v>
      </c>
      <c r="P22" s="1">
        <v>3.0</v>
      </c>
      <c r="Q22" s="1">
        <v>0.25</v>
      </c>
      <c r="R22" s="1">
        <v>2.0</v>
      </c>
      <c r="S22" s="1">
        <v>-0.166637</v>
      </c>
      <c r="T22" s="1">
        <v>100.0</v>
      </c>
      <c r="U22" s="1">
        <v>0.0</v>
      </c>
      <c r="V22" s="1">
        <v>0.0</v>
      </c>
      <c r="W22" s="1">
        <v>97.429978</v>
      </c>
    </row>
    <row r="23">
      <c r="A23" s="1" t="s">
        <v>19</v>
      </c>
      <c r="B23" s="1" t="s">
        <v>164</v>
      </c>
      <c r="C23" s="1" t="s">
        <v>73</v>
      </c>
      <c r="D23" s="1" t="s">
        <v>165</v>
      </c>
      <c r="E23" s="3" t="str">
        <f>'res269 Ari'!C55</f>
        <v>maybe</v>
      </c>
      <c r="F23" s="3" t="str">
        <f>'res269 Ari'!D55</f>
        <v/>
      </c>
      <c r="G23" s="3" t="str">
        <f>'res269 Summer'!C55</f>
        <v>decent</v>
      </c>
      <c r="H23" s="3" t="str">
        <f>'res269 Summer'!D55</f>
        <v/>
      </c>
      <c r="I23" s="3" t="s">
        <v>95</v>
      </c>
      <c r="J23" s="3" t="str">
        <f>'res269 Mary Shay'!D55</f>
        <v/>
      </c>
      <c r="K23" s="3" t="s">
        <v>166</v>
      </c>
      <c r="L23" s="3">
        <v>2.79092</v>
      </c>
      <c r="M23" s="1" t="str">
        <f>IFERROR(__xludf.DUMMYFUNCTION("IFERROR(REGEXEXTRACT(G23, ""res(269|122)""), ""none"")"),"none")</f>
        <v>none</v>
      </c>
      <c r="N23" s="1">
        <v>-15.468589</v>
      </c>
      <c r="O23" s="1">
        <v>8.0</v>
      </c>
      <c r="P23" s="1">
        <v>3.0</v>
      </c>
      <c r="Q23" s="1">
        <v>0.375</v>
      </c>
      <c r="R23" s="1">
        <v>2.0</v>
      </c>
      <c r="S23" s="1">
        <v>-0.987794</v>
      </c>
      <c r="T23" s="1">
        <v>100.0</v>
      </c>
      <c r="U23" s="1">
        <v>0.0</v>
      </c>
      <c r="V23" s="1">
        <v>0.0</v>
      </c>
      <c r="W23" s="1">
        <v>96.918617</v>
      </c>
    </row>
    <row r="24">
      <c r="A24" s="1" t="s">
        <v>19</v>
      </c>
      <c r="B24" s="1" t="s">
        <v>89</v>
      </c>
      <c r="C24" s="1" t="s">
        <v>73</v>
      </c>
      <c r="D24" s="1" t="s">
        <v>90</v>
      </c>
      <c r="E24" s="3" t="str">
        <f>'res269 Ari'!C59</f>
        <v>maybe</v>
      </c>
      <c r="F24" s="3" t="str">
        <f>'res269 Ari'!D59</f>
        <v>same pose as PV-006712468449, enantiomer</v>
      </c>
      <c r="G24" s="3" t="str">
        <f>'res269 Summer'!C59</f>
        <v>decent</v>
      </c>
      <c r="H24" s="3" t="str">
        <f>'res269 Summer'!D59</f>
        <v/>
      </c>
      <c r="I24" s="3" t="s">
        <v>26</v>
      </c>
      <c r="J24" s="3" t="str">
        <f>'res269 Mary Shay'!D59</f>
        <v/>
      </c>
      <c r="K24" s="3" t="s">
        <v>91</v>
      </c>
      <c r="L24" s="3">
        <v>3.0355</v>
      </c>
      <c r="M24" s="1" t="str">
        <f>IFERROR(__xludf.DUMMYFUNCTION("IFERROR(REGEXEXTRACT(G24, ""res(269|122)""), ""none"")"),"none")</f>
        <v>none</v>
      </c>
      <c r="N24" s="1">
        <v>-15.759066</v>
      </c>
      <c r="O24" s="1">
        <v>7.0</v>
      </c>
      <c r="P24" s="1">
        <v>2.0</v>
      </c>
      <c r="Q24" s="1">
        <v>0.571429</v>
      </c>
      <c r="R24" s="1">
        <v>2.0</v>
      </c>
      <c r="S24" s="1">
        <v>-0.931789</v>
      </c>
      <c r="T24" s="1">
        <v>100.0</v>
      </c>
      <c r="U24" s="1">
        <v>0.0</v>
      </c>
      <c r="V24" s="1">
        <v>0.0</v>
      </c>
      <c r="W24" s="1">
        <v>94.880574</v>
      </c>
    </row>
    <row r="25">
      <c r="A25" s="1" t="s">
        <v>19</v>
      </c>
      <c r="B25" s="1" t="s">
        <v>167</v>
      </c>
      <c r="C25" s="1" t="s">
        <v>73</v>
      </c>
      <c r="D25" s="1" t="s">
        <v>168</v>
      </c>
      <c r="E25" s="3" t="str">
        <f>'res269 Ari'!C63</f>
        <v>decent</v>
      </c>
      <c r="F25" s="3" t="str">
        <f>'res269 Ari'!D63</f>
        <v/>
      </c>
      <c r="G25" s="3" t="str">
        <f>'res269 Summer'!C63</f>
        <v>no</v>
      </c>
      <c r="H25" s="3" t="str">
        <f>'res269 Summer'!D63</f>
        <v/>
      </c>
      <c r="I25" s="3" t="s">
        <v>24</v>
      </c>
      <c r="J25" s="3" t="str">
        <f>'res269 Mary Shay'!D63</f>
        <v/>
      </c>
      <c r="K25" s="3" t="s">
        <v>169</v>
      </c>
      <c r="L25" s="3">
        <v>3.4696</v>
      </c>
      <c r="M25" s="1" t="str">
        <f>IFERROR(__xludf.DUMMYFUNCTION("IFERROR(REGEXEXTRACT(G25, ""res(269|122)""), ""none"")"),"none")</f>
        <v>none</v>
      </c>
      <c r="N25" s="1">
        <v>-16.947939</v>
      </c>
      <c r="O25" s="1">
        <v>7.0</v>
      </c>
      <c r="P25" s="1">
        <v>1.0</v>
      </c>
      <c r="Q25" s="1">
        <v>0.285714</v>
      </c>
      <c r="R25" s="1">
        <v>2.0</v>
      </c>
      <c r="S25" s="1">
        <v>-1.26662</v>
      </c>
      <c r="T25" s="1">
        <v>100.0</v>
      </c>
      <c r="U25" s="1">
        <v>0.0</v>
      </c>
      <c r="V25" s="1">
        <v>0.0</v>
      </c>
      <c r="W25" s="1">
        <v>92.071155</v>
      </c>
    </row>
    <row r="26">
      <c r="A26" s="1" t="s">
        <v>19</v>
      </c>
      <c r="B26" s="1" t="s">
        <v>170</v>
      </c>
      <c r="C26" s="1" t="s">
        <v>73</v>
      </c>
      <c r="D26" s="1" t="s">
        <v>171</v>
      </c>
      <c r="E26" s="3" t="str">
        <f>'res269 Ari'!C72</f>
        <v>decent</v>
      </c>
      <c r="F26" s="3" t="str">
        <f>'res269 Ari'!D72</f>
        <v/>
      </c>
      <c r="G26" s="3" t="str">
        <f>'res269 Summer'!C72</f>
        <v>decent</v>
      </c>
      <c r="H26" s="3" t="str">
        <f>'res269 Summer'!D72</f>
        <v/>
      </c>
      <c r="I26" s="3" t="s">
        <v>24</v>
      </c>
      <c r="J26" s="3" t="str">
        <f>'res269 Mary Shay'!D72</f>
        <v/>
      </c>
      <c r="K26" s="3" t="s">
        <v>172</v>
      </c>
      <c r="L26" s="3">
        <v>2.1045</v>
      </c>
      <c r="M26" s="1" t="str">
        <f>IFERROR(__xludf.DUMMYFUNCTION("IFERROR(REGEXEXTRACT(G26, ""res(269|122)""), ""none"")"),"none")</f>
        <v>none</v>
      </c>
      <c r="N26" s="1">
        <v>-16.284917</v>
      </c>
      <c r="O26" s="1">
        <v>8.0</v>
      </c>
      <c r="P26" s="1">
        <v>5.0</v>
      </c>
      <c r="Q26" s="1">
        <v>0.25</v>
      </c>
      <c r="R26" s="1">
        <v>2.0</v>
      </c>
      <c r="S26" s="1">
        <v>-1.566179</v>
      </c>
      <c r="T26" s="1">
        <v>100.0</v>
      </c>
      <c r="U26" s="1">
        <v>0.0</v>
      </c>
      <c r="V26" s="1">
        <v>0.0</v>
      </c>
      <c r="W26" s="1">
        <v>97.398904</v>
      </c>
    </row>
    <row r="27">
      <c r="A27" s="1" t="s">
        <v>19</v>
      </c>
      <c r="B27" s="1" t="s">
        <v>173</v>
      </c>
      <c r="C27" s="1" t="s">
        <v>73</v>
      </c>
      <c r="D27" s="1" t="s">
        <v>174</v>
      </c>
      <c r="E27" s="3" t="str">
        <f>'res269 Ari'!C73</f>
        <v>maybe</v>
      </c>
      <c r="F27" s="3" t="str">
        <f>'res269 Ari'!D73</f>
        <v/>
      </c>
      <c r="G27" s="3" t="str">
        <f>'res269 Summer'!C73</f>
        <v>decent</v>
      </c>
      <c r="H27" s="3" t="str">
        <f>'res269 Summer'!D73</f>
        <v/>
      </c>
      <c r="I27" s="3" t="s">
        <v>95</v>
      </c>
      <c r="J27" s="3" t="str">
        <f>'res269 Mary Shay'!D73</f>
        <v/>
      </c>
      <c r="K27" s="3" t="s">
        <v>175</v>
      </c>
      <c r="L27" s="3">
        <v>2.2497</v>
      </c>
      <c r="M27" s="1" t="str">
        <f>IFERROR(__xludf.DUMMYFUNCTION("IFERROR(REGEXEXTRACT(G27, ""res(269|122)""), ""none"")"),"none")</f>
        <v>none</v>
      </c>
      <c r="N27" s="1">
        <v>-16.118663</v>
      </c>
      <c r="O27" s="1">
        <v>9.0</v>
      </c>
      <c r="P27" s="1">
        <v>1.0</v>
      </c>
      <c r="Q27" s="1">
        <v>0.333333</v>
      </c>
      <c r="R27" s="1">
        <v>2.0</v>
      </c>
      <c r="S27" s="1">
        <v>-0.368431</v>
      </c>
      <c r="T27" s="1">
        <v>100.0</v>
      </c>
      <c r="U27" s="1">
        <v>0.0</v>
      </c>
      <c r="V27" s="1">
        <v>0.0</v>
      </c>
      <c r="W27" s="1">
        <v>95.846239</v>
      </c>
    </row>
    <row r="28">
      <c r="A28" s="1" t="s">
        <v>19</v>
      </c>
      <c r="B28" s="1" t="s">
        <v>176</v>
      </c>
      <c r="C28" s="1" t="s">
        <v>73</v>
      </c>
      <c r="D28" s="1" t="s">
        <v>177</v>
      </c>
      <c r="E28" s="3" t="str">
        <f>'res269 Ari'!C77</f>
        <v>maybe</v>
      </c>
      <c r="F28" s="3" t="str">
        <f>'res269 Ari'!D77</f>
        <v>unsatisfied sulfonamide O is probably bad</v>
      </c>
      <c r="G28" s="3" t="str">
        <f>'res269 Summer'!C77</f>
        <v>decent</v>
      </c>
      <c r="H28" s="3" t="str">
        <f>'res269 Summer'!D77</f>
        <v/>
      </c>
      <c r="I28" s="3" t="s">
        <v>95</v>
      </c>
      <c r="J28" s="3" t="str">
        <f>'res269 Mary Shay'!D77</f>
        <v/>
      </c>
      <c r="K28" s="3" t="s">
        <v>178</v>
      </c>
      <c r="L28" s="3">
        <v>0.593720000000001</v>
      </c>
      <c r="M28" s="1" t="str">
        <f>IFERROR(__xludf.DUMMYFUNCTION("IFERROR(REGEXEXTRACT(G28, ""res(269|122)""), ""none"")"),"none")</f>
        <v>none</v>
      </c>
      <c r="N28" s="1">
        <v>-15.935374</v>
      </c>
      <c r="O28" s="1">
        <v>10.0</v>
      </c>
      <c r="P28" s="1">
        <v>2.0</v>
      </c>
      <c r="Q28" s="1">
        <v>0.3</v>
      </c>
      <c r="R28" s="1">
        <v>3.0</v>
      </c>
      <c r="S28" s="1">
        <v>-1.849118</v>
      </c>
      <c r="T28" s="1">
        <v>100.0</v>
      </c>
      <c r="U28" s="1">
        <v>0.0</v>
      </c>
      <c r="V28" s="1">
        <v>0.0</v>
      </c>
      <c r="W28" s="1">
        <v>97.515508</v>
      </c>
    </row>
    <row r="29">
      <c r="A29" s="1" t="s">
        <v>19</v>
      </c>
      <c r="B29" s="1" t="s">
        <v>179</v>
      </c>
      <c r="C29" s="1" t="s">
        <v>73</v>
      </c>
      <c r="D29" s="1" t="s">
        <v>180</v>
      </c>
      <c r="E29" s="3" t="str">
        <f>'res269 Ari'!C78</f>
        <v>decent</v>
      </c>
      <c r="F29" s="3" t="str">
        <f>'res269 Ari'!D78</f>
        <v>same pose as Z4322826055, enantiomer</v>
      </c>
      <c r="G29" s="3" t="str">
        <f>'res269 Summer'!C78</f>
        <v>no</v>
      </c>
      <c r="H29" s="3" t="str">
        <f>'res269 Summer'!D78</f>
        <v/>
      </c>
      <c r="I29" s="3" t="s">
        <v>95</v>
      </c>
      <c r="J29" s="3" t="str">
        <f>'res269 Mary Shay'!D78</f>
        <v/>
      </c>
      <c r="K29" s="3" t="s">
        <v>181</v>
      </c>
      <c r="L29" s="3">
        <v>3.4661</v>
      </c>
      <c r="M29" s="1" t="str">
        <f>IFERROR(__xludf.DUMMYFUNCTION("IFERROR(REGEXEXTRACT(G29, ""res(269|122)""), ""none"")"),"none")</f>
        <v>none</v>
      </c>
      <c r="N29" s="1">
        <v>-15.953649</v>
      </c>
      <c r="O29" s="1">
        <v>12.0</v>
      </c>
      <c r="P29" s="1">
        <v>5.0</v>
      </c>
      <c r="Q29" s="1">
        <v>0.416667</v>
      </c>
      <c r="R29" s="1">
        <v>3.0</v>
      </c>
      <c r="S29" s="1">
        <v>-0.584621</v>
      </c>
      <c r="T29" s="1">
        <v>100.0</v>
      </c>
      <c r="U29" s="1">
        <v>0.0</v>
      </c>
      <c r="V29" s="1">
        <v>0.0</v>
      </c>
      <c r="W29" s="1">
        <v>103.878397</v>
      </c>
    </row>
    <row r="30">
      <c r="A30" s="1" t="s">
        <v>19</v>
      </c>
      <c r="B30" s="1" t="s">
        <v>182</v>
      </c>
      <c r="C30" s="1" t="s">
        <v>73</v>
      </c>
      <c r="D30" s="1" t="s">
        <v>183</v>
      </c>
      <c r="E30" s="3" t="str">
        <f>'res269 Ari'!C79</f>
        <v>decent</v>
      </c>
      <c r="F30" s="3" t="str">
        <f>'res269 Ari'!D79</f>
        <v>same pose as Z4322826053, enantiomer</v>
      </c>
      <c r="G30" s="3" t="str">
        <f>'res269 Summer'!C79</f>
        <v>no</v>
      </c>
      <c r="H30" s="3" t="str">
        <f>'res269 Summer'!D79</f>
        <v/>
      </c>
      <c r="I30" s="3" t="s">
        <v>95</v>
      </c>
      <c r="J30" s="3" t="str">
        <f>'res269 Mary Shay'!D79</f>
        <v/>
      </c>
      <c r="K30" s="3" t="s">
        <v>181</v>
      </c>
      <c r="L30" s="3">
        <v>3.4661</v>
      </c>
      <c r="M30" s="1" t="str">
        <f>IFERROR(__xludf.DUMMYFUNCTION("IFERROR(REGEXEXTRACT(G30, ""res(269|122)""), ""none"")"),"none")</f>
        <v>none</v>
      </c>
      <c r="N30" s="1">
        <v>-15.953649</v>
      </c>
      <c r="O30" s="1">
        <v>12.0</v>
      </c>
      <c r="P30" s="1">
        <v>5.0</v>
      </c>
      <c r="Q30" s="1">
        <v>0.416667</v>
      </c>
      <c r="R30" s="1">
        <v>3.0</v>
      </c>
      <c r="S30" s="1">
        <v>-0.584621</v>
      </c>
      <c r="T30" s="1">
        <v>100.0</v>
      </c>
      <c r="U30" s="1">
        <v>0.0</v>
      </c>
      <c r="V30" s="1">
        <v>0.0</v>
      </c>
      <c r="W30" s="1">
        <v>103.878397</v>
      </c>
    </row>
    <row r="31">
      <c r="A31" s="1" t="s">
        <v>19</v>
      </c>
      <c r="B31" s="1" t="s">
        <v>184</v>
      </c>
      <c r="C31" s="1" t="s">
        <v>73</v>
      </c>
      <c r="D31" s="1" t="s">
        <v>185</v>
      </c>
      <c r="E31" s="3" t="str">
        <f>'res269 Ari'!C81</f>
        <v>maybe</v>
      </c>
      <c r="F31" s="3" t="str">
        <f>'res269 Ari'!D81</f>
        <v>same pose as Z4881795915, enantiomer</v>
      </c>
      <c r="G31" s="3" t="str">
        <f>'res269 Summer'!C81</f>
        <v>decent</v>
      </c>
      <c r="H31" s="3" t="str">
        <f>'res269 Summer'!D81</f>
        <v/>
      </c>
      <c r="I31" s="3" t="s">
        <v>24</v>
      </c>
      <c r="J31" s="3" t="str">
        <f>'res269 Mary Shay'!D81</f>
        <v/>
      </c>
      <c r="K31" s="3" t="s">
        <v>186</v>
      </c>
      <c r="L31" s="3">
        <v>1.2021</v>
      </c>
      <c r="M31" s="1" t="str">
        <f>IFERROR(__xludf.DUMMYFUNCTION("IFERROR(REGEXEXTRACT(G31, ""res(269|122)""), ""none"")"),"none")</f>
        <v>none</v>
      </c>
      <c r="N31" s="1">
        <v>-15.47128</v>
      </c>
      <c r="O31" s="1">
        <v>8.0</v>
      </c>
      <c r="P31" s="1">
        <v>5.0</v>
      </c>
      <c r="Q31" s="1">
        <v>0.5</v>
      </c>
      <c r="R31" s="1">
        <v>2.0</v>
      </c>
      <c r="S31" s="1">
        <v>-0.38008</v>
      </c>
      <c r="T31" s="1">
        <v>100.0</v>
      </c>
      <c r="U31" s="1">
        <v>0.0</v>
      </c>
      <c r="V31" s="1">
        <v>0.0</v>
      </c>
      <c r="W31" s="1">
        <v>99.64864</v>
      </c>
    </row>
    <row r="32">
      <c r="E32" s="3"/>
      <c r="F32" s="3"/>
      <c r="G32" s="3" t="str">
        <f>'res269 Summer (old)'!C86</f>
        <v/>
      </c>
      <c r="H32" s="3" t="str">
        <f>'res269 Summer (old)'!D86</f>
        <v/>
      </c>
      <c r="I32" s="3" t="str">
        <f>'res269 Mary Shay'!C86</f>
        <v/>
      </c>
      <c r="J32" s="3" t="str">
        <f>'res269 Mary Shay'!D86</f>
        <v/>
      </c>
      <c r="K32" s="3"/>
      <c r="L32" s="3"/>
    </row>
    <row r="33">
      <c r="E33" s="3"/>
      <c r="F33" s="3"/>
      <c r="G33" s="3" t="str">
        <f>'res269 Summer (old)'!C87</f>
        <v/>
      </c>
      <c r="H33" s="3" t="str">
        <f>'res269 Summer (old)'!D87</f>
        <v/>
      </c>
      <c r="I33" s="3" t="str">
        <f>'res269 Mary Shay'!C87</f>
        <v/>
      </c>
      <c r="J33" s="3" t="str">
        <f>'res269 Mary Shay'!D87</f>
        <v/>
      </c>
      <c r="K33" s="3"/>
      <c r="L33" s="3"/>
    </row>
    <row r="34">
      <c r="E34" s="3"/>
      <c r="F34" s="3"/>
      <c r="G34" s="3" t="str">
        <f>'res269 Summer (old)'!C88</f>
        <v/>
      </c>
      <c r="H34" s="3" t="str">
        <f>'res269 Summer (old)'!D88</f>
        <v/>
      </c>
      <c r="I34" s="3" t="str">
        <f>'res269 Mary Shay'!C88</f>
        <v/>
      </c>
      <c r="J34" s="3" t="str">
        <f>'res269 Mary Shay'!D88</f>
        <v/>
      </c>
      <c r="K34" s="3"/>
      <c r="L34" s="3"/>
    </row>
    <row r="35">
      <c r="E35" s="3"/>
      <c r="F35" s="3"/>
      <c r="G35" s="3" t="str">
        <f>'res269 Summer (old)'!C89</f>
        <v/>
      </c>
      <c r="H35" s="3" t="str">
        <f>'res269 Summer (old)'!D89</f>
        <v/>
      </c>
      <c r="I35" s="3" t="str">
        <f>'res269 Mary Shay'!C89</f>
        <v/>
      </c>
      <c r="J35" s="3" t="str">
        <f>'res269 Mary Shay'!D89</f>
        <v/>
      </c>
      <c r="K35" s="3"/>
      <c r="L35" s="3"/>
    </row>
    <row r="36">
      <c r="E36" s="3"/>
      <c r="F36" s="3"/>
      <c r="G36" s="3" t="str">
        <f>'res269 Summer (old)'!C90</f>
        <v/>
      </c>
      <c r="H36" s="3" t="str">
        <f>'res269 Summer (old)'!D90</f>
        <v/>
      </c>
      <c r="I36" s="3" t="str">
        <f>'res269 Mary Shay'!C90</f>
        <v/>
      </c>
      <c r="J36" s="3" t="str">
        <f>'res269 Mary Shay'!D90</f>
        <v/>
      </c>
      <c r="K36" s="3"/>
      <c r="L36" s="3"/>
    </row>
    <row r="37">
      <c r="E37" s="3"/>
      <c r="F37" s="3"/>
      <c r="G37" s="3" t="str">
        <f>'res269 Summer (old)'!C91</f>
        <v/>
      </c>
      <c r="H37" s="3" t="str">
        <f>'res269 Summer (old)'!D91</f>
        <v/>
      </c>
      <c r="I37" s="3" t="str">
        <f>'res269 Mary Shay'!C91</f>
        <v/>
      </c>
      <c r="J37" s="3" t="str">
        <f>'res269 Mary Shay'!D91</f>
        <v/>
      </c>
      <c r="K37" s="3"/>
      <c r="L37" s="3"/>
    </row>
    <row r="38">
      <c r="E38" s="3"/>
      <c r="F38" s="3"/>
      <c r="G38" s="3" t="str">
        <f>'res269 Summer (old)'!C92</f>
        <v/>
      </c>
      <c r="H38" s="3" t="str">
        <f>'res269 Summer (old)'!D92</f>
        <v/>
      </c>
      <c r="I38" s="3" t="str">
        <f>'res269 Mary Shay'!C92</f>
        <v/>
      </c>
      <c r="J38" s="3" t="str">
        <f>'res269 Mary Shay'!D92</f>
        <v/>
      </c>
      <c r="K38" s="3"/>
      <c r="L38" s="3"/>
    </row>
    <row r="39">
      <c r="E39" s="3"/>
      <c r="F39" s="3"/>
      <c r="G39" s="3" t="str">
        <f>'res269 Summer (old)'!C93</f>
        <v/>
      </c>
      <c r="H39" s="3" t="str">
        <f>'res269 Summer (old)'!D93</f>
        <v/>
      </c>
      <c r="I39" s="3" t="str">
        <f>'res269 Mary Shay'!C93</f>
        <v/>
      </c>
      <c r="J39" s="3" t="str">
        <f>'res269 Mary Shay'!D93</f>
        <v/>
      </c>
      <c r="K39" s="3"/>
      <c r="L39" s="3"/>
    </row>
    <row r="40">
      <c r="E40" s="3"/>
      <c r="F40" s="3"/>
      <c r="G40" s="3" t="str">
        <f>'res269 Summer (old)'!C94</f>
        <v/>
      </c>
      <c r="H40" s="3" t="str">
        <f>'res269 Summer (old)'!D94</f>
        <v/>
      </c>
      <c r="I40" s="3" t="str">
        <f>'res269 Mary Shay'!C94</f>
        <v/>
      </c>
      <c r="J40" s="3" t="str">
        <f>'res269 Mary Shay'!D94</f>
        <v/>
      </c>
      <c r="K40" s="3"/>
      <c r="L40" s="3"/>
    </row>
    <row r="41">
      <c r="E41" s="3"/>
      <c r="F41" s="3"/>
      <c r="G41" s="3" t="str">
        <f>'res269 Summer (old)'!C95</f>
        <v/>
      </c>
      <c r="H41" s="3" t="str">
        <f>'res269 Summer (old)'!D95</f>
        <v/>
      </c>
      <c r="I41" s="3" t="str">
        <f>'res269 Mary Shay'!C95</f>
        <v/>
      </c>
      <c r="J41" s="3" t="str">
        <f>'res269 Mary Shay'!D95</f>
        <v/>
      </c>
      <c r="K41" s="3"/>
      <c r="L41" s="3"/>
    </row>
    <row r="42">
      <c r="E42" s="3"/>
      <c r="F42" s="3"/>
      <c r="G42" s="3" t="str">
        <f>'res269 Summer (old)'!C96</f>
        <v/>
      </c>
      <c r="H42" s="3" t="str">
        <f>'res269 Summer (old)'!D96</f>
        <v/>
      </c>
      <c r="I42" s="3" t="str">
        <f>'res269 Mary Shay'!C96</f>
        <v/>
      </c>
      <c r="J42" s="3" t="str">
        <f>'res269 Mary Shay'!D96</f>
        <v/>
      </c>
      <c r="K42" s="3"/>
      <c r="L42" s="3"/>
    </row>
    <row r="43">
      <c r="E43" s="3"/>
      <c r="F43" s="3"/>
      <c r="G43" s="3" t="str">
        <f>'res269 Summer (old)'!C97</f>
        <v/>
      </c>
      <c r="H43" s="3" t="str">
        <f>'res269 Summer (old)'!D97</f>
        <v/>
      </c>
      <c r="I43" s="3" t="str">
        <f>'res269 Mary Shay'!C97</f>
        <v/>
      </c>
      <c r="J43" s="3" t="str">
        <f>'res269 Mary Shay'!D97</f>
        <v/>
      </c>
      <c r="K43" s="3"/>
      <c r="L43" s="3"/>
    </row>
    <row r="44">
      <c r="E44" s="3"/>
      <c r="F44" s="3"/>
      <c r="G44" s="3" t="str">
        <f>'res269 Summer (old)'!C98</f>
        <v/>
      </c>
      <c r="H44" s="3" t="str">
        <f>'res269 Summer (old)'!D98</f>
        <v/>
      </c>
      <c r="I44" s="3" t="str">
        <f>'res269 Mary Shay'!C98</f>
        <v/>
      </c>
      <c r="J44" s="3" t="str">
        <f>'res269 Mary Shay'!D98</f>
        <v/>
      </c>
      <c r="K44" s="3"/>
      <c r="L44" s="3"/>
    </row>
    <row r="45">
      <c r="E45" s="3"/>
      <c r="F45" s="3"/>
      <c r="G45" s="3" t="str">
        <f>'res269 Summer (old)'!C99</f>
        <v/>
      </c>
      <c r="H45" s="3" t="str">
        <f>'res269 Summer (old)'!D99</f>
        <v/>
      </c>
      <c r="I45" s="3" t="str">
        <f>'res269 Mary Shay'!C99</f>
        <v/>
      </c>
      <c r="J45" s="3" t="str">
        <f>'res269 Mary Shay'!D99</f>
        <v/>
      </c>
      <c r="K45" s="3"/>
      <c r="L45" s="3"/>
    </row>
    <row r="46">
      <c r="E46" s="3"/>
      <c r="F46" s="3"/>
      <c r="G46" s="3" t="str">
        <f>'res269 Summer (old)'!C100</f>
        <v/>
      </c>
      <c r="H46" s="3" t="str">
        <f>'res269 Summer (old)'!D100</f>
        <v/>
      </c>
      <c r="I46" s="3" t="str">
        <f>'res269 Mary Shay'!C100</f>
        <v/>
      </c>
      <c r="J46" s="3" t="str">
        <f>'res269 Mary Shay'!D100</f>
        <v/>
      </c>
      <c r="K46" s="3"/>
      <c r="L46" s="3"/>
    </row>
    <row r="47">
      <c r="E47" s="3"/>
      <c r="F47" s="3"/>
      <c r="G47" s="3" t="str">
        <f>'res269 Summer (old)'!C101</f>
        <v/>
      </c>
      <c r="H47" s="3" t="str">
        <f>'res269 Summer (old)'!D101</f>
        <v/>
      </c>
      <c r="I47" s="3" t="str">
        <f>'res269 Mary Shay'!C101</f>
        <v/>
      </c>
      <c r="J47" s="3" t="str">
        <f>'res269 Mary Shay'!D101</f>
        <v/>
      </c>
      <c r="K47" s="3"/>
      <c r="L47" s="3"/>
    </row>
    <row r="48">
      <c r="E48" s="3"/>
      <c r="F48" s="3"/>
      <c r="G48" s="3" t="str">
        <f>'res269 Summer (old)'!C102</f>
        <v/>
      </c>
      <c r="H48" s="3" t="str">
        <f>'res269 Summer (old)'!D102</f>
        <v/>
      </c>
      <c r="I48" s="3" t="str">
        <f>'res269 Mary Shay'!C102</f>
        <v/>
      </c>
      <c r="J48" s="3" t="str">
        <f>'res269 Mary Shay'!D102</f>
        <v/>
      </c>
      <c r="K48" s="3"/>
      <c r="L48" s="3"/>
    </row>
    <row r="49">
      <c r="E49" s="3"/>
      <c r="F49" s="3"/>
      <c r="G49" s="3" t="str">
        <f>'res269 Summer (old)'!C103</f>
        <v/>
      </c>
      <c r="H49" s="3" t="str">
        <f>'res269 Summer (old)'!D103</f>
        <v/>
      </c>
      <c r="I49" s="3" t="str">
        <f>'res269 Mary Shay'!C103</f>
        <v/>
      </c>
      <c r="J49" s="3" t="str">
        <f>'res269 Mary Shay'!D103</f>
        <v/>
      </c>
      <c r="K49" s="3"/>
      <c r="L49" s="3"/>
    </row>
    <row r="50">
      <c r="E50" s="3"/>
      <c r="F50" s="3"/>
      <c r="G50" s="3" t="str">
        <f>'res269 Summer (old)'!C104</f>
        <v/>
      </c>
      <c r="H50" s="3" t="str">
        <f>'res269 Summer (old)'!D104</f>
        <v/>
      </c>
      <c r="I50" s="3" t="str">
        <f>'res269 Mary Shay'!C104</f>
        <v/>
      </c>
      <c r="J50" s="3" t="str">
        <f>'res269 Mary Shay'!D104</f>
        <v/>
      </c>
      <c r="K50" s="3"/>
      <c r="L50" s="3"/>
    </row>
    <row r="51">
      <c r="E51" s="3"/>
      <c r="F51" s="3"/>
      <c r="G51" s="3" t="str">
        <f>'res269 Summer (old)'!C105</f>
        <v/>
      </c>
      <c r="H51" s="3" t="str">
        <f>'res269 Summer (old)'!D105</f>
        <v/>
      </c>
      <c r="I51" s="3" t="str">
        <f>'res269 Mary Shay'!C105</f>
        <v/>
      </c>
      <c r="J51" s="3" t="str">
        <f>'res269 Mary Shay'!D105</f>
        <v/>
      </c>
      <c r="K51" s="3"/>
      <c r="L51" s="3"/>
    </row>
    <row r="52">
      <c r="E52" s="3"/>
      <c r="F52" s="3"/>
      <c r="G52" s="3" t="str">
        <f>'res269 Summer (old)'!C106</f>
        <v/>
      </c>
      <c r="H52" s="3" t="str">
        <f>'res269 Summer (old)'!D106</f>
        <v/>
      </c>
      <c r="I52" s="3" t="str">
        <f>'res269 Mary Shay'!C106</f>
        <v/>
      </c>
      <c r="J52" s="3" t="str">
        <f>'res269 Mary Shay'!D106</f>
        <v/>
      </c>
      <c r="K52" s="3"/>
      <c r="L52" s="3"/>
    </row>
    <row r="53">
      <c r="E53" s="3"/>
      <c r="F53" s="3"/>
      <c r="G53" s="3" t="str">
        <f>'res269 Summer (old)'!C107</f>
        <v/>
      </c>
      <c r="H53" s="3" t="str">
        <f>'res269 Summer (old)'!D107</f>
        <v/>
      </c>
      <c r="I53" s="3" t="str">
        <f>'res269 Mary Shay'!C107</f>
        <v/>
      </c>
      <c r="J53" s="3" t="str">
        <f>'res269 Mary Shay'!D107</f>
        <v/>
      </c>
      <c r="K53" s="3"/>
      <c r="L53" s="3"/>
    </row>
    <row r="54">
      <c r="E54" s="3"/>
      <c r="F54" s="3"/>
      <c r="G54" s="3" t="str">
        <f>'res269 Summer (old)'!C108</f>
        <v/>
      </c>
      <c r="H54" s="3" t="str">
        <f>'res269 Summer (old)'!D108</f>
        <v/>
      </c>
      <c r="I54" s="3" t="str">
        <f>'res269 Mary Shay'!C108</f>
        <v/>
      </c>
      <c r="J54" s="3" t="str">
        <f>'res269 Mary Shay'!D108</f>
        <v/>
      </c>
      <c r="K54" s="3"/>
      <c r="L54" s="3"/>
    </row>
    <row r="55">
      <c r="E55" s="3"/>
      <c r="F55" s="3"/>
      <c r="G55" s="3" t="str">
        <f>'res269 Summer (old)'!C109</f>
        <v/>
      </c>
      <c r="H55" s="3" t="str">
        <f>'res269 Summer (old)'!D109</f>
        <v/>
      </c>
      <c r="I55" s="3" t="str">
        <f>'res269 Mary Shay'!C109</f>
        <v/>
      </c>
      <c r="J55" s="3" t="str">
        <f>'res269 Mary Shay'!D109</f>
        <v/>
      </c>
      <c r="K55" s="3"/>
      <c r="L55" s="3"/>
    </row>
    <row r="56">
      <c r="E56" s="3"/>
      <c r="F56" s="3"/>
      <c r="G56" s="3" t="str">
        <f>'res269 Summer (old)'!C110</f>
        <v/>
      </c>
      <c r="H56" s="3" t="str">
        <f>'res269 Summer (old)'!D110</f>
        <v/>
      </c>
      <c r="I56" s="3" t="str">
        <f>'res269 Mary Shay'!C110</f>
        <v/>
      </c>
      <c r="J56" s="3" t="str">
        <f>'res269 Mary Shay'!D110</f>
        <v/>
      </c>
      <c r="K56" s="3"/>
      <c r="L56" s="3"/>
    </row>
    <row r="57">
      <c r="E57" s="3"/>
      <c r="F57" s="3"/>
      <c r="G57" s="3" t="str">
        <f>'res269 Summer (old)'!C111</f>
        <v/>
      </c>
      <c r="H57" s="3" t="str">
        <f>'res269 Summer (old)'!D111</f>
        <v/>
      </c>
      <c r="I57" s="3" t="str">
        <f>'res269 Mary Shay'!C111</f>
        <v/>
      </c>
      <c r="J57" s="3" t="str">
        <f>'res269 Mary Shay'!D111</f>
        <v/>
      </c>
      <c r="K57" s="3"/>
      <c r="L57" s="3"/>
    </row>
    <row r="58">
      <c r="E58" s="3"/>
      <c r="F58" s="3"/>
      <c r="G58" s="3" t="str">
        <f>'res269 Summer (old)'!C112</f>
        <v/>
      </c>
      <c r="H58" s="3" t="str">
        <f>'res269 Summer (old)'!D112</f>
        <v/>
      </c>
      <c r="I58" s="3" t="str">
        <f>'res269 Mary Shay'!C112</f>
        <v/>
      </c>
      <c r="J58" s="3" t="str">
        <f>'res269 Mary Shay'!D112</f>
        <v/>
      </c>
      <c r="K58" s="3"/>
      <c r="L58" s="3"/>
    </row>
    <row r="59">
      <c r="E59" s="3"/>
      <c r="F59" s="3"/>
      <c r="G59" s="3" t="str">
        <f>'res269 Summer (old)'!C113</f>
        <v/>
      </c>
      <c r="H59" s="3" t="str">
        <f>'res269 Summer (old)'!D113</f>
        <v/>
      </c>
      <c r="I59" s="3" t="str">
        <f>'res269 Mary Shay'!C113</f>
        <v/>
      </c>
      <c r="J59" s="3" t="str">
        <f>'res269 Mary Shay'!D113</f>
        <v/>
      </c>
      <c r="K59" s="3"/>
      <c r="L59" s="3"/>
    </row>
    <row r="60">
      <c r="E60" s="3"/>
      <c r="F60" s="3"/>
      <c r="G60" s="3" t="str">
        <f>'res269 Summer (old)'!C114</f>
        <v/>
      </c>
      <c r="H60" s="3" t="str">
        <f>'res269 Summer (old)'!D114</f>
        <v/>
      </c>
      <c r="I60" s="3" t="str">
        <f>'res269 Mary Shay'!C114</f>
        <v/>
      </c>
      <c r="J60" s="3" t="str">
        <f>'res269 Mary Shay'!D114</f>
        <v/>
      </c>
      <c r="K60" s="3"/>
      <c r="L60" s="3"/>
    </row>
    <row r="61">
      <c r="E61" s="3"/>
      <c r="F61" s="3"/>
      <c r="G61" s="3" t="str">
        <f>'res269 Summer (old)'!C115</f>
        <v/>
      </c>
      <c r="H61" s="3" t="str">
        <f>'res269 Summer (old)'!D115</f>
        <v/>
      </c>
      <c r="I61" s="3" t="str">
        <f>'res269 Mary Shay'!C115</f>
        <v/>
      </c>
      <c r="J61" s="3" t="str">
        <f>'res269 Mary Shay'!D115</f>
        <v/>
      </c>
      <c r="K61" s="3"/>
      <c r="L61" s="3"/>
    </row>
    <row r="62">
      <c r="E62" s="3"/>
      <c r="F62" s="3"/>
      <c r="G62" s="3" t="str">
        <f>'res269 Summer (old)'!C116</f>
        <v/>
      </c>
      <c r="H62" s="3" t="str">
        <f>'res269 Summer (old)'!D116</f>
        <v/>
      </c>
      <c r="I62" s="3" t="str">
        <f>'res269 Mary Shay'!C116</f>
        <v/>
      </c>
      <c r="J62" s="3" t="str">
        <f>'res269 Mary Shay'!D116</f>
        <v/>
      </c>
      <c r="K62" s="3"/>
      <c r="L62" s="3"/>
    </row>
    <row r="63">
      <c r="E63" s="3"/>
      <c r="F63" s="3"/>
      <c r="G63" s="3" t="str">
        <f>'res269 Summer (old)'!C117</f>
        <v/>
      </c>
      <c r="H63" s="3" t="str">
        <f>'res269 Summer (old)'!D117</f>
        <v/>
      </c>
      <c r="I63" s="3" t="str">
        <f>'res269 Mary Shay'!C117</f>
        <v/>
      </c>
      <c r="J63" s="3" t="str">
        <f>'res269 Mary Shay'!D117</f>
        <v/>
      </c>
      <c r="K63" s="3"/>
      <c r="L63" s="3"/>
    </row>
    <row r="64">
      <c r="E64" s="3"/>
      <c r="F64" s="3"/>
      <c r="G64" s="3" t="str">
        <f>'res269 Summer (old)'!C118</f>
        <v/>
      </c>
      <c r="H64" s="3" t="str">
        <f>'res269 Summer (old)'!D118</f>
        <v/>
      </c>
      <c r="I64" s="3" t="str">
        <f>'res269 Mary Shay'!C118</f>
        <v/>
      </c>
      <c r="J64" s="3" t="str">
        <f>'res269 Mary Shay'!D118</f>
        <v/>
      </c>
      <c r="K64" s="3"/>
      <c r="L64" s="3"/>
    </row>
    <row r="65">
      <c r="E65" s="3"/>
      <c r="F65" s="3"/>
      <c r="G65" s="3" t="str">
        <f>'res269 Summer (old)'!C119</f>
        <v/>
      </c>
      <c r="H65" s="3" t="str">
        <f>'res269 Summer (old)'!D119</f>
        <v/>
      </c>
      <c r="I65" s="3" t="str">
        <f>'res269 Mary Shay'!C119</f>
        <v/>
      </c>
      <c r="J65" s="3" t="str">
        <f>'res269 Mary Shay'!D119</f>
        <v/>
      </c>
      <c r="K65" s="3"/>
      <c r="L65" s="3"/>
    </row>
    <row r="66">
      <c r="E66" s="3"/>
      <c r="F66" s="3"/>
      <c r="G66" s="3" t="str">
        <f>'res269 Summer (old)'!C120</f>
        <v/>
      </c>
      <c r="H66" s="3" t="str">
        <f>'res269 Summer (old)'!D120</f>
        <v/>
      </c>
      <c r="I66" s="3" t="str">
        <f>'res269 Mary Shay'!C120</f>
        <v/>
      </c>
      <c r="J66" s="3" t="str">
        <f>'res269 Mary Shay'!D120</f>
        <v/>
      </c>
      <c r="K66" s="3"/>
      <c r="L66" s="3"/>
    </row>
    <row r="67">
      <c r="E67" s="3"/>
      <c r="F67" s="3"/>
      <c r="G67" s="3" t="str">
        <f>'res269 Summer (old)'!C121</f>
        <v/>
      </c>
      <c r="H67" s="3" t="str">
        <f>'res269 Summer (old)'!D121</f>
        <v/>
      </c>
      <c r="I67" s="3" t="str">
        <f>'res269 Mary Shay'!C121</f>
        <v/>
      </c>
      <c r="J67" s="3" t="str">
        <f>'res269 Mary Shay'!D121</f>
        <v/>
      </c>
      <c r="K67" s="3"/>
      <c r="L67" s="3"/>
    </row>
    <row r="68">
      <c r="E68" s="3"/>
      <c r="F68" s="3"/>
      <c r="G68" s="3" t="str">
        <f>'res269 Summer (old)'!C122</f>
        <v/>
      </c>
      <c r="H68" s="3" t="str">
        <f>'res269 Summer (old)'!D122</f>
        <v/>
      </c>
      <c r="I68" s="3" t="str">
        <f>'res269 Mary Shay'!C122</f>
        <v/>
      </c>
      <c r="J68" s="3" t="str">
        <f>'res269 Mary Shay'!D122</f>
        <v/>
      </c>
      <c r="K68" s="3"/>
      <c r="L68" s="3"/>
    </row>
    <row r="69">
      <c r="E69" s="3"/>
      <c r="F69" s="3"/>
      <c r="G69" s="3" t="str">
        <f>'res269 Summer (old)'!C123</f>
        <v/>
      </c>
      <c r="H69" s="3" t="str">
        <f>'res269 Summer (old)'!D123</f>
        <v/>
      </c>
      <c r="I69" s="3" t="str">
        <f>'res269 Mary Shay'!C123</f>
        <v/>
      </c>
      <c r="J69" s="3" t="str">
        <f>'res269 Mary Shay'!D123</f>
        <v/>
      </c>
      <c r="K69" s="3"/>
      <c r="L69" s="3"/>
    </row>
    <row r="70">
      <c r="E70" s="3"/>
      <c r="F70" s="3"/>
      <c r="G70" s="3" t="str">
        <f>'res269 Summer (old)'!C124</f>
        <v/>
      </c>
      <c r="H70" s="3" t="str">
        <f>'res269 Summer (old)'!D124</f>
        <v/>
      </c>
      <c r="I70" s="3" t="str">
        <f>'res269 Mary Shay'!C124</f>
        <v/>
      </c>
      <c r="J70" s="3" t="str">
        <f>'res269 Mary Shay'!D124</f>
        <v/>
      </c>
      <c r="K70" s="3"/>
      <c r="L70" s="3"/>
    </row>
    <row r="71">
      <c r="E71" s="3"/>
      <c r="F71" s="3"/>
      <c r="G71" s="3" t="str">
        <f>'res269 Summer (old)'!C125</f>
        <v/>
      </c>
      <c r="H71" s="3" t="str">
        <f>'res269 Summer (old)'!D125</f>
        <v/>
      </c>
      <c r="I71" s="3" t="str">
        <f>'res269 Mary Shay'!C125</f>
        <v/>
      </c>
      <c r="J71" s="3" t="str">
        <f>'res269 Mary Shay'!D125</f>
        <v/>
      </c>
      <c r="K71" s="3"/>
      <c r="L71" s="3"/>
    </row>
    <row r="72">
      <c r="E72" s="3"/>
      <c r="F72" s="3"/>
      <c r="G72" s="3" t="str">
        <f>'res269 Summer (old)'!C126</f>
        <v/>
      </c>
      <c r="H72" s="3" t="str">
        <f>'res269 Summer (old)'!D126</f>
        <v/>
      </c>
      <c r="I72" s="3" t="str">
        <f>'res269 Mary Shay'!C126</f>
        <v/>
      </c>
      <c r="J72" s="3" t="str">
        <f>'res269 Mary Shay'!D126</f>
        <v/>
      </c>
      <c r="K72" s="3"/>
      <c r="L72" s="3"/>
    </row>
    <row r="73">
      <c r="E73" s="3"/>
      <c r="F73" s="3"/>
      <c r="G73" s="3" t="str">
        <f>'res269 Summer (old)'!C127</f>
        <v/>
      </c>
      <c r="H73" s="3" t="str">
        <f>'res269 Summer (old)'!D127</f>
        <v/>
      </c>
      <c r="I73" s="3" t="str">
        <f>'res269 Mary Shay'!C127</f>
        <v/>
      </c>
      <c r="J73" s="3" t="str">
        <f>'res269 Mary Shay'!D127</f>
        <v/>
      </c>
      <c r="K73" s="3"/>
      <c r="L73" s="3"/>
    </row>
    <row r="74">
      <c r="E74" s="3"/>
      <c r="F74" s="3"/>
      <c r="G74" s="3" t="str">
        <f>'res269 Summer (old)'!C128</f>
        <v/>
      </c>
      <c r="H74" s="3" t="str">
        <f>'res269 Summer (old)'!D128</f>
        <v/>
      </c>
      <c r="I74" s="3" t="str">
        <f>'res269 Mary Shay'!C128</f>
        <v/>
      </c>
      <c r="J74" s="3" t="str">
        <f>'res269 Mary Shay'!D128</f>
        <v/>
      </c>
      <c r="K74" s="3"/>
      <c r="L74" s="3"/>
    </row>
    <row r="75">
      <c r="E75" s="3"/>
      <c r="F75" s="3"/>
      <c r="G75" s="3" t="str">
        <f>'res269 Summer (old)'!C129</f>
        <v/>
      </c>
      <c r="H75" s="3" t="str">
        <f>'res269 Summer (old)'!D129</f>
        <v/>
      </c>
      <c r="I75" s="3" t="str">
        <f>'res269 Mary Shay'!C129</f>
        <v/>
      </c>
      <c r="J75" s="3" t="str">
        <f>'res269 Mary Shay'!D129</f>
        <v/>
      </c>
      <c r="K75" s="3"/>
      <c r="L75" s="3"/>
    </row>
    <row r="76">
      <c r="E76" s="3"/>
      <c r="F76" s="3"/>
      <c r="G76" s="3" t="str">
        <f>'res269 Summer (old)'!C130</f>
        <v/>
      </c>
      <c r="H76" s="3" t="str">
        <f>'res269 Summer (old)'!D130</f>
        <v/>
      </c>
      <c r="I76" s="3" t="str">
        <f>'res269 Mary Shay'!C130</f>
        <v/>
      </c>
      <c r="J76" s="3" t="str">
        <f>'res269 Mary Shay'!D130</f>
        <v/>
      </c>
      <c r="K76" s="3"/>
      <c r="L76" s="3"/>
    </row>
    <row r="77">
      <c r="E77" s="3"/>
      <c r="F77" s="3"/>
      <c r="G77" s="3" t="str">
        <f>'res269 Summer (old)'!C131</f>
        <v/>
      </c>
      <c r="H77" s="3" t="str">
        <f>'res269 Summer (old)'!D131</f>
        <v/>
      </c>
      <c r="I77" s="3" t="str">
        <f>'res269 Mary Shay'!C131</f>
        <v/>
      </c>
      <c r="J77" s="3" t="str">
        <f>'res269 Mary Shay'!D131</f>
        <v/>
      </c>
      <c r="K77" s="3"/>
      <c r="L77" s="3"/>
    </row>
    <row r="78">
      <c r="E78" s="3"/>
      <c r="F78" s="3"/>
      <c r="G78" s="3" t="str">
        <f>'res269 Summer (old)'!C132</f>
        <v/>
      </c>
      <c r="H78" s="3" t="str">
        <f>'res269 Summer (old)'!D132</f>
        <v/>
      </c>
      <c r="I78" s="3" t="str">
        <f>'res269 Mary Shay'!C132</f>
        <v/>
      </c>
      <c r="J78" s="3" t="str">
        <f>'res269 Mary Shay'!D132</f>
        <v/>
      </c>
      <c r="K78" s="3"/>
      <c r="L78" s="3"/>
    </row>
    <row r="79">
      <c r="E79" s="3"/>
      <c r="F79" s="3"/>
      <c r="G79" s="3" t="str">
        <f>'res269 Summer (old)'!C133</f>
        <v/>
      </c>
      <c r="H79" s="3" t="str">
        <f>'res269 Summer (old)'!D133</f>
        <v/>
      </c>
      <c r="I79" s="3" t="str">
        <f>'res269 Mary Shay'!C133</f>
        <v/>
      </c>
      <c r="J79" s="3" t="str">
        <f>'res269 Mary Shay'!D133</f>
        <v/>
      </c>
      <c r="K79" s="3"/>
      <c r="L79" s="3"/>
    </row>
    <row r="80">
      <c r="E80" s="3"/>
      <c r="F80" s="3"/>
      <c r="G80" s="3" t="str">
        <f>'res269 Summer (old)'!C134</f>
        <v/>
      </c>
      <c r="H80" s="3" t="str">
        <f>'res269 Summer (old)'!D134</f>
        <v/>
      </c>
      <c r="I80" s="3" t="str">
        <f>'res269 Mary Shay'!C134</f>
        <v/>
      </c>
      <c r="J80" s="3" t="str">
        <f>'res269 Mary Shay'!D134</f>
        <v/>
      </c>
      <c r="K80" s="3"/>
      <c r="L80" s="3"/>
    </row>
    <row r="81">
      <c r="E81" s="3"/>
      <c r="F81" s="3"/>
      <c r="G81" s="3" t="str">
        <f>'res269 Summer (old)'!C135</f>
        <v/>
      </c>
      <c r="H81" s="3" t="str">
        <f>'res269 Summer (old)'!D135</f>
        <v/>
      </c>
      <c r="I81" s="3" t="str">
        <f>'res269 Mary Shay'!C135</f>
        <v/>
      </c>
      <c r="J81" s="3" t="str">
        <f>'res269 Mary Shay'!D135</f>
        <v/>
      </c>
      <c r="K81" s="3"/>
      <c r="L81" s="3"/>
    </row>
    <row r="82">
      <c r="E82" s="3"/>
      <c r="F82" s="3"/>
      <c r="G82" s="3" t="str">
        <f>'res269 Summer (old)'!C136</f>
        <v/>
      </c>
      <c r="H82" s="3" t="str">
        <f>'res269 Summer (old)'!D136</f>
        <v/>
      </c>
      <c r="I82" s="3" t="str">
        <f>'res269 Mary Shay'!C136</f>
        <v/>
      </c>
      <c r="J82" s="3" t="str">
        <f>'res269 Mary Shay'!D136</f>
        <v/>
      </c>
      <c r="K82" s="3"/>
      <c r="L82" s="3"/>
    </row>
    <row r="83">
      <c r="E83" s="3"/>
      <c r="F83" s="3"/>
      <c r="G83" s="3" t="str">
        <f>'res269 Summer (old)'!C137</f>
        <v/>
      </c>
      <c r="H83" s="3" t="str">
        <f>'res269 Summer (old)'!D137</f>
        <v/>
      </c>
      <c r="I83" s="3" t="str">
        <f>'res269 Mary Shay'!C137</f>
        <v/>
      </c>
      <c r="J83" s="3" t="str">
        <f>'res269 Mary Shay'!D137</f>
        <v/>
      </c>
      <c r="K83" s="3"/>
      <c r="L83" s="3"/>
    </row>
    <row r="84">
      <c r="E84" s="3"/>
      <c r="F84" s="3"/>
      <c r="G84" s="3" t="str">
        <f>'res269 Summer (old)'!C138</f>
        <v/>
      </c>
      <c r="H84" s="3" t="str">
        <f>'res269 Summer (old)'!D138</f>
        <v/>
      </c>
      <c r="I84" s="3" t="str">
        <f>'res269 Mary Shay'!C138</f>
        <v/>
      </c>
      <c r="J84" s="3" t="str">
        <f>'res269 Mary Shay'!D138</f>
        <v/>
      </c>
      <c r="K84" s="3"/>
      <c r="L84" s="3"/>
    </row>
    <row r="85">
      <c r="E85" s="3"/>
      <c r="F85" s="3"/>
      <c r="G85" s="3" t="str">
        <f>'res269 Summer (old)'!C139</f>
        <v/>
      </c>
      <c r="H85" s="3" t="str">
        <f>'res269 Summer (old)'!D139</f>
        <v/>
      </c>
      <c r="I85" s="3" t="str">
        <f>'res269 Mary Shay'!C139</f>
        <v/>
      </c>
      <c r="J85" s="3" t="str">
        <f>'res269 Mary Shay'!D139</f>
        <v/>
      </c>
      <c r="K85" s="3"/>
      <c r="L85" s="3"/>
    </row>
    <row r="86">
      <c r="E86" s="3"/>
      <c r="F86" s="3"/>
      <c r="G86" s="3" t="str">
        <f>'res269 Summer (old)'!C140</f>
        <v/>
      </c>
      <c r="H86" s="3" t="str">
        <f>'res269 Summer (old)'!D140</f>
        <v/>
      </c>
      <c r="I86" s="3" t="str">
        <f>'res269 Mary Shay'!C140</f>
        <v/>
      </c>
      <c r="J86" s="3" t="str">
        <f>'res269 Mary Shay'!D140</f>
        <v/>
      </c>
      <c r="K86" s="3"/>
      <c r="L86" s="3"/>
    </row>
    <row r="87">
      <c r="E87" s="3"/>
      <c r="F87" s="3"/>
      <c r="G87" s="3" t="str">
        <f>'res269 Summer (old)'!C141</f>
        <v/>
      </c>
      <c r="H87" s="3" t="str">
        <f>'res269 Summer (old)'!D141</f>
        <v/>
      </c>
      <c r="I87" s="3" t="str">
        <f>'res269 Mary Shay'!C141</f>
        <v/>
      </c>
      <c r="J87" s="3" t="str">
        <f>'res269 Mary Shay'!D141</f>
        <v/>
      </c>
      <c r="K87" s="3"/>
      <c r="L87" s="3"/>
    </row>
    <row r="88">
      <c r="E88" s="3"/>
      <c r="F88" s="3"/>
      <c r="G88" s="3" t="str">
        <f>'res269 Summer (old)'!C142</f>
        <v/>
      </c>
      <c r="H88" s="3" t="str">
        <f>'res269 Summer (old)'!D142</f>
        <v/>
      </c>
      <c r="I88" s="3" t="str">
        <f>'res269 Mary Shay'!C142</f>
        <v/>
      </c>
      <c r="J88" s="3" t="str">
        <f>'res269 Mary Shay'!D142</f>
        <v/>
      </c>
      <c r="K88" s="3"/>
      <c r="L88" s="3"/>
    </row>
    <row r="89">
      <c r="E89" s="3"/>
      <c r="F89" s="3"/>
      <c r="G89" s="3" t="str">
        <f>'res269 Summer (old)'!C143</f>
        <v/>
      </c>
      <c r="H89" s="3" t="str">
        <f>'res269 Summer (old)'!D143</f>
        <v/>
      </c>
      <c r="I89" s="3" t="str">
        <f>'res269 Mary Shay'!C143</f>
        <v/>
      </c>
      <c r="J89" s="3" t="str">
        <f>'res269 Mary Shay'!D143</f>
        <v/>
      </c>
      <c r="K89" s="3"/>
      <c r="L89" s="3"/>
    </row>
    <row r="90">
      <c r="E90" s="3"/>
      <c r="F90" s="3"/>
      <c r="G90" s="3" t="str">
        <f>'res269 Summer (old)'!C144</f>
        <v/>
      </c>
      <c r="H90" s="3" t="str">
        <f>'res269 Summer (old)'!D144</f>
        <v/>
      </c>
      <c r="I90" s="3" t="str">
        <f>'res269 Mary Shay'!C144</f>
        <v/>
      </c>
      <c r="J90" s="3" t="str">
        <f>'res269 Mary Shay'!D144</f>
        <v/>
      </c>
      <c r="K90" s="3"/>
      <c r="L90" s="3"/>
    </row>
    <row r="91">
      <c r="E91" s="3"/>
      <c r="F91" s="3"/>
      <c r="G91" s="3" t="str">
        <f>'res269 Summer (old)'!C145</f>
        <v/>
      </c>
      <c r="H91" s="3" t="str">
        <f>'res269 Summer (old)'!D145</f>
        <v/>
      </c>
      <c r="I91" s="3" t="str">
        <f>'res269 Mary Shay'!C145</f>
        <v/>
      </c>
      <c r="J91" s="3" t="str">
        <f>'res269 Mary Shay'!D145</f>
        <v/>
      </c>
      <c r="K91" s="3"/>
      <c r="L91" s="3"/>
    </row>
    <row r="92">
      <c r="E92" s="3"/>
      <c r="F92" s="3"/>
      <c r="G92" s="3" t="str">
        <f>'res269 Summer (old)'!C146</f>
        <v/>
      </c>
      <c r="H92" s="3" t="str">
        <f>'res269 Summer (old)'!D146</f>
        <v/>
      </c>
      <c r="I92" s="3" t="str">
        <f>'res269 Mary Shay'!C146</f>
        <v/>
      </c>
      <c r="J92" s="3" t="str">
        <f>'res269 Mary Shay'!D146</f>
        <v/>
      </c>
      <c r="K92" s="3"/>
      <c r="L92" s="3"/>
    </row>
    <row r="93">
      <c r="E93" s="3"/>
      <c r="F93" s="3"/>
      <c r="G93" s="3" t="str">
        <f>'res269 Summer (old)'!C147</f>
        <v/>
      </c>
      <c r="H93" s="3" t="str">
        <f>'res269 Summer (old)'!D147</f>
        <v/>
      </c>
      <c r="I93" s="3" t="str">
        <f>'res269 Mary Shay'!C147</f>
        <v/>
      </c>
      <c r="J93" s="3" t="str">
        <f>'res269 Mary Shay'!D147</f>
        <v/>
      </c>
      <c r="K93" s="3"/>
      <c r="L93" s="3"/>
    </row>
    <row r="94">
      <c r="E94" s="3"/>
      <c r="F94" s="3"/>
      <c r="G94" s="3" t="str">
        <f>'res269 Summer (old)'!C148</f>
        <v/>
      </c>
      <c r="H94" s="3" t="str">
        <f>'res269 Summer (old)'!D148</f>
        <v/>
      </c>
      <c r="I94" s="3" t="str">
        <f>'res269 Mary Shay'!C148</f>
        <v/>
      </c>
      <c r="J94" s="3" t="str">
        <f>'res269 Mary Shay'!D148</f>
        <v/>
      </c>
      <c r="K94" s="3"/>
      <c r="L94" s="3"/>
    </row>
    <row r="95">
      <c r="E95" s="3"/>
      <c r="F95" s="3"/>
      <c r="G95" s="3" t="str">
        <f>'res269 Summer (old)'!C149</f>
        <v/>
      </c>
      <c r="H95" s="3" t="str">
        <f>'res269 Summer (old)'!D149</f>
        <v/>
      </c>
      <c r="I95" s="3" t="str">
        <f>'res269 Mary Shay'!C149</f>
        <v/>
      </c>
      <c r="J95" s="3" t="str">
        <f>'res269 Mary Shay'!D149</f>
        <v/>
      </c>
      <c r="K95" s="3"/>
      <c r="L95" s="3"/>
    </row>
    <row r="96">
      <c r="E96" s="3"/>
      <c r="F96" s="3"/>
      <c r="G96" s="3" t="str">
        <f>'res269 Summer (old)'!C150</f>
        <v/>
      </c>
      <c r="H96" s="3" t="str">
        <f>'res269 Summer (old)'!D150</f>
        <v/>
      </c>
      <c r="I96" s="3" t="str">
        <f>'res269 Mary Shay'!C150</f>
        <v/>
      </c>
      <c r="J96" s="3" t="str">
        <f>'res269 Mary Shay'!D150</f>
        <v/>
      </c>
      <c r="K96" s="3"/>
      <c r="L96" s="3"/>
    </row>
    <row r="97">
      <c r="E97" s="3"/>
      <c r="F97" s="3"/>
      <c r="G97" s="3" t="str">
        <f>'res269 Summer (old)'!C151</f>
        <v/>
      </c>
      <c r="H97" s="3" t="str">
        <f>'res269 Summer (old)'!D151</f>
        <v/>
      </c>
      <c r="I97" s="3" t="str">
        <f>'res269 Mary Shay'!C151</f>
        <v/>
      </c>
      <c r="J97" s="3" t="str">
        <f>'res269 Mary Shay'!D151</f>
        <v/>
      </c>
      <c r="K97" s="3"/>
      <c r="L97" s="3"/>
    </row>
    <row r="98">
      <c r="E98" s="3"/>
      <c r="F98" s="3"/>
      <c r="G98" s="3" t="str">
        <f>'res269 Summer (old)'!C152</f>
        <v/>
      </c>
      <c r="H98" s="3" t="str">
        <f>'res269 Summer (old)'!D152</f>
        <v/>
      </c>
      <c r="I98" s="3" t="str">
        <f>'res269 Mary Shay'!C152</f>
        <v/>
      </c>
      <c r="J98" s="3" t="str">
        <f>'res269 Mary Shay'!D152</f>
        <v/>
      </c>
      <c r="K98" s="3"/>
      <c r="L98" s="3"/>
    </row>
    <row r="99">
      <c r="E99" s="3"/>
      <c r="F99" s="3"/>
      <c r="G99" s="3" t="str">
        <f>'res269 Summer (old)'!C153</f>
        <v/>
      </c>
      <c r="H99" s="3" t="str">
        <f>'res269 Summer (old)'!D153</f>
        <v/>
      </c>
      <c r="I99" s="3" t="str">
        <f>'res269 Mary Shay'!C153</f>
        <v/>
      </c>
      <c r="J99" s="3" t="str">
        <f>'res269 Mary Shay'!D153</f>
        <v/>
      </c>
      <c r="K99" s="3"/>
      <c r="L99" s="3"/>
    </row>
    <row r="100">
      <c r="E100" s="3"/>
      <c r="F100" s="3"/>
      <c r="G100" s="3" t="str">
        <f>'res269 Summer (old)'!C154</f>
        <v/>
      </c>
      <c r="H100" s="3" t="str">
        <f>'res269 Summer (old)'!D154</f>
        <v/>
      </c>
      <c r="I100" s="3" t="str">
        <f>'res269 Mary Shay'!C154</f>
        <v/>
      </c>
      <c r="J100" s="3" t="str">
        <f>'res269 Mary Shay'!D154</f>
        <v/>
      </c>
      <c r="K100" s="3"/>
      <c r="L100" s="3"/>
    </row>
    <row r="101">
      <c r="E101" s="3"/>
      <c r="F101" s="3"/>
      <c r="G101" s="3" t="str">
        <f>'res269 Summer (old)'!C155</f>
        <v/>
      </c>
      <c r="H101" s="3" t="str">
        <f>'res269 Summer (old)'!D155</f>
        <v/>
      </c>
      <c r="I101" s="3" t="str">
        <f>'res269 Mary Shay'!C155</f>
        <v/>
      </c>
      <c r="J101" s="3" t="str">
        <f>'res269 Mary Shay'!D155</f>
        <v/>
      </c>
      <c r="K101" s="3"/>
      <c r="L101" s="3"/>
    </row>
    <row r="102">
      <c r="E102" s="3"/>
      <c r="F102" s="3"/>
      <c r="G102" s="3" t="str">
        <f>'res269 Summer (old)'!C156</f>
        <v/>
      </c>
      <c r="H102" s="3" t="str">
        <f>'res269 Summer (old)'!D156</f>
        <v/>
      </c>
      <c r="I102" s="3" t="str">
        <f>'res269 Mary Shay'!C156</f>
        <v/>
      </c>
      <c r="J102" s="3" t="str">
        <f>'res269 Mary Shay'!D156</f>
        <v/>
      </c>
      <c r="K102" s="3"/>
      <c r="L102" s="3"/>
    </row>
    <row r="103">
      <c r="E103" s="3"/>
      <c r="F103" s="3"/>
      <c r="G103" s="3" t="str">
        <f>'res269 Summer (old)'!C157</f>
        <v/>
      </c>
      <c r="H103" s="3" t="str">
        <f>'res269 Summer (old)'!D157</f>
        <v/>
      </c>
      <c r="I103" s="3" t="str">
        <f>'res269 Mary Shay'!C157</f>
        <v/>
      </c>
      <c r="J103" s="3" t="str">
        <f>'res269 Mary Shay'!D157</f>
        <v/>
      </c>
      <c r="K103" s="3"/>
      <c r="L103" s="3"/>
    </row>
    <row r="104">
      <c r="E104" s="3"/>
      <c r="F104" s="3"/>
      <c r="G104" s="3" t="str">
        <f>'res269 Summer (old)'!C158</f>
        <v/>
      </c>
      <c r="H104" s="3" t="str">
        <f>'res269 Summer (old)'!D158</f>
        <v/>
      </c>
      <c r="I104" s="3" t="str">
        <f>'res269 Mary Shay'!C158</f>
        <v/>
      </c>
      <c r="J104" s="3" t="str">
        <f>'res269 Mary Shay'!D158</f>
        <v/>
      </c>
      <c r="K104" s="3"/>
      <c r="L104" s="3"/>
    </row>
    <row r="105">
      <c r="E105" s="3"/>
      <c r="F105" s="3"/>
      <c r="G105" s="3" t="str">
        <f>'res269 Summer (old)'!C159</f>
        <v/>
      </c>
      <c r="H105" s="3" t="str">
        <f>'res269 Summer (old)'!D159</f>
        <v/>
      </c>
      <c r="I105" s="3" t="str">
        <f>'res269 Mary Shay'!C159</f>
        <v/>
      </c>
      <c r="J105" s="3" t="str">
        <f>'res269 Mary Shay'!D159</f>
        <v/>
      </c>
      <c r="K105" s="3"/>
      <c r="L105" s="3"/>
    </row>
    <row r="106">
      <c r="E106" s="3"/>
      <c r="F106" s="3"/>
      <c r="G106" s="3" t="str">
        <f>'res269 Summer (old)'!C160</f>
        <v/>
      </c>
      <c r="H106" s="3" t="str">
        <f>'res269 Summer (old)'!D160</f>
        <v/>
      </c>
      <c r="I106" s="3" t="str">
        <f>'res269 Mary Shay'!C160</f>
        <v/>
      </c>
      <c r="J106" s="3" t="str">
        <f>'res269 Mary Shay'!D160</f>
        <v/>
      </c>
      <c r="K106" s="3"/>
      <c r="L106" s="3"/>
    </row>
    <row r="107">
      <c r="E107" s="3"/>
      <c r="F107" s="3"/>
      <c r="G107" s="3" t="str">
        <f>'res269 Summer (old)'!C161</f>
        <v/>
      </c>
      <c r="H107" s="3" t="str">
        <f>'res269 Summer (old)'!D161</f>
        <v/>
      </c>
      <c r="I107" s="3" t="str">
        <f>'res269 Mary Shay'!C161</f>
        <v/>
      </c>
      <c r="J107" s="3" t="str">
        <f>'res269 Mary Shay'!D161</f>
        <v/>
      </c>
      <c r="K107" s="3"/>
      <c r="L107" s="3"/>
    </row>
    <row r="108">
      <c r="E108" s="3"/>
      <c r="F108" s="3"/>
      <c r="G108" s="3" t="str">
        <f>'res269 Summer (old)'!C162</f>
        <v/>
      </c>
      <c r="H108" s="3" t="str">
        <f>'res269 Summer (old)'!D162</f>
        <v/>
      </c>
      <c r="I108" s="3" t="str">
        <f>'res269 Mary Shay'!C162</f>
        <v/>
      </c>
      <c r="J108" s="3" t="str">
        <f>'res269 Mary Shay'!D162</f>
        <v/>
      </c>
      <c r="K108" s="3"/>
      <c r="L108" s="3"/>
    </row>
    <row r="109">
      <c r="E109" s="3"/>
      <c r="F109" s="3"/>
      <c r="G109" s="3" t="str">
        <f>'res269 Summer (old)'!C163</f>
        <v/>
      </c>
      <c r="H109" s="3" t="str">
        <f>'res269 Summer (old)'!D163</f>
        <v/>
      </c>
      <c r="I109" s="3" t="str">
        <f>'res269 Mary Shay'!C163</f>
        <v/>
      </c>
      <c r="J109" s="3" t="str">
        <f>'res269 Mary Shay'!D163</f>
        <v/>
      </c>
      <c r="K109" s="3"/>
      <c r="L109" s="3"/>
    </row>
    <row r="110">
      <c r="E110" s="3"/>
      <c r="F110" s="3"/>
      <c r="G110" s="3" t="str">
        <f>'res269 Summer (old)'!C164</f>
        <v/>
      </c>
      <c r="H110" s="3" t="str">
        <f>'res269 Summer (old)'!D164</f>
        <v/>
      </c>
      <c r="I110" s="3" t="str">
        <f>'res269 Mary Shay'!C164</f>
        <v/>
      </c>
      <c r="J110" s="3" t="str">
        <f>'res269 Mary Shay'!D164</f>
        <v/>
      </c>
      <c r="K110" s="3"/>
      <c r="L110" s="3"/>
    </row>
    <row r="111">
      <c r="E111" s="3"/>
      <c r="F111" s="3"/>
      <c r="G111" s="3" t="str">
        <f>'res269 Summer (old)'!C165</f>
        <v/>
      </c>
      <c r="H111" s="3" t="str">
        <f>'res269 Summer (old)'!D165</f>
        <v/>
      </c>
      <c r="I111" s="3" t="str">
        <f>'res269 Mary Shay'!C165</f>
        <v/>
      </c>
      <c r="J111" s="3" t="str">
        <f>'res269 Mary Shay'!D165</f>
        <v/>
      </c>
      <c r="K111" s="3"/>
      <c r="L111" s="3"/>
    </row>
    <row r="112">
      <c r="E112" s="3"/>
      <c r="F112" s="3"/>
      <c r="G112" s="3" t="str">
        <f>'res269 Summer (old)'!C166</f>
        <v/>
      </c>
      <c r="H112" s="3" t="str">
        <f>'res269 Summer (old)'!D166</f>
        <v/>
      </c>
      <c r="I112" s="3" t="str">
        <f>'res269 Mary Shay'!C166</f>
        <v/>
      </c>
      <c r="J112" s="3" t="str">
        <f>'res269 Mary Shay'!D166</f>
        <v/>
      </c>
      <c r="K112" s="3"/>
      <c r="L112" s="3"/>
    </row>
    <row r="113">
      <c r="E113" s="3"/>
      <c r="F113" s="3"/>
      <c r="G113" s="3" t="str">
        <f>'res269 Summer (old)'!C167</f>
        <v/>
      </c>
      <c r="H113" s="3" t="str">
        <f>'res269 Summer (old)'!D167</f>
        <v/>
      </c>
      <c r="I113" s="3" t="str">
        <f>'res269 Mary Shay'!C167</f>
        <v/>
      </c>
      <c r="J113" s="3" t="str">
        <f>'res269 Mary Shay'!D167</f>
        <v/>
      </c>
      <c r="K113" s="3"/>
      <c r="L113" s="3"/>
    </row>
    <row r="114">
      <c r="E114" s="3"/>
      <c r="F114" s="3"/>
      <c r="G114" s="3" t="str">
        <f>'res269 Summer (old)'!C168</f>
        <v/>
      </c>
      <c r="H114" s="3" t="str">
        <f>'res269 Summer (old)'!D168</f>
        <v/>
      </c>
      <c r="I114" s="3" t="str">
        <f>'res269 Mary Shay'!C168</f>
        <v/>
      </c>
      <c r="J114" s="3" t="str">
        <f>'res269 Mary Shay'!D168</f>
        <v/>
      </c>
      <c r="K114" s="3"/>
      <c r="L114" s="3"/>
    </row>
    <row r="115">
      <c r="E115" s="3"/>
      <c r="F115" s="3"/>
      <c r="G115" s="3" t="str">
        <f>'res269 Summer (old)'!C169</f>
        <v/>
      </c>
      <c r="H115" s="3" t="str">
        <f>'res269 Summer (old)'!D169</f>
        <v/>
      </c>
      <c r="I115" s="3" t="str">
        <f>'res269 Mary Shay'!C169</f>
        <v/>
      </c>
      <c r="J115" s="3" t="str">
        <f>'res269 Mary Shay'!D169</f>
        <v/>
      </c>
      <c r="K115" s="3"/>
      <c r="L115" s="3"/>
    </row>
    <row r="116">
      <c r="E116" s="3"/>
      <c r="F116" s="3"/>
      <c r="G116" s="3" t="str">
        <f>'res269 Summer (old)'!C170</f>
        <v/>
      </c>
      <c r="H116" s="3" t="str">
        <f>'res269 Summer (old)'!D170</f>
        <v/>
      </c>
      <c r="I116" s="3" t="str">
        <f>'res269 Mary Shay'!C170</f>
        <v/>
      </c>
      <c r="J116" s="3" t="str">
        <f>'res269 Mary Shay'!D170</f>
        <v/>
      </c>
      <c r="K116" s="3"/>
      <c r="L116" s="3"/>
    </row>
    <row r="117">
      <c r="E117" s="3"/>
      <c r="F117" s="3"/>
      <c r="G117" s="3" t="str">
        <f>'res269 Summer (old)'!C171</f>
        <v/>
      </c>
      <c r="H117" s="3" t="str">
        <f>'res269 Summer (old)'!D171</f>
        <v/>
      </c>
      <c r="I117" s="3" t="str">
        <f>'res269 Mary Shay'!C171</f>
        <v/>
      </c>
      <c r="J117" s="3" t="str">
        <f>'res269 Mary Shay'!D171</f>
        <v/>
      </c>
      <c r="K117" s="3"/>
      <c r="L117" s="3"/>
    </row>
    <row r="118">
      <c r="E118" s="3"/>
      <c r="F118" s="3"/>
      <c r="G118" s="3" t="str">
        <f>'res269 Summer (old)'!C172</f>
        <v/>
      </c>
      <c r="H118" s="3" t="str">
        <f>'res269 Summer (old)'!D172</f>
        <v/>
      </c>
      <c r="I118" s="3" t="str">
        <f>'res269 Mary Shay'!C172</f>
        <v/>
      </c>
      <c r="J118" s="3" t="str">
        <f>'res269 Mary Shay'!D172</f>
        <v/>
      </c>
      <c r="K118" s="3"/>
      <c r="L118" s="3"/>
    </row>
    <row r="119">
      <c r="E119" s="3"/>
      <c r="F119" s="3"/>
      <c r="G119" s="3" t="str">
        <f>'res269 Summer (old)'!C173</f>
        <v/>
      </c>
      <c r="H119" s="3" t="str">
        <f>'res269 Summer (old)'!D173</f>
        <v/>
      </c>
      <c r="I119" s="3" t="str">
        <f>'res269 Mary Shay'!C173</f>
        <v/>
      </c>
      <c r="J119" s="3" t="str">
        <f>'res269 Mary Shay'!D173</f>
        <v/>
      </c>
      <c r="K119" s="3"/>
      <c r="L119" s="3"/>
    </row>
    <row r="120">
      <c r="E120" s="3"/>
      <c r="F120" s="3"/>
      <c r="G120" s="3" t="str">
        <f>'res269 Summer (old)'!C174</f>
        <v/>
      </c>
      <c r="H120" s="3" t="str">
        <f>'res269 Summer (old)'!D174</f>
        <v/>
      </c>
      <c r="I120" s="3" t="str">
        <f>'res269 Mary Shay'!C174</f>
        <v/>
      </c>
      <c r="J120" s="3" t="str">
        <f>'res269 Mary Shay'!D174</f>
        <v/>
      </c>
      <c r="K120" s="3"/>
      <c r="L120" s="3"/>
    </row>
    <row r="121">
      <c r="E121" s="3"/>
      <c r="F121" s="3"/>
      <c r="G121" s="3" t="str">
        <f>'res269 Summer (old)'!C175</f>
        <v/>
      </c>
      <c r="H121" s="3" t="str">
        <f>'res269 Summer (old)'!D175</f>
        <v/>
      </c>
      <c r="I121" s="3" t="str">
        <f>'res269 Mary Shay'!C175</f>
        <v/>
      </c>
      <c r="J121" s="3" t="str">
        <f>'res269 Mary Shay'!D175</f>
        <v/>
      </c>
      <c r="K121" s="3"/>
      <c r="L121" s="3"/>
    </row>
    <row r="122">
      <c r="E122" s="3"/>
      <c r="F122" s="3"/>
      <c r="G122" s="3" t="str">
        <f>'res269 Summer (old)'!C176</f>
        <v/>
      </c>
      <c r="H122" s="3" t="str">
        <f>'res269 Summer (old)'!D176</f>
        <v/>
      </c>
      <c r="I122" s="3" t="str">
        <f>'res269 Mary Shay'!C176</f>
        <v/>
      </c>
      <c r="J122" s="3" t="str">
        <f>'res269 Mary Shay'!D176</f>
        <v/>
      </c>
      <c r="K122" s="3"/>
      <c r="L122" s="3"/>
    </row>
    <row r="123">
      <c r="E123" s="3"/>
      <c r="F123" s="3"/>
      <c r="G123" s="3" t="str">
        <f>'res269 Summer (old)'!C177</f>
        <v/>
      </c>
      <c r="H123" s="3" t="str">
        <f>'res269 Summer (old)'!D177</f>
        <v/>
      </c>
      <c r="I123" s="3" t="str">
        <f>'res269 Mary Shay'!C177</f>
        <v/>
      </c>
      <c r="J123" s="3" t="str">
        <f>'res269 Mary Shay'!D177</f>
        <v/>
      </c>
      <c r="K123" s="3"/>
      <c r="L123" s="3"/>
    </row>
    <row r="124">
      <c r="E124" s="3"/>
      <c r="F124" s="3"/>
      <c r="G124" s="3" t="str">
        <f>'res269 Summer (old)'!C178</f>
        <v/>
      </c>
      <c r="H124" s="3" t="str">
        <f>'res269 Summer (old)'!D178</f>
        <v/>
      </c>
      <c r="I124" s="3" t="str">
        <f>'res269 Mary Shay'!C178</f>
        <v/>
      </c>
      <c r="J124" s="3" t="str">
        <f>'res269 Mary Shay'!D178</f>
        <v/>
      </c>
      <c r="K124" s="3"/>
      <c r="L124" s="3"/>
    </row>
    <row r="125">
      <c r="E125" s="3"/>
      <c r="F125" s="3"/>
      <c r="G125" s="3" t="str">
        <f>'res269 Summer (old)'!C179</f>
        <v/>
      </c>
      <c r="H125" s="3" t="str">
        <f>'res269 Summer (old)'!D179</f>
        <v/>
      </c>
      <c r="I125" s="3" t="str">
        <f>'res269 Mary Shay'!C179</f>
        <v/>
      </c>
      <c r="J125" s="3" t="str">
        <f>'res269 Mary Shay'!D179</f>
        <v/>
      </c>
      <c r="K125" s="3"/>
      <c r="L125" s="3"/>
    </row>
    <row r="126">
      <c r="E126" s="3"/>
      <c r="F126" s="3"/>
      <c r="G126" s="3" t="str">
        <f>'res269 Summer (old)'!C180</f>
        <v/>
      </c>
      <c r="H126" s="3" t="str">
        <f>'res269 Summer (old)'!D180</f>
        <v/>
      </c>
      <c r="I126" s="3" t="str">
        <f>'res269 Mary Shay'!C180</f>
        <v/>
      </c>
      <c r="J126" s="3" t="str">
        <f>'res269 Mary Shay'!D180</f>
        <v/>
      </c>
      <c r="K126" s="3"/>
      <c r="L126" s="3"/>
    </row>
    <row r="127">
      <c r="E127" s="3"/>
      <c r="F127" s="3"/>
      <c r="G127" s="3" t="str">
        <f>'res269 Summer (old)'!C181</f>
        <v/>
      </c>
      <c r="H127" s="3" t="str">
        <f>'res269 Summer (old)'!D181</f>
        <v/>
      </c>
      <c r="I127" s="3" t="str">
        <f>'res269 Mary Shay'!C181</f>
        <v/>
      </c>
      <c r="J127" s="3" t="str">
        <f>'res269 Mary Shay'!D181</f>
        <v/>
      </c>
      <c r="K127" s="3"/>
      <c r="L127" s="3"/>
    </row>
    <row r="128">
      <c r="E128" s="3"/>
      <c r="F128" s="3"/>
      <c r="G128" s="3" t="str">
        <f>'res269 Summer (old)'!C182</f>
        <v/>
      </c>
      <c r="H128" s="3" t="str">
        <f>'res269 Summer (old)'!D182</f>
        <v/>
      </c>
      <c r="I128" s="3" t="str">
        <f>'res269 Mary Shay'!C182</f>
        <v/>
      </c>
      <c r="J128" s="3" t="str">
        <f>'res269 Mary Shay'!D182</f>
        <v/>
      </c>
      <c r="K128" s="3"/>
      <c r="L128" s="3"/>
    </row>
    <row r="129">
      <c r="E129" s="3"/>
      <c r="F129" s="3"/>
      <c r="G129" s="3" t="str">
        <f>'res269 Summer (old)'!C183</f>
        <v/>
      </c>
      <c r="H129" s="3" t="str">
        <f>'res269 Summer (old)'!D183</f>
        <v/>
      </c>
      <c r="I129" s="3" t="str">
        <f>'res269 Mary Shay'!C183</f>
        <v/>
      </c>
      <c r="J129" s="3" t="str">
        <f>'res269 Mary Shay'!D183</f>
        <v/>
      </c>
      <c r="K129" s="3"/>
      <c r="L129" s="3"/>
    </row>
    <row r="130">
      <c r="E130" s="3"/>
      <c r="F130" s="3"/>
      <c r="G130" s="3" t="str">
        <f>'res269 Summer (old)'!C184</f>
        <v/>
      </c>
      <c r="H130" s="3" t="str">
        <f>'res269 Summer (old)'!D184</f>
        <v/>
      </c>
      <c r="I130" s="3" t="str">
        <f>'res269 Mary Shay'!C184</f>
        <v/>
      </c>
      <c r="J130" s="3" t="str">
        <f>'res269 Mary Shay'!D184</f>
        <v/>
      </c>
      <c r="K130" s="3"/>
      <c r="L130" s="3"/>
    </row>
    <row r="131">
      <c r="E131" s="3"/>
      <c r="F131" s="3"/>
      <c r="G131" s="3" t="str">
        <f>'res269 Summer (old)'!C185</f>
        <v/>
      </c>
      <c r="H131" s="3" t="str">
        <f>'res269 Summer (old)'!D185</f>
        <v/>
      </c>
      <c r="I131" s="3" t="str">
        <f>'res269 Mary Shay'!C185</f>
        <v/>
      </c>
      <c r="J131" s="3" t="str">
        <f>'res269 Mary Shay'!D185</f>
        <v/>
      </c>
      <c r="K131" s="3"/>
      <c r="L131" s="3"/>
    </row>
    <row r="132">
      <c r="E132" s="3"/>
      <c r="F132" s="3"/>
      <c r="G132" s="3" t="str">
        <f>'res269 Summer (old)'!C186</f>
        <v/>
      </c>
      <c r="H132" s="3" t="str">
        <f>'res269 Summer (old)'!D186</f>
        <v/>
      </c>
      <c r="I132" s="3" t="str">
        <f>'res269 Mary Shay'!C186</f>
        <v/>
      </c>
      <c r="J132" s="3" t="str">
        <f>'res269 Mary Shay'!D186</f>
        <v/>
      </c>
      <c r="K132" s="3"/>
      <c r="L132" s="3"/>
    </row>
    <row r="133">
      <c r="E133" s="3"/>
      <c r="F133" s="3"/>
      <c r="G133" s="3" t="str">
        <f>'res269 Summer (old)'!C187</f>
        <v/>
      </c>
      <c r="H133" s="3" t="str">
        <f>'res269 Summer (old)'!D187</f>
        <v/>
      </c>
      <c r="I133" s="3" t="str">
        <f>'res269 Mary Shay'!C187</f>
        <v/>
      </c>
      <c r="J133" s="3" t="str">
        <f>'res269 Mary Shay'!D187</f>
        <v/>
      </c>
      <c r="K133" s="3"/>
      <c r="L133" s="3"/>
    </row>
    <row r="134">
      <c r="E134" s="3"/>
      <c r="F134" s="3"/>
      <c r="G134" s="3" t="str">
        <f>'res269 Summer (old)'!C188</f>
        <v/>
      </c>
      <c r="H134" s="3" t="str">
        <f>'res269 Summer (old)'!D188</f>
        <v/>
      </c>
      <c r="I134" s="3" t="str">
        <f>'res269 Mary Shay'!C188</f>
        <v/>
      </c>
      <c r="J134" s="3" t="str">
        <f>'res269 Mary Shay'!D188</f>
        <v/>
      </c>
      <c r="K134" s="3"/>
      <c r="L134" s="3"/>
    </row>
    <row r="135">
      <c r="E135" s="3"/>
      <c r="F135" s="3"/>
      <c r="G135" s="3" t="str">
        <f>'res269 Summer (old)'!C189</f>
        <v/>
      </c>
      <c r="H135" s="3" t="str">
        <f>'res269 Summer (old)'!D189</f>
        <v/>
      </c>
      <c r="I135" s="3" t="str">
        <f>'res269 Mary Shay'!C189</f>
        <v/>
      </c>
      <c r="J135" s="3" t="str">
        <f>'res269 Mary Shay'!D189</f>
        <v/>
      </c>
      <c r="K135" s="3"/>
      <c r="L135" s="3"/>
    </row>
    <row r="136">
      <c r="E136" s="3"/>
      <c r="F136" s="3"/>
      <c r="G136" s="3" t="str">
        <f>'res269 Summer (old)'!C190</f>
        <v/>
      </c>
      <c r="H136" s="3" t="str">
        <f>'res269 Summer (old)'!D190</f>
        <v/>
      </c>
      <c r="I136" s="3" t="str">
        <f>'res269 Mary Shay'!C190</f>
        <v/>
      </c>
      <c r="J136" s="3" t="str">
        <f>'res269 Mary Shay'!D190</f>
        <v/>
      </c>
      <c r="K136" s="3"/>
      <c r="L136" s="3"/>
    </row>
    <row r="137">
      <c r="E137" s="3"/>
      <c r="F137" s="3"/>
      <c r="G137" s="3" t="str">
        <f>'res269 Summer (old)'!C191</f>
        <v/>
      </c>
      <c r="H137" s="3" t="str">
        <f>'res269 Summer (old)'!D191</f>
        <v/>
      </c>
      <c r="I137" s="3" t="str">
        <f>'res269 Mary Shay'!C191</f>
        <v/>
      </c>
      <c r="J137" s="3" t="str">
        <f>'res269 Mary Shay'!D191</f>
        <v/>
      </c>
      <c r="K137" s="3"/>
      <c r="L137" s="3"/>
    </row>
    <row r="138">
      <c r="E138" s="3"/>
      <c r="F138" s="3"/>
      <c r="G138" s="3" t="str">
        <f>'res269 Summer (old)'!C192</f>
        <v/>
      </c>
      <c r="H138" s="3" t="str">
        <f>'res269 Summer (old)'!D192</f>
        <v/>
      </c>
      <c r="I138" s="3" t="str">
        <f>'res269 Mary Shay'!C192</f>
        <v/>
      </c>
      <c r="J138" s="3" t="str">
        <f>'res269 Mary Shay'!D192</f>
        <v/>
      </c>
      <c r="K138" s="3"/>
      <c r="L138" s="3"/>
    </row>
    <row r="139">
      <c r="E139" s="3"/>
      <c r="F139" s="3"/>
      <c r="G139" s="3" t="str">
        <f>'res269 Summer (old)'!C193</f>
        <v/>
      </c>
      <c r="H139" s="3" t="str">
        <f>'res269 Summer (old)'!D193</f>
        <v/>
      </c>
      <c r="I139" s="3" t="str">
        <f>'res269 Mary Shay'!C193</f>
        <v/>
      </c>
      <c r="J139" s="3" t="str">
        <f>'res269 Mary Shay'!D193</f>
        <v/>
      </c>
      <c r="K139" s="3"/>
      <c r="L139" s="3"/>
    </row>
    <row r="140">
      <c r="E140" s="3"/>
      <c r="F140" s="3"/>
      <c r="G140" s="3" t="str">
        <f>'res269 Summer (old)'!C194</f>
        <v/>
      </c>
      <c r="H140" s="3" t="str">
        <f>'res269 Summer (old)'!D194</f>
        <v/>
      </c>
      <c r="I140" s="3" t="str">
        <f>'res269 Mary Shay'!C194</f>
        <v/>
      </c>
      <c r="J140" s="3" t="str">
        <f>'res269 Mary Shay'!D194</f>
        <v/>
      </c>
      <c r="K140" s="3"/>
      <c r="L140" s="3"/>
    </row>
    <row r="141">
      <c r="E141" s="3"/>
      <c r="F141" s="3"/>
      <c r="G141" s="3" t="str">
        <f>'res269 Summer (old)'!C195</f>
        <v/>
      </c>
      <c r="H141" s="3" t="str">
        <f>'res269 Summer (old)'!D195</f>
        <v/>
      </c>
      <c r="I141" s="3" t="str">
        <f>'res269 Mary Shay'!C195</f>
        <v/>
      </c>
      <c r="J141" s="3" t="str">
        <f>'res269 Mary Shay'!D195</f>
        <v/>
      </c>
      <c r="K141" s="3"/>
      <c r="L141" s="3"/>
    </row>
    <row r="142">
      <c r="E142" s="3"/>
      <c r="F142" s="3"/>
      <c r="G142" s="3" t="str">
        <f>'res269 Summer (old)'!C196</f>
        <v/>
      </c>
      <c r="H142" s="3" t="str">
        <f>'res269 Summer (old)'!D196</f>
        <v/>
      </c>
      <c r="I142" s="3" t="str">
        <f>'res269 Mary Shay'!C196</f>
        <v/>
      </c>
      <c r="J142" s="3" t="str">
        <f>'res269 Mary Shay'!D196</f>
        <v/>
      </c>
      <c r="K142" s="3"/>
      <c r="L142" s="3"/>
    </row>
    <row r="143">
      <c r="E143" s="3"/>
      <c r="F143" s="3"/>
      <c r="G143" s="3" t="str">
        <f>'res269 Summer (old)'!C197</f>
        <v/>
      </c>
      <c r="H143" s="3" t="str">
        <f>'res269 Summer (old)'!D197</f>
        <v/>
      </c>
      <c r="I143" s="3" t="str">
        <f>'res269 Mary Shay'!C197</f>
        <v/>
      </c>
      <c r="J143" s="3" t="str">
        <f>'res269 Mary Shay'!D197</f>
        <v/>
      </c>
      <c r="K143" s="3"/>
      <c r="L143" s="3"/>
    </row>
    <row r="144">
      <c r="E144" s="3"/>
      <c r="F144" s="3"/>
      <c r="G144" s="3" t="str">
        <f>'res269 Summer (old)'!C198</f>
        <v/>
      </c>
      <c r="H144" s="3" t="str">
        <f>'res269 Summer (old)'!D198</f>
        <v/>
      </c>
      <c r="I144" s="3" t="str">
        <f>'res269 Mary Shay'!C198</f>
        <v/>
      </c>
      <c r="J144" s="3" t="str">
        <f>'res269 Mary Shay'!D198</f>
        <v/>
      </c>
      <c r="K144" s="3"/>
      <c r="L144" s="3"/>
    </row>
    <row r="145">
      <c r="E145" s="3"/>
      <c r="F145" s="3"/>
      <c r="G145" s="3" t="str">
        <f>'res269 Summer (old)'!C199</f>
        <v/>
      </c>
      <c r="H145" s="3" t="str">
        <f>'res269 Summer (old)'!D199</f>
        <v/>
      </c>
      <c r="I145" s="3" t="str">
        <f>'res269 Mary Shay'!C199</f>
        <v/>
      </c>
      <c r="J145" s="3" t="str">
        <f>'res269 Mary Shay'!D199</f>
        <v/>
      </c>
      <c r="K145" s="3"/>
      <c r="L145" s="3"/>
    </row>
    <row r="146">
      <c r="E146" s="3"/>
      <c r="F146" s="3"/>
      <c r="G146" s="3" t="str">
        <f>'res269 Summer (old)'!C200</f>
        <v/>
      </c>
      <c r="H146" s="3" t="str">
        <f>'res269 Summer (old)'!D200</f>
        <v/>
      </c>
      <c r="I146" s="3" t="str">
        <f>'res269 Mary Shay'!C200</f>
        <v/>
      </c>
      <c r="J146" s="3" t="str">
        <f>'res269 Mary Shay'!D200</f>
        <v/>
      </c>
      <c r="K146" s="3"/>
      <c r="L146" s="3"/>
    </row>
    <row r="147">
      <c r="E147" s="3"/>
      <c r="F147" s="3"/>
      <c r="G147" s="3" t="str">
        <f>'res269 Summer (old)'!C201</f>
        <v/>
      </c>
      <c r="H147" s="3" t="str">
        <f>'res269 Summer (old)'!D201</f>
        <v/>
      </c>
      <c r="I147" s="3" t="str">
        <f>'res269 Mary Shay'!C201</f>
        <v/>
      </c>
      <c r="J147" s="3" t="str">
        <f>'res269 Mary Shay'!D201</f>
        <v/>
      </c>
      <c r="K147" s="3"/>
      <c r="L147" s="3"/>
    </row>
    <row r="148">
      <c r="E148" s="3"/>
      <c r="F148" s="3"/>
      <c r="G148" s="3" t="str">
        <f>'res269 Summer (old)'!C202</f>
        <v/>
      </c>
      <c r="H148" s="3" t="str">
        <f>'res269 Summer (old)'!D202</f>
        <v/>
      </c>
      <c r="I148" s="3" t="str">
        <f>'res269 Mary Shay'!C202</f>
        <v/>
      </c>
      <c r="J148" s="3" t="str">
        <f>'res269 Mary Shay'!D202</f>
        <v/>
      </c>
      <c r="K148" s="3"/>
      <c r="L148" s="3"/>
    </row>
    <row r="149">
      <c r="E149" s="3"/>
      <c r="F149" s="3"/>
      <c r="G149" s="3" t="str">
        <f>'res269 Summer (old)'!C203</f>
        <v/>
      </c>
      <c r="H149" s="3" t="str">
        <f>'res269 Summer (old)'!D203</f>
        <v/>
      </c>
      <c r="I149" s="3" t="str">
        <f>'res269 Mary Shay'!C203</f>
        <v/>
      </c>
      <c r="J149" s="3" t="str">
        <f>'res269 Mary Shay'!D203</f>
        <v/>
      </c>
      <c r="K149" s="3"/>
      <c r="L149" s="3"/>
    </row>
    <row r="150">
      <c r="E150" s="3"/>
      <c r="F150" s="3"/>
      <c r="G150" s="3" t="str">
        <f>'res269 Summer (old)'!C204</f>
        <v/>
      </c>
      <c r="H150" s="3" t="str">
        <f>'res269 Summer (old)'!D204</f>
        <v/>
      </c>
      <c r="I150" s="3" t="str">
        <f>'res269 Mary Shay'!C204</f>
        <v/>
      </c>
      <c r="J150" s="3" t="str">
        <f>'res269 Mary Shay'!D204</f>
        <v/>
      </c>
      <c r="K150" s="3"/>
      <c r="L150" s="3"/>
    </row>
    <row r="151">
      <c r="E151" s="3"/>
      <c r="F151" s="3"/>
      <c r="G151" s="3" t="str">
        <f>'res269 Summer (old)'!C205</f>
        <v/>
      </c>
      <c r="H151" s="3" t="str">
        <f>'res269 Summer (old)'!D205</f>
        <v/>
      </c>
      <c r="I151" s="3" t="str">
        <f>'res269 Mary Shay'!C205</f>
        <v/>
      </c>
      <c r="J151" s="3" t="str">
        <f>'res269 Mary Shay'!D205</f>
        <v/>
      </c>
      <c r="K151" s="3"/>
      <c r="L151" s="3"/>
    </row>
    <row r="152">
      <c r="E152" s="3"/>
      <c r="F152" s="3"/>
      <c r="G152" s="3" t="str">
        <f>'res269 Summer (old)'!C206</f>
        <v/>
      </c>
      <c r="H152" s="3" t="str">
        <f>'res269 Summer (old)'!D206</f>
        <v/>
      </c>
      <c r="I152" s="3" t="str">
        <f>'res269 Mary Shay'!C206</f>
        <v/>
      </c>
      <c r="J152" s="3" t="str">
        <f>'res269 Mary Shay'!D206</f>
        <v/>
      </c>
      <c r="K152" s="3"/>
      <c r="L152" s="3"/>
    </row>
    <row r="153">
      <c r="E153" s="3"/>
      <c r="F153" s="3"/>
      <c r="G153" s="3" t="str">
        <f>'res269 Summer (old)'!C207</f>
        <v/>
      </c>
      <c r="H153" s="3" t="str">
        <f>'res269 Summer (old)'!D207</f>
        <v/>
      </c>
      <c r="I153" s="3" t="str">
        <f>'res269 Mary Shay'!C207</f>
        <v/>
      </c>
      <c r="J153" s="3" t="str">
        <f>'res269 Mary Shay'!D207</f>
        <v/>
      </c>
      <c r="K153" s="3"/>
      <c r="L153" s="3"/>
    </row>
    <row r="154">
      <c r="E154" s="3"/>
      <c r="F154" s="3"/>
      <c r="G154" s="3" t="str">
        <f>'res269 Summer (old)'!C208</f>
        <v/>
      </c>
      <c r="H154" s="3" t="str">
        <f>'res269 Summer (old)'!D208</f>
        <v/>
      </c>
      <c r="I154" s="3" t="str">
        <f>'res269 Mary Shay'!C208</f>
        <v/>
      </c>
      <c r="J154" s="3" t="str">
        <f>'res269 Mary Shay'!D208</f>
        <v/>
      </c>
      <c r="K154" s="3"/>
      <c r="L154" s="3"/>
    </row>
    <row r="155">
      <c r="E155" s="3"/>
      <c r="F155" s="3"/>
      <c r="G155" s="3" t="str">
        <f>'res269 Summer (old)'!C209</f>
        <v/>
      </c>
      <c r="H155" s="3" t="str">
        <f>'res269 Summer (old)'!D209</f>
        <v/>
      </c>
      <c r="I155" s="3" t="str">
        <f>'res269 Mary Shay'!C209</f>
        <v/>
      </c>
      <c r="J155" s="3" t="str">
        <f>'res269 Mary Shay'!D209</f>
        <v/>
      </c>
      <c r="K155" s="3"/>
      <c r="L155" s="3"/>
    </row>
    <row r="156">
      <c r="E156" s="3"/>
      <c r="F156" s="3"/>
      <c r="G156" s="3" t="str">
        <f>'res269 Summer (old)'!C210</f>
        <v/>
      </c>
      <c r="H156" s="3" t="str">
        <f>'res269 Summer (old)'!D210</f>
        <v/>
      </c>
      <c r="I156" s="3" t="str">
        <f>'res269 Mary Shay'!C210</f>
        <v/>
      </c>
      <c r="J156" s="3" t="str">
        <f>'res269 Mary Shay'!D210</f>
        <v/>
      </c>
      <c r="K156" s="3"/>
      <c r="L156" s="3"/>
    </row>
    <row r="157">
      <c r="E157" s="3"/>
      <c r="F157" s="3"/>
      <c r="G157" s="3" t="str">
        <f>'res269 Summer (old)'!C211</f>
        <v/>
      </c>
      <c r="H157" s="3" t="str">
        <f>'res269 Summer (old)'!D211</f>
        <v/>
      </c>
      <c r="I157" s="3" t="str">
        <f>'res269 Mary Shay'!C211</f>
        <v/>
      </c>
      <c r="J157" s="3" t="str">
        <f>'res269 Mary Shay'!D211</f>
        <v/>
      </c>
      <c r="K157" s="3"/>
      <c r="L157" s="3"/>
    </row>
    <row r="158">
      <c r="E158" s="3"/>
      <c r="F158" s="3"/>
      <c r="G158" s="3" t="str">
        <f>'res269 Summer (old)'!C212</f>
        <v/>
      </c>
      <c r="H158" s="3" t="str">
        <f>'res269 Summer (old)'!D212</f>
        <v/>
      </c>
      <c r="I158" s="3" t="str">
        <f>'res269 Mary Shay'!C212</f>
        <v/>
      </c>
      <c r="J158" s="3" t="str">
        <f>'res269 Mary Shay'!D212</f>
        <v/>
      </c>
      <c r="K158" s="3"/>
      <c r="L158" s="3"/>
    </row>
    <row r="159">
      <c r="E159" s="3"/>
      <c r="F159" s="3"/>
      <c r="G159" s="3" t="str">
        <f>'res269 Summer (old)'!C213</f>
        <v/>
      </c>
      <c r="H159" s="3" t="str">
        <f>'res269 Summer (old)'!D213</f>
        <v/>
      </c>
      <c r="I159" s="3" t="str">
        <f>'res269 Mary Shay'!C213</f>
        <v/>
      </c>
      <c r="J159" s="3" t="str">
        <f>'res269 Mary Shay'!D213</f>
        <v/>
      </c>
      <c r="K159" s="3"/>
      <c r="L159" s="3"/>
    </row>
    <row r="160">
      <c r="E160" s="3"/>
      <c r="F160" s="3"/>
      <c r="G160" s="3" t="str">
        <f>'res269 Summer (old)'!C214</f>
        <v/>
      </c>
      <c r="H160" s="3" t="str">
        <f>'res269 Summer (old)'!D214</f>
        <v/>
      </c>
      <c r="I160" s="3" t="str">
        <f>'res269 Mary Shay'!C214</f>
        <v/>
      </c>
      <c r="J160" s="3" t="str">
        <f>'res269 Mary Shay'!D214</f>
        <v/>
      </c>
      <c r="K160" s="3"/>
      <c r="L160" s="3"/>
    </row>
    <row r="161">
      <c r="E161" s="3"/>
      <c r="F161" s="3"/>
      <c r="G161" s="3" t="str">
        <f>'res269 Summer (old)'!C215</f>
        <v/>
      </c>
      <c r="H161" s="3" t="str">
        <f>'res269 Summer (old)'!D215</f>
        <v/>
      </c>
      <c r="I161" s="3" t="str">
        <f>'res269 Mary Shay'!C215</f>
        <v/>
      </c>
      <c r="J161" s="3" t="str">
        <f>'res269 Mary Shay'!D215</f>
        <v/>
      </c>
      <c r="K161" s="3"/>
      <c r="L161" s="3"/>
    </row>
    <row r="162">
      <c r="E162" s="3"/>
      <c r="F162" s="3"/>
      <c r="G162" s="3" t="str">
        <f>'res269 Summer (old)'!C216</f>
        <v/>
      </c>
      <c r="H162" s="3" t="str">
        <f>'res269 Summer (old)'!D216</f>
        <v/>
      </c>
      <c r="I162" s="3" t="str">
        <f>'res269 Mary Shay'!C216</f>
        <v/>
      </c>
      <c r="J162" s="3" t="str">
        <f>'res269 Mary Shay'!D216</f>
        <v/>
      </c>
      <c r="K162" s="3"/>
      <c r="L162" s="3"/>
    </row>
    <row r="163">
      <c r="E163" s="3"/>
      <c r="F163" s="3"/>
      <c r="G163" s="3" t="str">
        <f>'res269 Summer (old)'!C217</f>
        <v/>
      </c>
      <c r="H163" s="3" t="str">
        <f>'res269 Summer (old)'!D217</f>
        <v/>
      </c>
      <c r="I163" s="3" t="str">
        <f>'res269 Mary Shay'!C217</f>
        <v/>
      </c>
      <c r="J163" s="3" t="str">
        <f>'res269 Mary Shay'!D217</f>
        <v/>
      </c>
      <c r="K163" s="3"/>
      <c r="L163" s="3"/>
    </row>
    <row r="164">
      <c r="E164" s="3"/>
      <c r="F164" s="3"/>
      <c r="G164" s="3" t="str">
        <f>'res269 Summer (old)'!C218</f>
        <v/>
      </c>
      <c r="H164" s="3" t="str">
        <f>'res269 Summer (old)'!D218</f>
        <v/>
      </c>
      <c r="I164" s="3" t="str">
        <f>'res269 Mary Shay'!C218</f>
        <v/>
      </c>
      <c r="J164" s="3" t="str">
        <f>'res269 Mary Shay'!D218</f>
        <v/>
      </c>
      <c r="K164" s="3"/>
      <c r="L164" s="3"/>
    </row>
    <row r="165">
      <c r="E165" s="3"/>
      <c r="F165" s="3"/>
      <c r="G165" s="3" t="str">
        <f>'res269 Summer (old)'!C219</f>
        <v/>
      </c>
      <c r="H165" s="3" t="str">
        <f>'res269 Summer (old)'!D219</f>
        <v/>
      </c>
      <c r="I165" s="3" t="str">
        <f>'res269 Mary Shay'!C219</f>
        <v/>
      </c>
      <c r="J165" s="3" t="str">
        <f>'res269 Mary Shay'!D219</f>
        <v/>
      </c>
      <c r="K165" s="3"/>
      <c r="L165" s="3"/>
    </row>
    <row r="166">
      <c r="E166" s="3"/>
      <c r="F166" s="3"/>
      <c r="G166" s="3" t="str">
        <f>'res269 Summer (old)'!C220</f>
        <v/>
      </c>
      <c r="H166" s="3" t="str">
        <f>'res269 Summer (old)'!D220</f>
        <v/>
      </c>
      <c r="I166" s="3" t="str">
        <f>'res269 Mary Shay'!C220</f>
        <v/>
      </c>
      <c r="J166" s="3" t="str">
        <f>'res269 Mary Shay'!D220</f>
        <v/>
      </c>
      <c r="K166" s="3"/>
      <c r="L166" s="3"/>
    </row>
    <row r="167">
      <c r="E167" s="3"/>
      <c r="F167" s="3"/>
      <c r="G167" s="3" t="str">
        <f>'res269 Summer (old)'!C221</f>
        <v/>
      </c>
      <c r="H167" s="3" t="str">
        <f>'res269 Summer (old)'!D221</f>
        <v/>
      </c>
      <c r="I167" s="3" t="str">
        <f>'res269 Mary Shay'!C221</f>
        <v/>
      </c>
      <c r="J167" s="3" t="str">
        <f>'res269 Mary Shay'!D221</f>
        <v/>
      </c>
      <c r="K167" s="3"/>
      <c r="L167" s="3"/>
    </row>
    <row r="168">
      <c r="E168" s="3"/>
      <c r="F168" s="3"/>
      <c r="G168" s="3" t="str">
        <f>'res269 Summer (old)'!C222</f>
        <v/>
      </c>
      <c r="H168" s="3" t="str">
        <f>'res269 Summer (old)'!D222</f>
        <v/>
      </c>
      <c r="I168" s="3" t="str">
        <f>'res269 Mary Shay'!C222</f>
        <v/>
      </c>
      <c r="J168" s="3" t="str">
        <f>'res269 Mary Shay'!D222</f>
        <v/>
      </c>
      <c r="K168" s="3"/>
      <c r="L168" s="3"/>
    </row>
    <row r="169">
      <c r="E169" s="3"/>
      <c r="F169" s="3"/>
      <c r="G169" s="3" t="str">
        <f>'res269 Summer (old)'!C223</f>
        <v/>
      </c>
      <c r="H169" s="3" t="str">
        <f>'res269 Summer (old)'!D223</f>
        <v/>
      </c>
      <c r="I169" s="3" t="str">
        <f>'res269 Mary Shay'!C223</f>
        <v/>
      </c>
      <c r="J169" s="3" t="str">
        <f>'res269 Mary Shay'!D223</f>
        <v/>
      </c>
      <c r="K169" s="3"/>
      <c r="L169" s="3"/>
    </row>
    <row r="170">
      <c r="E170" s="3"/>
      <c r="F170" s="3"/>
      <c r="G170" s="3" t="str">
        <f>'res269 Summer (old)'!C224</f>
        <v/>
      </c>
      <c r="H170" s="3" t="str">
        <f>'res269 Summer (old)'!D224</f>
        <v/>
      </c>
      <c r="I170" s="3" t="str">
        <f>'res269 Mary Shay'!C224</f>
        <v/>
      </c>
      <c r="J170" s="3" t="str">
        <f>'res269 Mary Shay'!D224</f>
        <v/>
      </c>
      <c r="K170" s="3"/>
      <c r="L170" s="3"/>
    </row>
    <row r="171">
      <c r="E171" s="3"/>
      <c r="F171" s="3"/>
      <c r="G171" s="3" t="str">
        <f>'res269 Summer (old)'!C225</f>
        <v/>
      </c>
      <c r="H171" s="3" t="str">
        <f>'res269 Summer (old)'!D225</f>
        <v/>
      </c>
      <c r="I171" s="3" t="str">
        <f>'res269 Mary Shay'!C225</f>
        <v/>
      </c>
      <c r="J171" s="3" t="str">
        <f>'res269 Mary Shay'!D225</f>
        <v/>
      </c>
      <c r="K171" s="3"/>
      <c r="L171" s="3"/>
    </row>
    <row r="172">
      <c r="E172" s="3"/>
      <c r="F172" s="3"/>
      <c r="G172" s="3" t="str">
        <f>'res269 Summer (old)'!C226</f>
        <v/>
      </c>
      <c r="H172" s="3" t="str">
        <f>'res269 Summer (old)'!D226</f>
        <v/>
      </c>
      <c r="I172" s="3" t="str">
        <f>'res269 Mary Shay'!C226</f>
        <v/>
      </c>
      <c r="J172" s="3" t="str">
        <f>'res269 Mary Shay'!D226</f>
        <v/>
      </c>
      <c r="K172" s="3"/>
      <c r="L172" s="3"/>
    </row>
    <row r="173">
      <c r="E173" s="3"/>
      <c r="F173" s="3"/>
      <c r="G173" s="3" t="str">
        <f>'res269 Summer (old)'!C227</f>
        <v/>
      </c>
      <c r="H173" s="3" t="str">
        <f>'res269 Summer (old)'!D227</f>
        <v/>
      </c>
      <c r="I173" s="3" t="str">
        <f>'res269 Mary Shay'!C227</f>
        <v/>
      </c>
      <c r="J173" s="3" t="str">
        <f>'res269 Mary Shay'!D227</f>
        <v/>
      </c>
      <c r="K173" s="3"/>
      <c r="L173" s="3"/>
    </row>
    <row r="174">
      <c r="E174" s="3"/>
      <c r="F174" s="3"/>
      <c r="G174" s="3" t="str">
        <f>'res269 Summer (old)'!C228</f>
        <v/>
      </c>
      <c r="H174" s="3" t="str">
        <f>'res269 Summer (old)'!D228</f>
        <v/>
      </c>
      <c r="I174" s="3" t="str">
        <f>'res269 Mary Shay'!C228</f>
        <v/>
      </c>
      <c r="J174" s="3" t="str">
        <f>'res269 Mary Shay'!D228</f>
        <v/>
      </c>
      <c r="K174" s="3"/>
      <c r="L174" s="3"/>
    </row>
    <row r="175">
      <c r="E175" s="3"/>
      <c r="F175" s="3"/>
      <c r="G175" s="3" t="str">
        <f>'res269 Summer (old)'!C229</f>
        <v/>
      </c>
      <c r="H175" s="3" t="str">
        <f>'res269 Summer (old)'!D229</f>
        <v/>
      </c>
      <c r="I175" s="3" t="str">
        <f>'res269 Mary Shay'!C229</f>
        <v/>
      </c>
      <c r="J175" s="3" t="str">
        <f>'res269 Mary Shay'!D229</f>
        <v/>
      </c>
      <c r="K175" s="3"/>
      <c r="L175" s="3"/>
    </row>
    <row r="176">
      <c r="E176" s="3"/>
      <c r="F176" s="3"/>
      <c r="G176" s="3" t="str">
        <f>'res269 Summer (old)'!C230</f>
        <v/>
      </c>
      <c r="H176" s="3" t="str">
        <f>'res269 Summer (old)'!D230</f>
        <v/>
      </c>
      <c r="I176" s="3" t="str">
        <f>'res269 Mary Shay'!C230</f>
        <v/>
      </c>
      <c r="J176" s="3" t="str">
        <f>'res269 Mary Shay'!D230</f>
        <v/>
      </c>
      <c r="K176" s="3"/>
      <c r="L176" s="3"/>
    </row>
    <row r="177">
      <c r="E177" s="3"/>
      <c r="F177" s="3"/>
      <c r="G177" s="3" t="str">
        <f>'res269 Summer (old)'!C231</f>
        <v/>
      </c>
      <c r="H177" s="3" t="str">
        <f>'res269 Summer (old)'!D231</f>
        <v/>
      </c>
      <c r="I177" s="3" t="str">
        <f>'res269 Mary Shay'!C231</f>
        <v/>
      </c>
      <c r="J177" s="3" t="str">
        <f>'res269 Mary Shay'!D231</f>
        <v/>
      </c>
      <c r="K177" s="3"/>
      <c r="L177" s="3"/>
    </row>
    <row r="178">
      <c r="E178" s="3"/>
      <c r="F178" s="3"/>
      <c r="G178" s="3" t="str">
        <f>'res269 Summer (old)'!C232</f>
        <v/>
      </c>
      <c r="H178" s="3" t="str">
        <f>'res269 Summer (old)'!D232</f>
        <v/>
      </c>
      <c r="I178" s="3" t="str">
        <f>'res269 Mary Shay'!C232</f>
        <v/>
      </c>
      <c r="J178" s="3" t="str">
        <f>'res269 Mary Shay'!D232</f>
        <v/>
      </c>
      <c r="K178" s="3"/>
      <c r="L178" s="3"/>
    </row>
    <row r="179">
      <c r="E179" s="3"/>
      <c r="F179" s="3"/>
      <c r="G179" s="3" t="str">
        <f>'res269 Summer (old)'!C233</f>
        <v/>
      </c>
      <c r="H179" s="3" t="str">
        <f>'res269 Summer (old)'!D233</f>
        <v/>
      </c>
      <c r="I179" s="3" t="str">
        <f>'res269 Mary Shay'!C233</f>
        <v/>
      </c>
      <c r="J179" s="3" t="str">
        <f>'res269 Mary Shay'!D233</f>
        <v/>
      </c>
      <c r="K179" s="3"/>
      <c r="L179" s="3"/>
    </row>
    <row r="180">
      <c r="E180" s="3"/>
      <c r="F180" s="3"/>
      <c r="G180" s="3" t="str">
        <f>'res269 Summer (old)'!C234</f>
        <v/>
      </c>
      <c r="H180" s="3" t="str">
        <f>'res269 Summer (old)'!D234</f>
        <v/>
      </c>
      <c r="I180" s="3" t="str">
        <f>'res269 Mary Shay'!C234</f>
        <v/>
      </c>
      <c r="J180" s="3" t="str">
        <f>'res269 Mary Shay'!D234</f>
        <v/>
      </c>
      <c r="K180" s="3"/>
      <c r="L180" s="3"/>
    </row>
    <row r="181">
      <c r="E181" s="3"/>
      <c r="F181" s="3"/>
      <c r="G181" s="3" t="str">
        <f>'res269 Summer (old)'!C235</f>
        <v/>
      </c>
      <c r="H181" s="3" t="str">
        <f>'res269 Summer (old)'!D235</f>
        <v/>
      </c>
      <c r="I181" s="3" t="str">
        <f>'res269 Mary Shay'!C235</f>
        <v/>
      </c>
      <c r="J181" s="3" t="str">
        <f>'res269 Mary Shay'!D235</f>
        <v/>
      </c>
      <c r="K181" s="3"/>
      <c r="L181" s="3"/>
    </row>
    <row r="182">
      <c r="E182" s="3"/>
      <c r="F182" s="3"/>
      <c r="G182" s="3" t="str">
        <f>'res269 Summer (old)'!C236</f>
        <v/>
      </c>
      <c r="H182" s="3" t="str">
        <f>'res269 Summer (old)'!D236</f>
        <v/>
      </c>
      <c r="I182" s="3" t="str">
        <f>'res269 Mary Shay'!C236</f>
        <v/>
      </c>
      <c r="J182" s="3" t="str">
        <f>'res269 Mary Shay'!D236</f>
        <v/>
      </c>
      <c r="K182" s="3"/>
      <c r="L182" s="3"/>
    </row>
    <row r="183">
      <c r="E183" s="3"/>
      <c r="F183" s="3"/>
      <c r="G183" s="3" t="str">
        <f>'res269 Summer (old)'!C237</f>
        <v/>
      </c>
      <c r="H183" s="3" t="str">
        <f>'res269 Summer (old)'!D237</f>
        <v/>
      </c>
      <c r="I183" s="3" t="str">
        <f>'res269 Mary Shay'!C237</f>
        <v/>
      </c>
      <c r="J183" s="3" t="str">
        <f>'res269 Mary Shay'!D237</f>
        <v/>
      </c>
      <c r="K183" s="3"/>
      <c r="L183" s="3"/>
    </row>
    <row r="184">
      <c r="E184" s="3"/>
      <c r="F184" s="3"/>
      <c r="G184" s="3" t="str">
        <f>'res269 Summer (old)'!C238</f>
        <v/>
      </c>
      <c r="H184" s="3" t="str">
        <f>'res269 Summer (old)'!D238</f>
        <v/>
      </c>
      <c r="I184" s="3" t="str">
        <f>'res269 Mary Shay'!C238</f>
        <v/>
      </c>
      <c r="J184" s="3" t="str">
        <f>'res269 Mary Shay'!D238</f>
        <v/>
      </c>
      <c r="K184" s="3"/>
      <c r="L184" s="3"/>
    </row>
    <row r="185">
      <c r="E185" s="3"/>
      <c r="F185" s="3"/>
      <c r="G185" s="3" t="str">
        <f>'res269 Summer (old)'!C239</f>
        <v/>
      </c>
      <c r="H185" s="3" t="str">
        <f>'res269 Summer (old)'!D239</f>
        <v/>
      </c>
      <c r="I185" s="3" t="str">
        <f>'res269 Mary Shay'!C239</f>
        <v/>
      </c>
      <c r="J185" s="3" t="str">
        <f>'res269 Mary Shay'!D239</f>
        <v/>
      </c>
      <c r="K185" s="3"/>
      <c r="L185" s="3"/>
    </row>
    <row r="186">
      <c r="E186" s="3"/>
      <c r="F186" s="3"/>
      <c r="G186" s="3" t="str">
        <f>'res269 Summer (old)'!C240</f>
        <v/>
      </c>
      <c r="H186" s="3" t="str">
        <f>'res269 Summer (old)'!D240</f>
        <v/>
      </c>
      <c r="I186" s="3" t="str">
        <f>'res269 Mary Shay'!C240</f>
        <v/>
      </c>
      <c r="J186" s="3" t="str">
        <f>'res269 Mary Shay'!D240</f>
        <v/>
      </c>
      <c r="K186" s="3"/>
      <c r="L186" s="3"/>
    </row>
    <row r="187">
      <c r="E187" s="3"/>
      <c r="F187" s="3"/>
      <c r="G187" s="3" t="str">
        <f>'res269 Summer (old)'!C241</f>
        <v/>
      </c>
      <c r="H187" s="3" t="str">
        <f>'res269 Summer (old)'!D241</f>
        <v/>
      </c>
      <c r="I187" s="3" t="str">
        <f>'res269 Mary Shay'!C241</f>
        <v/>
      </c>
      <c r="J187" s="3" t="str">
        <f>'res269 Mary Shay'!D241</f>
        <v/>
      </c>
      <c r="K187" s="3"/>
      <c r="L187" s="3"/>
    </row>
    <row r="188">
      <c r="E188" s="3"/>
      <c r="F188" s="3"/>
      <c r="G188" s="3" t="str">
        <f>'res269 Summer (old)'!C242</f>
        <v/>
      </c>
      <c r="H188" s="3" t="str">
        <f>'res269 Summer (old)'!D242</f>
        <v/>
      </c>
      <c r="I188" s="3" t="str">
        <f>'res269 Mary Shay'!C242</f>
        <v/>
      </c>
      <c r="J188" s="3" t="str">
        <f>'res269 Mary Shay'!D242</f>
        <v/>
      </c>
      <c r="K188" s="3"/>
      <c r="L188" s="3"/>
    </row>
    <row r="189">
      <c r="E189" s="3"/>
      <c r="F189" s="3"/>
      <c r="G189" s="3" t="str">
        <f>'res269 Summer (old)'!C243</f>
        <v/>
      </c>
      <c r="H189" s="3" t="str">
        <f>'res269 Summer (old)'!D243</f>
        <v/>
      </c>
      <c r="I189" s="3" t="str">
        <f>'res269 Mary Shay'!C243</f>
        <v/>
      </c>
      <c r="J189" s="3" t="str">
        <f>'res269 Mary Shay'!D243</f>
        <v/>
      </c>
      <c r="K189" s="3"/>
      <c r="L189" s="3"/>
    </row>
    <row r="190">
      <c r="E190" s="3"/>
      <c r="F190" s="3"/>
      <c r="G190" s="3" t="str">
        <f>'res269 Summer (old)'!C244</f>
        <v/>
      </c>
      <c r="H190" s="3" t="str">
        <f>'res269 Summer (old)'!D244</f>
        <v/>
      </c>
      <c r="I190" s="3" t="str">
        <f>'res269 Mary Shay'!C244</f>
        <v/>
      </c>
      <c r="J190" s="3" t="str">
        <f>'res269 Mary Shay'!D244</f>
        <v/>
      </c>
      <c r="K190" s="3"/>
      <c r="L190" s="3"/>
    </row>
    <row r="191">
      <c r="E191" s="3"/>
      <c r="F191" s="3"/>
      <c r="G191" s="3" t="str">
        <f>'res269 Summer (old)'!C245</f>
        <v/>
      </c>
      <c r="H191" s="3" t="str">
        <f>'res269 Summer (old)'!D245</f>
        <v/>
      </c>
      <c r="I191" s="3" t="str">
        <f>'res269 Mary Shay'!C245</f>
        <v/>
      </c>
      <c r="J191" s="3" t="str">
        <f>'res269 Mary Shay'!D245</f>
        <v/>
      </c>
      <c r="K191" s="3"/>
      <c r="L191" s="3"/>
    </row>
    <row r="192">
      <c r="E192" s="3"/>
      <c r="F192" s="3"/>
      <c r="G192" s="3" t="str">
        <f>'res269 Summer (old)'!C246</f>
        <v/>
      </c>
      <c r="H192" s="3" t="str">
        <f>'res269 Summer (old)'!D246</f>
        <v/>
      </c>
      <c r="I192" s="3" t="str">
        <f>'res269 Mary Shay'!C246</f>
        <v/>
      </c>
      <c r="J192" s="3" t="str">
        <f>'res269 Mary Shay'!D246</f>
        <v/>
      </c>
      <c r="K192" s="3"/>
      <c r="L192" s="3"/>
    </row>
    <row r="193">
      <c r="E193" s="3"/>
      <c r="F193" s="3"/>
      <c r="G193" s="3" t="str">
        <f>'res269 Summer (old)'!C247</f>
        <v/>
      </c>
      <c r="H193" s="3" t="str">
        <f>'res269 Summer (old)'!D247</f>
        <v/>
      </c>
      <c r="I193" s="3" t="str">
        <f>'res269 Mary Shay'!C247</f>
        <v/>
      </c>
      <c r="J193" s="3" t="str">
        <f>'res269 Mary Shay'!D247</f>
        <v/>
      </c>
      <c r="K193" s="3"/>
      <c r="L193" s="3"/>
    </row>
    <row r="194">
      <c r="E194" s="3"/>
      <c r="F194" s="3"/>
      <c r="G194" s="3" t="str">
        <f>'res269 Summer (old)'!C248</f>
        <v/>
      </c>
      <c r="H194" s="3" t="str">
        <f>'res269 Summer (old)'!D248</f>
        <v/>
      </c>
      <c r="I194" s="3" t="str">
        <f>'res269 Mary Shay'!C248</f>
        <v/>
      </c>
      <c r="J194" s="3" t="str">
        <f>'res269 Mary Shay'!D248</f>
        <v/>
      </c>
      <c r="K194" s="3"/>
      <c r="L194" s="3"/>
    </row>
    <row r="195">
      <c r="E195" s="3"/>
      <c r="F195" s="3"/>
      <c r="G195" s="3" t="str">
        <f>'res269 Summer (old)'!C249</f>
        <v/>
      </c>
      <c r="H195" s="3" t="str">
        <f>'res269 Summer (old)'!D249</f>
        <v/>
      </c>
      <c r="I195" s="3" t="str">
        <f>'res269 Mary Shay'!C249</f>
        <v/>
      </c>
      <c r="J195" s="3" t="str">
        <f>'res269 Mary Shay'!D249</f>
        <v/>
      </c>
      <c r="K195" s="3"/>
      <c r="L195" s="3"/>
    </row>
    <row r="196">
      <c r="E196" s="3"/>
      <c r="F196" s="3"/>
      <c r="G196" s="3" t="str">
        <f>'res269 Summer (old)'!C250</f>
        <v/>
      </c>
      <c r="H196" s="3" t="str">
        <f>'res269 Summer (old)'!D250</f>
        <v/>
      </c>
      <c r="I196" s="3" t="str">
        <f>'res269 Mary Shay'!C250</f>
        <v/>
      </c>
      <c r="J196" s="3" t="str">
        <f>'res269 Mary Shay'!D250</f>
        <v/>
      </c>
      <c r="K196" s="3"/>
      <c r="L196" s="3"/>
    </row>
    <row r="197">
      <c r="E197" s="3"/>
      <c r="F197" s="3"/>
      <c r="G197" s="3" t="str">
        <f>'res269 Summer (old)'!C251</f>
        <v/>
      </c>
      <c r="H197" s="3" t="str">
        <f>'res269 Summer (old)'!D251</f>
        <v/>
      </c>
      <c r="I197" s="3" t="str">
        <f>'res269 Mary Shay'!C251</f>
        <v/>
      </c>
      <c r="J197" s="3" t="str">
        <f>'res269 Mary Shay'!D251</f>
        <v/>
      </c>
      <c r="K197" s="3"/>
      <c r="L197" s="3"/>
    </row>
    <row r="198">
      <c r="E198" s="3"/>
      <c r="F198" s="3"/>
      <c r="G198" s="3" t="str">
        <f>'res269 Summer (old)'!C252</f>
        <v/>
      </c>
      <c r="H198" s="3" t="str">
        <f>'res269 Summer (old)'!D252</f>
        <v/>
      </c>
      <c r="I198" s="3" t="str">
        <f>'res269 Mary Shay'!C252</f>
        <v/>
      </c>
      <c r="J198" s="3" t="str">
        <f>'res269 Mary Shay'!D252</f>
        <v/>
      </c>
      <c r="K198" s="3"/>
      <c r="L198" s="3"/>
    </row>
    <row r="199">
      <c r="E199" s="3"/>
      <c r="F199" s="3"/>
      <c r="G199" s="3" t="str">
        <f>'res269 Summer (old)'!C253</f>
        <v/>
      </c>
      <c r="H199" s="3" t="str">
        <f>'res269 Summer (old)'!D253</f>
        <v/>
      </c>
      <c r="I199" s="3" t="str">
        <f>'res269 Mary Shay'!C253</f>
        <v/>
      </c>
      <c r="J199" s="3" t="str">
        <f>'res269 Mary Shay'!D253</f>
        <v/>
      </c>
      <c r="K199" s="3"/>
      <c r="L199" s="3"/>
    </row>
    <row r="200">
      <c r="E200" s="3"/>
      <c r="F200" s="3"/>
      <c r="G200" s="3" t="str">
        <f>'res269 Summer (old)'!C254</f>
        <v/>
      </c>
      <c r="H200" s="3" t="str">
        <f>'res269 Summer (old)'!D254</f>
        <v/>
      </c>
      <c r="I200" s="3" t="str">
        <f>'res269 Mary Shay'!C254</f>
        <v/>
      </c>
      <c r="J200" s="3" t="str">
        <f>'res269 Mary Shay'!D254</f>
        <v/>
      </c>
      <c r="K200" s="3"/>
      <c r="L200" s="3"/>
    </row>
    <row r="201">
      <c r="E201" s="3"/>
      <c r="F201" s="3"/>
      <c r="G201" s="3" t="str">
        <f>'res269 Summer (old)'!C255</f>
        <v/>
      </c>
      <c r="H201" s="3" t="str">
        <f>'res269 Summer (old)'!D255</f>
        <v/>
      </c>
      <c r="I201" s="3" t="str">
        <f>'res269 Mary Shay'!C255</f>
        <v/>
      </c>
      <c r="J201" s="3" t="str">
        <f>'res269 Mary Shay'!D255</f>
        <v/>
      </c>
      <c r="K201" s="3"/>
      <c r="L201" s="3"/>
    </row>
    <row r="202">
      <c r="E202" s="3"/>
      <c r="F202" s="3"/>
      <c r="G202" s="3" t="str">
        <f>'res269 Summer (old)'!C256</f>
        <v/>
      </c>
      <c r="H202" s="3" t="str">
        <f>'res269 Summer (old)'!D256</f>
        <v/>
      </c>
      <c r="I202" s="3" t="str">
        <f>'res269 Mary Shay'!C256</f>
        <v/>
      </c>
      <c r="J202" s="3" t="str">
        <f>'res269 Mary Shay'!D256</f>
        <v/>
      </c>
      <c r="K202" s="3"/>
      <c r="L202" s="3"/>
    </row>
    <row r="203">
      <c r="E203" s="3"/>
      <c r="F203" s="3"/>
      <c r="G203" s="3" t="str">
        <f>'res269 Summer (old)'!C257</f>
        <v/>
      </c>
      <c r="H203" s="3" t="str">
        <f>'res269 Summer (old)'!D257</f>
        <v/>
      </c>
      <c r="I203" s="3" t="str">
        <f>'res269 Mary Shay'!C257</f>
        <v/>
      </c>
      <c r="J203" s="3" t="str">
        <f>'res269 Mary Shay'!D257</f>
        <v/>
      </c>
      <c r="K203" s="3"/>
      <c r="L203" s="3"/>
    </row>
    <row r="204">
      <c r="E204" s="3"/>
      <c r="F204" s="3"/>
      <c r="G204" s="3" t="str">
        <f>'res269 Summer (old)'!C258</f>
        <v/>
      </c>
      <c r="H204" s="3" t="str">
        <f>'res269 Summer (old)'!D258</f>
        <v/>
      </c>
      <c r="I204" s="3" t="str">
        <f>'res269 Mary Shay'!C258</f>
        <v/>
      </c>
      <c r="J204" s="3" t="str">
        <f>'res269 Mary Shay'!D258</f>
        <v/>
      </c>
      <c r="K204" s="3"/>
      <c r="L204" s="3"/>
    </row>
    <row r="205">
      <c r="E205" s="3"/>
      <c r="F205" s="3"/>
      <c r="G205" s="3" t="str">
        <f>'res269 Summer (old)'!C259</f>
        <v/>
      </c>
      <c r="H205" s="3" t="str">
        <f>'res269 Summer (old)'!D259</f>
        <v/>
      </c>
      <c r="I205" s="3" t="str">
        <f>'res269 Mary Shay'!C259</f>
        <v/>
      </c>
      <c r="J205" s="3" t="str">
        <f>'res269 Mary Shay'!D259</f>
        <v/>
      </c>
      <c r="K205" s="3"/>
      <c r="L205" s="3"/>
    </row>
    <row r="206">
      <c r="E206" s="3"/>
      <c r="F206" s="3"/>
      <c r="G206" s="3" t="str">
        <f>'res269 Summer (old)'!C260</f>
        <v/>
      </c>
      <c r="H206" s="3" t="str">
        <f>'res269 Summer (old)'!D260</f>
        <v/>
      </c>
      <c r="I206" s="3" t="str">
        <f>'res269 Mary Shay'!C260</f>
        <v/>
      </c>
      <c r="J206" s="3" t="str">
        <f>'res269 Mary Shay'!D260</f>
        <v/>
      </c>
      <c r="K206" s="3"/>
      <c r="L206" s="3"/>
    </row>
    <row r="207">
      <c r="E207" s="3"/>
      <c r="F207" s="3"/>
      <c r="G207" s="3" t="str">
        <f>'res269 Summer (old)'!C261</f>
        <v/>
      </c>
      <c r="H207" s="3" t="str">
        <f>'res269 Summer (old)'!D261</f>
        <v/>
      </c>
      <c r="I207" s="3" t="str">
        <f>'res269 Mary Shay'!C261</f>
        <v/>
      </c>
      <c r="J207" s="3" t="str">
        <f>'res269 Mary Shay'!D261</f>
        <v/>
      </c>
      <c r="K207" s="3"/>
      <c r="L207" s="3"/>
    </row>
    <row r="208">
      <c r="E208" s="3"/>
      <c r="F208" s="3"/>
      <c r="G208" s="3" t="str">
        <f>'res269 Summer (old)'!C262</f>
        <v/>
      </c>
      <c r="H208" s="3" t="str">
        <f>'res269 Summer (old)'!D262</f>
        <v/>
      </c>
      <c r="I208" s="3" t="str">
        <f>'res269 Mary Shay'!C262</f>
        <v/>
      </c>
      <c r="J208" s="3" t="str">
        <f>'res269 Mary Shay'!D262</f>
        <v/>
      </c>
      <c r="K208" s="3"/>
      <c r="L208" s="3"/>
    </row>
    <row r="209">
      <c r="E209" s="3"/>
      <c r="F209" s="3"/>
      <c r="G209" s="3" t="str">
        <f>'res269 Summer (old)'!C263</f>
        <v/>
      </c>
      <c r="H209" s="3" t="str">
        <f>'res269 Summer (old)'!D263</f>
        <v/>
      </c>
      <c r="I209" s="3" t="str">
        <f>'res269 Mary Shay'!C263</f>
        <v/>
      </c>
      <c r="J209" s="3" t="str">
        <f>'res269 Mary Shay'!D263</f>
        <v/>
      </c>
      <c r="K209" s="3"/>
      <c r="L209" s="3"/>
    </row>
    <row r="210">
      <c r="E210" s="3"/>
      <c r="F210" s="3"/>
      <c r="G210" s="3" t="str">
        <f>'res269 Summer (old)'!C264</f>
        <v/>
      </c>
      <c r="H210" s="3" t="str">
        <f>'res269 Summer (old)'!D264</f>
        <v/>
      </c>
      <c r="I210" s="3" t="str">
        <f>'res269 Mary Shay'!C264</f>
        <v/>
      </c>
      <c r="J210" s="3" t="str">
        <f>'res269 Mary Shay'!D264</f>
        <v/>
      </c>
      <c r="K210" s="3"/>
      <c r="L210" s="3"/>
    </row>
    <row r="211">
      <c r="E211" s="3"/>
      <c r="F211" s="3"/>
      <c r="G211" s="3" t="str">
        <f>'res269 Summer (old)'!C265</f>
        <v/>
      </c>
      <c r="H211" s="3" t="str">
        <f>'res269 Summer (old)'!D265</f>
        <v/>
      </c>
      <c r="I211" s="3" t="str">
        <f>'res269 Mary Shay'!C265</f>
        <v/>
      </c>
      <c r="J211" s="3" t="str">
        <f>'res269 Mary Shay'!D265</f>
        <v/>
      </c>
      <c r="K211" s="3"/>
      <c r="L211" s="3"/>
    </row>
    <row r="212">
      <c r="E212" s="3"/>
      <c r="F212" s="3"/>
      <c r="G212" s="3" t="str">
        <f>'res269 Summer (old)'!C266</f>
        <v/>
      </c>
      <c r="H212" s="3" t="str">
        <f>'res269 Summer (old)'!D266</f>
        <v/>
      </c>
      <c r="I212" s="3" t="str">
        <f>'res269 Mary Shay'!C266</f>
        <v/>
      </c>
      <c r="J212" s="3" t="str">
        <f>'res269 Mary Shay'!D266</f>
        <v/>
      </c>
      <c r="K212" s="3"/>
      <c r="L212" s="3"/>
    </row>
    <row r="213">
      <c r="E213" s="3"/>
      <c r="F213" s="3"/>
      <c r="G213" s="3" t="str">
        <f>'res269 Summer (old)'!C267</f>
        <v/>
      </c>
      <c r="H213" s="3" t="str">
        <f>'res269 Summer (old)'!D267</f>
        <v/>
      </c>
      <c r="I213" s="3" t="str">
        <f>'res269 Mary Shay'!C267</f>
        <v/>
      </c>
      <c r="J213" s="3" t="str">
        <f>'res269 Mary Shay'!D267</f>
        <v/>
      </c>
      <c r="K213" s="3"/>
      <c r="L213" s="3"/>
    </row>
    <row r="214">
      <c r="E214" s="3"/>
      <c r="F214" s="3"/>
      <c r="G214" s="3" t="str">
        <f>'res269 Summer (old)'!C268</f>
        <v/>
      </c>
      <c r="H214" s="3" t="str">
        <f>'res269 Summer (old)'!D268</f>
        <v/>
      </c>
      <c r="I214" s="3" t="str">
        <f>'res269 Mary Shay'!C268</f>
        <v/>
      </c>
      <c r="J214" s="3" t="str">
        <f>'res269 Mary Shay'!D268</f>
        <v/>
      </c>
      <c r="K214" s="3"/>
      <c r="L214" s="3"/>
    </row>
    <row r="215">
      <c r="E215" s="3"/>
      <c r="F215" s="3"/>
      <c r="G215" s="3" t="str">
        <f>'res269 Summer (old)'!C269</f>
        <v/>
      </c>
      <c r="H215" s="3" t="str">
        <f>'res269 Summer (old)'!D269</f>
        <v/>
      </c>
      <c r="I215" s="3" t="str">
        <f>'res269 Mary Shay'!C269</f>
        <v/>
      </c>
      <c r="J215" s="3" t="str">
        <f>'res269 Mary Shay'!D269</f>
        <v/>
      </c>
      <c r="K215" s="3"/>
      <c r="L215" s="3"/>
    </row>
    <row r="216">
      <c r="E216" s="3"/>
      <c r="F216" s="3"/>
      <c r="G216" s="3" t="str">
        <f>'res269 Summer (old)'!C270</f>
        <v/>
      </c>
      <c r="H216" s="3" t="str">
        <f>'res269 Summer (old)'!D270</f>
        <v/>
      </c>
      <c r="I216" s="3" t="str">
        <f>'res269 Mary Shay'!C270</f>
        <v/>
      </c>
      <c r="J216" s="3" t="str">
        <f>'res269 Mary Shay'!D270</f>
        <v/>
      </c>
      <c r="K216" s="3"/>
      <c r="L216" s="3"/>
    </row>
    <row r="217">
      <c r="E217" s="3"/>
      <c r="F217" s="3"/>
      <c r="G217" s="3" t="str">
        <f>'res269 Summer (old)'!C271</f>
        <v/>
      </c>
      <c r="H217" s="3" t="str">
        <f>'res269 Summer (old)'!D271</f>
        <v/>
      </c>
      <c r="I217" s="3" t="str">
        <f>'res269 Mary Shay'!C271</f>
        <v/>
      </c>
      <c r="J217" s="3" t="str">
        <f>'res269 Mary Shay'!D271</f>
        <v/>
      </c>
      <c r="K217" s="3"/>
      <c r="L217" s="3"/>
    </row>
    <row r="218">
      <c r="E218" s="3"/>
      <c r="F218" s="3"/>
      <c r="G218" s="3" t="str">
        <f>'res269 Summer (old)'!C272</f>
        <v/>
      </c>
      <c r="H218" s="3" t="str">
        <f>'res269 Summer (old)'!D272</f>
        <v/>
      </c>
      <c r="I218" s="3" t="str">
        <f>'res269 Mary Shay'!C272</f>
        <v/>
      </c>
      <c r="J218" s="3" t="str">
        <f>'res269 Mary Shay'!D272</f>
        <v/>
      </c>
      <c r="K218" s="3"/>
      <c r="L218" s="3"/>
    </row>
    <row r="219">
      <c r="E219" s="3"/>
      <c r="F219" s="3"/>
      <c r="G219" s="3" t="str">
        <f>'res269 Summer (old)'!C273</f>
        <v/>
      </c>
      <c r="H219" s="3" t="str">
        <f>'res269 Summer (old)'!D273</f>
        <v/>
      </c>
      <c r="I219" s="3" t="str">
        <f>'res269 Mary Shay'!C273</f>
        <v/>
      </c>
      <c r="J219" s="3" t="str">
        <f>'res269 Mary Shay'!D273</f>
        <v/>
      </c>
      <c r="K219" s="3"/>
      <c r="L219" s="3"/>
    </row>
    <row r="220">
      <c r="E220" s="3"/>
      <c r="F220" s="3"/>
      <c r="G220" s="3" t="str">
        <f>'res269 Summer (old)'!C274</f>
        <v/>
      </c>
      <c r="H220" s="3" t="str">
        <f>'res269 Summer (old)'!D274</f>
        <v/>
      </c>
      <c r="I220" s="3" t="str">
        <f>'res269 Mary Shay'!C274</f>
        <v/>
      </c>
      <c r="J220" s="3" t="str">
        <f>'res269 Mary Shay'!D274</f>
        <v/>
      </c>
      <c r="K220" s="3"/>
      <c r="L220" s="3"/>
    </row>
    <row r="221">
      <c r="E221" s="3"/>
      <c r="F221" s="3"/>
      <c r="G221" s="3" t="str">
        <f>'res269 Summer (old)'!C275</f>
        <v/>
      </c>
      <c r="H221" s="3" t="str">
        <f>'res269 Summer (old)'!D275</f>
        <v/>
      </c>
      <c r="I221" s="3" t="str">
        <f>'res269 Mary Shay'!C275</f>
        <v/>
      </c>
      <c r="J221" s="3" t="str">
        <f>'res269 Mary Shay'!D275</f>
        <v/>
      </c>
      <c r="K221" s="3"/>
      <c r="L221" s="3"/>
    </row>
    <row r="222">
      <c r="E222" s="3"/>
      <c r="F222" s="3"/>
      <c r="G222" s="3" t="str">
        <f>'res269 Summer (old)'!C276</f>
        <v/>
      </c>
      <c r="H222" s="3" t="str">
        <f>'res269 Summer (old)'!D276</f>
        <v/>
      </c>
      <c r="I222" s="3" t="str">
        <f>'res269 Mary Shay'!C276</f>
        <v/>
      </c>
      <c r="J222" s="3" t="str">
        <f>'res269 Mary Shay'!D276</f>
        <v/>
      </c>
      <c r="K222" s="3"/>
      <c r="L222" s="3"/>
    </row>
    <row r="223">
      <c r="E223" s="3"/>
      <c r="F223" s="3"/>
      <c r="G223" s="3" t="str">
        <f>'res269 Summer (old)'!C277</f>
        <v/>
      </c>
      <c r="H223" s="3" t="str">
        <f>'res269 Summer (old)'!D277</f>
        <v/>
      </c>
      <c r="I223" s="3" t="str">
        <f>'res269 Mary Shay'!C277</f>
        <v/>
      </c>
      <c r="J223" s="3" t="str">
        <f>'res269 Mary Shay'!D277</f>
        <v/>
      </c>
      <c r="K223" s="3"/>
      <c r="L223" s="3"/>
    </row>
    <row r="224">
      <c r="E224" s="3"/>
      <c r="F224" s="3"/>
      <c r="G224" s="3" t="str">
        <f>'res269 Summer (old)'!C278</f>
        <v/>
      </c>
      <c r="H224" s="3" t="str">
        <f>'res269 Summer (old)'!D278</f>
        <v/>
      </c>
      <c r="I224" s="3" t="str">
        <f>'res269 Mary Shay'!C278</f>
        <v/>
      </c>
      <c r="J224" s="3" t="str">
        <f>'res269 Mary Shay'!D278</f>
        <v/>
      </c>
      <c r="K224" s="3"/>
      <c r="L224" s="3"/>
    </row>
    <row r="225">
      <c r="E225" s="3"/>
      <c r="F225" s="3"/>
      <c r="G225" s="3" t="str">
        <f>'res269 Summer (old)'!C279</f>
        <v/>
      </c>
      <c r="H225" s="3" t="str">
        <f>'res269 Summer (old)'!D279</f>
        <v/>
      </c>
      <c r="I225" s="3" t="str">
        <f>'res269 Mary Shay'!C279</f>
        <v/>
      </c>
      <c r="J225" s="3" t="str">
        <f>'res269 Mary Shay'!D279</f>
        <v/>
      </c>
      <c r="K225" s="3"/>
      <c r="L225" s="3"/>
    </row>
    <row r="226">
      <c r="E226" s="3"/>
      <c r="F226" s="3"/>
      <c r="G226" s="3" t="str">
        <f>'res269 Summer (old)'!C280</f>
        <v/>
      </c>
      <c r="H226" s="3" t="str">
        <f>'res269 Summer (old)'!D280</f>
        <v/>
      </c>
      <c r="I226" s="3" t="str">
        <f>'res269 Mary Shay'!C280</f>
        <v/>
      </c>
      <c r="J226" s="3" t="str">
        <f>'res269 Mary Shay'!D280</f>
        <v/>
      </c>
      <c r="K226" s="3"/>
      <c r="L226" s="3"/>
    </row>
    <row r="227">
      <c r="E227" s="3"/>
      <c r="F227" s="3"/>
      <c r="G227" s="3" t="str">
        <f>'res269 Summer (old)'!C281</f>
        <v/>
      </c>
      <c r="H227" s="3" t="str">
        <f>'res269 Summer (old)'!D281</f>
        <v/>
      </c>
      <c r="I227" s="3" t="str">
        <f>'res269 Mary Shay'!C281</f>
        <v/>
      </c>
      <c r="J227" s="3" t="str">
        <f>'res269 Mary Shay'!D281</f>
        <v/>
      </c>
      <c r="K227" s="3"/>
      <c r="L227" s="3"/>
    </row>
    <row r="228">
      <c r="E228" s="3"/>
      <c r="F228" s="3"/>
      <c r="G228" s="3" t="str">
        <f>'res269 Summer (old)'!C282</f>
        <v/>
      </c>
      <c r="H228" s="3" t="str">
        <f>'res269 Summer (old)'!D282</f>
        <v/>
      </c>
      <c r="I228" s="3" t="str">
        <f>'res269 Mary Shay'!C282</f>
        <v/>
      </c>
      <c r="J228" s="3" t="str">
        <f>'res269 Mary Shay'!D282</f>
        <v/>
      </c>
      <c r="K228" s="3"/>
      <c r="L228" s="3"/>
    </row>
    <row r="229">
      <c r="E229" s="3"/>
      <c r="F229" s="3"/>
      <c r="G229" s="3" t="str">
        <f>'res269 Summer (old)'!C283</f>
        <v/>
      </c>
      <c r="H229" s="3" t="str">
        <f>'res269 Summer (old)'!D283</f>
        <v/>
      </c>
      <c r="I229" s="3" t="str">
        <f>'res269 Mary Shay'!C283</f>
        <v/>
      </c>
      <c r="J229" s="3" t="str">
        <f>'res269 Mary Shay'!D283</f>
        <v/>
      </c>
      <c r="K229" s="3"/>
      <c r="L229" s="3"/>
    </row>
    <row r="230">
      <c r="E230" s="3"/>
      <c r="F230" s="3"/>
      <c r="G230" s="3" t="str">
        <f>'res269 Summer (old)'!C284</f>
        <v/>
      </c>
      <c r="H230" s="3" t="str">
        <f>'res269 Summer (old)'!D284</f>
        <v/>
      </c>
      <c r="I230" s="3" t="str">
        <f>'res269 Mary Shay'!C284</f>
        <v/>
      </c>
      <c r="J230" s="3" t="str">
        <f>'res269 Mary Shay'!D284</f>
        <v/>
      </c>
      <c r="K230" s="3"/>
      <c r="L230" s="3"/>
    </row>
    <row r="231">
      <c r="E231" s="3"/>
      <c r="F231" s="3"/>
      <c r="G231" s="3" t="str">
        <f>'res269 Summer (old)'!C285</f>
        <v/>
      </c>
      <c r="H231" s="3" t="str">
        <f>'res269 Summer (old)'!D285</f>
        <v/>
      </c>
      <c r="I231" s="3" t="str">
        <f>'res269 Mary Shay'!C285</f>
        <v/>
      </c>
      <c r="J231" s="3" t="str">
        <f>'res269 Mary Shay'!D285</f>
        <v/>
      </c>
      <c r="K231" s="3"/>
      <c r="L231" s="3"/>
    </row>
    <row r="232">
      <c r="E232" s="3"/>
      <c r="F232" s="3"/>
      <c r="G232" s="3" t="str">
        <f>'res269 Summer (old)'!C286</f>
        <v/>
      </c>
      <c r="H232" s="3" t="str">
        <f>'res269 Summer (old)'!D286</f>
        <v/>
      </c>
      <c r="I232" s="3" t="str">
        <f>'res269 Mary Shay'!C286</f>
        <v/>
      </c>
      <c r="J232" s="3" t="str">
        <f>'res269 Mary Shay'!D286</f>
        <v/>
      </c>
      <c r="K232" s="3"/>
      <c r="L232" s="3"/>
    </row>
    <row r="233">
      <c r="E233" s="3"/>
      <c r="F233" s="3"/>
      <c r="G233" s="3" t="str">
        <f>'res269 Summer (old)'!C287</f>
        <v/>
      </c>
      <c r="H233" s="3" t="str">
        <f>'res269 Summer (old)'!D287</f>
        <v/>
      </c>
      <c r="I233" s="3" t="str">
        <f>'res269 Mary Shay'!C287</f>
        <v/>
      </c>
      <c r="J233" s="3" t="str">
        <f>'res269 Mary Shay'!D287</f>
        <v/>
      </c>
      <c r="K233" s="3"/>
      <c r="L233" s="3"/>
    </row>
    <row r="234">
      <c r="E234" s="3"/>
      <c r="F234" s="3"/>
      <c r="G234" s="3" t="str">
        <f>'res269 Summer (old)'!C288</f>
        <v/>
      </c>
      <c r="H234" s="3" t="str">
        <f>'res269 Summer (old)'!D288</f>
        <v/>
      </c>
      <c r="I234" s="3" t="str">
        <f>'res269 Mary Shay'!C288</f>
        <v/>
      </c>
      <c r="J234" s="3" t="str">
        <f>'res269 Mary Shay'!D288</f>
        <v/>
      </c>
      <c r="K234" s="3"/>
      <c r="L234" s="3"/>
    </row>
    <row r="235">
      <c r="E235" s="3"/>
      <c r="F235" s="3"/>
      <c r="G235" s="3" t="str">
        <f>'res269 Summer (old)'!C289</f>
        <v/>
      </c>
      <c r="H235" s="3" t="str">
        <f>'res269 Summer (old)'!D289</f>
        <v/>
      </c>
      <c r="I235" s="3" t="str">
        <f>'res269 Mary Shay'!C289</f>
        <v/>
      </c>
      <c r="J235" s="3" t="str">
        <f>'res269 Mary Shay'!D289</f>
        <v/>
      </c>
      <c r="K235" s="3"/>
      <c r="L235" s="3"/>
    </row>
    <row r="236">
      <c r="E236" s="3"/>
      <c r="F236" s="3"/>
      <c r="G236" s="3" t="str">
        <f>'res269 Summer (old)'!C290</f>
        <v/>
      </c>
      <c r="H236" s="3" t="str">
        <f>'res269 Summer (old)'!D290</f>
        <v/>
      </c>
      <c r="I236" s="3" t="str">
        <f>'res269 Mary Shay'!C290</f>
        <v/>
      </c>
      <c r="J236" s="3" t="str">
        <f>'res269 Mary Shay'!D290</f>
        <v/>
      </c>
      <c r="K236" s="3"/>
      <c r="L236" s="3"/>
    </row>
    <row r="237">
      <c r="E237" s="3"/>
      <c r="F237" s="3"/>
      <c r="G237" s="3" t="str">
        <f>'res269 Summer (old)'!C291</f>
        <v/>
      </c>
      <c r="H237" s="3" t="str">
        <f>'res269 Summer (old)'!D291</f>
        <v/>
      </c>
      <c r="I237" s="3" t="str">
        <f>'res269 Mary Shay'!C291</f>
        <v/>
      </c>
      <c r="J237" s="3" t="str">
        <f>'res269 Mary Shay'!D291</f>
        <v/>
      </c>
      <c r="K237" s="3"/>
      <c r="L237" s="3"/>
    </row>
    <row r="238">
      <c r="E238" s="3"/>
      <c r="F238" s="3"/>
      <c r="G238" s="3" t="str">
        <f>'res269 Summer (old)'!C292</f>
        <v/>
      </c>
      <c r="H238" s="3" t="str">
        <f>'res269 Summer (old)'!D292</f>
        <v/>
      </c>
      <c r="I238" s="3" t="str">
        <f>'res269 Mary Shay'!C292</f>
        <v/>
      </c>
      <c r="J238" s="3" t="str">
        <f>'res269 Mary Shay'!D292</f>
        <v/>
      </c>
      <c r="K238" s="3"/>
      <c r="L238" s="3"/>
    </row>
    <row r="239">
      <c r="E239" s="3"/>
      <c r="F239" s="3"/>
      <c r="G239" s="3" t="str">
        <f>'res269 Summer (old)'!C293</f>
        <v/>
      </c>
      <c r="H239" s="3" t="str">
        <f>'res269 Summer (old)'!D293</f>
        <v/>
      </c>
      <c r="I239" s="3" t="str">
        <f>'res269 Mary Shay'!C293</f>
        <v/>
      </c>
      <c r="J239" s="3" t="str">
        <f>'res269 Mary Shay'!D293</f>
        <v/>
      </c>
      <c r="K239" s="3"/>
      <c r="L239" s="3"/>
    </row>
    <row r="240">
      <c r="E240" s="3"/>
      <c r="F240" s="3"/>
      <c r="G240" s="3" t="str">
        <f>'res269 Summer (old)'!C294</f>
        <v/>
      </c>
      <c r="H240" s="3" t="str">
        <f>'res269 Summer (old)'!D294</f>
        <v/>
      </c>
      <c r="I240" s="3" t="str">
        <f>'res269 Mary Shay'!C294</f>
        <v/>
      </c>
      <c r="J240" s="3" t="str">
        <f>'res269 Mary Shay'!D294</f>
        <v/>
      </c>
      <c r="K240" s="3"/>
      <c r="L240" s="3"/>
    </row>
    <row r="241">
      <c r="E241" s="3"/>
      <c r="F241" s="3"/>
      <c r="G241" s="3" t="str">
        <f>'res269 Summer (old)'!C295</f>
        <v/>
      </c>
      <c r="H241" s="3" t="str">
        <f>'res269 Summer (old)'!D295</f>
        <v/>
      </c>
      <c r="I241" s="3" t="str">
        <f>'res269 Mary Shay'!C295</f>
        <v/>
      </c>
      <c r="J241" s="3" t="str">
        <f>'res269 Mary Shay'!D295</f>
        <v/>
      </c>
      <c r="K241" s="3"/>
      <c r="L241" s="3"/>
    </row>
    <row r="242">
      <c r="E242" s="3"/>
      <c r="F242" s="3"/>
      <c r="G242" s="3" t="str">
        <f>'res269 Summer (old)'!C296</f>
        <v/>
      </c>
      <c r="H242" s="3" t="str">
        <f>'res269 Summer (old)'!D296</f>
        <v/>
      </c>
      <c r="I242" s="3" t="str">
        <f>'res269 Mary Shay'!C296</f>
        <v/>
      </c>
      <c r="J242" s="3" t="str">
        <f>'res269 Mary Shay'!D296</f>
        <v/>
      </c>
      <c r="K242" s="3"/>
      <c r="L242" s="3"/>
    </row>
    <row r="243">
      <c r="E243" s="3"/>
      <c r="F243" s="3"/>
      <c r="G243" s="3" t="str">
        <f>'res269 Summer (old)'!C297</f>
        <v/>
      </c>
      <c r="H243" s="3" t="str">
        <f>'res269 Summer (old)'!D297</f>
        <v/>
      </c>
      <c r="I243" s="3" t="str">
        <f>'res269 Mary Shay'!C297</f>
        <v/>
      </c>
      <c r="J243" s="3" t="str">
        <f>'res269 Mary Shay'!D297</f>
        <v/>
      </c>
      <c r="K243" s="3"/>
      <c r="L243" s="3"/>
    </row>
    <row r="244">
      <c r="E244" s="3"/>
      <c r="F244" s="3"/>
      <c r="G244" s="3" t="str">
        <f>'res269 Summer (old)'!C298</f>
        <v/>
      </c>
      <c r="H244" s="3" t="str">
        <f>'res269 Summer (old)'!D298</f>
        <v/>
      </c>
      <c r="I244" s="3" t="str">
        <f>'res269 Mary Shay'!C298</f>
        <v/>
      </c>
      <c r="J244" s="3" t="str">
        <f>'res269 Mary Shay'!D298</f>
        <v/>
      </c>
      <c r="K244" s="3"/>
      <c r="L244" s="3"/>
    </row>
    <row r="245">
      <c r="E245" s="3"/>
      <c r="F245" s="3"/>
      <c r="G245" s="3" t="str">
        <f>'res269 Summer (old)'!C299</f>
        <v/>
      </c>
      <c r="H245" s="3" t="str">
        <f>'res269 Summer (old)'!D299</f>
        <v/>
      </c>
      <c r="I245" s="3" t="str">
        <f>'res269 Mary Shay'!C299</f>
        <v/>
      </c>
      <c r="J245" s="3" t="str">
        <f>'res269 Mary Shay'!D299</f>
        <v/>
      </c>
      <c r="K245" s="3"/>
      <c r="L245" s="3"/>
    </row>
    <row r="246">
      <c r="E246" s="3"/>
      <c r="F246" s="3"/>
      <c r="G246" s="3" t="str">
        <f>'res269 Summer (old)'!C300</f>
        <v/>
      </c>
      <c r="H246" s="3" t="str">
        <f>'res269 Summer (old)'!D300</f>
        <v/>
      </c>
      <c r="I246" s="3" t="str">
        <f>'res269 Mary Shay'!C300</f>
        <v/>
      </c>
      <c r="J246" s="3" t="str">
        <f>'res269 Mary Shay'!D300</f>
        <v/>
      </c>
      <c r="K246" s="3"/>
      <c r="L246" s="3"/>
    </row>
    <row r="247">
      <c r="E247" s="3"/>
      <c r="F247" s="3"/>
      <c r="G247" s="3" t="str">
        <f>'res269 Summer (old)'!C301</f>
        <v/>
      </c>
      <c r="H247" s="3" t="str">
        <f>'res269 Summer (old)'!D301</f>
        <v/>
      </c>
      <c r="I247" s="3" t="str">
        <f>'res269 Mary Shay'!C301</f>
        <v/>
      </c>
      <c r="J247" s="3" t="str">
        <f>'res269 Mary Shay'!D301</f>
        <v/>
      </c>
      <c r="K247" s="3"/>
      <c r="L247" s="3"/>
    </row>
    <row r="248">
      <c r="E248" s="3"/>
      <c r="F248" s="3"/>
      <c r="G248" s="3" t="str">
        <f>'res269 Summer (old)'!C302</f>
        <v/>
      </c>
      <c r="H248" s="3" t="str">
        <f>'res269 Summer (old)'!D302</f>
        <v/>
      </c>
      <c r="I248" s="3" t="str">
        <f>'res269 Mary Shay'!C302</f>
        <v/>
      </c>
      <c r="J248" s="3" t="str">
        <f>'res269 Mary Shay'!D302</f>
        <v/>
      </c>
      <c r="K248" s="3"/>
      <c r="L248" s="3"/>
    </row>
    <row r="249">
      <c r="E249" s="3"/>
      <c r="F249" s="3"/>
      <c r="G249" s="3" t="str">
        <f>'res269 Summer (old)'!C303</f>
        <v/>
      </c>
      <c r="H249" s="3" t="str">
        <f>'res269 Summer (old)'!D303</f>
        <v/>
      </c>
      <c r="I249" s="3" t="str">
        <f>'res269 Mary Shay'!C303</f>
        <v/>
      </c>
      <c r="J249" s="3" t="str">
        <f>'res269 Mary Shay'!D303</f>
        <v/>
      </c>
      <c r="K249" s="3"/>
      <c r="L249" s="3"/>
    </row>
    <row r="250">
      <c r="E250" s="3"/>
      <c r="F250" s="3"/>
      <c r="G250" s="3" t="str">
        <f>'res269 Summer (old)'!C304</f>
        <v/>
      </c>
      <c r="H250" s="3" t="str">
        <f>'res269 Summer (old)'!D304</f>
        <v/>
      </c>
      <c r="I250" s="3" t="str">
        <f>'res269 Mary Shay'!C304</f>
        <v/>
      </c>
      <c r="J250" s="3" t="str">
        <f>'res269 Mary Shay'!D304</f>
        <v/>
      </c>
      <c r="K250" s="3"/>
      <c r="L250" s="3"/>
    </row>
    <row r="251">
      <c r="E251" s="3"/>
      <c r="F251" s="3"/>
      <c r="G251" s="3" t="str">
        <f>'res269 Summer (old)'!C305</f>
        <v/>
      </c>
      <c r="H251" s="3" t="str">
        <f>'res269 Summer (old)'!D305</f>
        <v/>
      </c>
      <c r="I251" s="3" t="str">
        <f>'res269 Mary Shay'!C305</f>
        <v/>
      </c>
      <c r="J251" s="3" t="str">
        <f>'res269 Mary Shay'!D305</f>
        <v/>
      </c>
      <c r="K251" s="3"/>
      <c r="L251" s="3"/>
    </row>
    <row r="252">
      <c r="E252" s="3"/>
      <c r="F252" s="3"/>
      <c r="G252" s="3" t="str">
        <f>'res269 Summer (old)'!C306</f>
        <v/>
      </c>
      <c r="H252" s="3" t="str">
        <f>'res269 Summer (old)'!D306</f>
        <v/>
      </c>
      <c r="I252" s="3" t="str">
        <f>'res269 Mary Shay'!C306</f>
        <v/>
      </c>
      <c r="J252" s="3" t="str">
        <f>'res269 Mary Shay'!D306</f>
        <v/>
      </c>
      <c r="K252" s="3"/>
      <c r="L252" s="3"/>
    </row>
    <row r="253">
      <c r="E253" s="3"/>
      <c r="F253" s="3"/>
      <c r="G253" s="3" t="str">
        <f>'res269 Summer (old)'!C307</f>
        <v/>
      </c>
      <c r="H253" s="3" t="str">
        <f>'res269 Summer (old)'!D307</f>
        <v/>
      </c>
      <c r="I253" s="3" t="str">
        <f>'res269 Mary Shay'!C307</f>
        <v/>
      </c>
      <c r="J253" s="3" t="str">
        <f>'res269 Mary Shay'!D307</f>
        <v/>
      </c>
      <c r="K253" s="3"/>
      <c r="L253" s="3"/>
    </row>
    <row r="254">
      <c r="E254" s="3"/>
      <c r="F254" s="3"/>
      <c r="G254" s="3" t="str">
        <f>'res269 Summer (old)'!C308</f>
        <v/>
      </c>
      <c r="H254" s="3" t="str">
        <f>'res269 Summer (old)'!D308</f>
        <v/>
      </c>
      <c r="I254" s="3" t="str">
        <f>'res269 Mary Shay'!C308</f>
        <v/>
      </c>
      <c r="J254" s="3" t="str">
        <f>'res269 Mary Shay'!D308</f>
        <v/>
      </c>
      <c r="K254" s="3"/>
      <c r="L254" s="3"/>
    </row>
    <row r="255">
      <c r="E255" s="3"/>
      <c r="F255" s="3"/>
      <c r="G255" s="3" t="str">
        <f>'res269 Summer (old)'!C309</f>
        <v/>
      </c>
      <c r="H255" s="3" t="str">
        <f>'res269 Summer (old)'!D309</f>
        <v/>
      </c>
      <c r="I255" s="3" t="str">
        <f>'res269 Mary Shay'!C309</f>
        <v/>
      </c>
      <c r="J255" s="3" t="str">
        <f>'res269 Mary Shay'!D309</f>
        <v/>
      </c>
      <c r="K255" s="3"/>
      <c r="L255" s="3"/>
    </row>
    <row r="256">
      <c r="E256" s="3"/>
      <c r="F256" s="3"/>
      <c r="G256" s="3" t="str">
        <f>'res269 Summer (old)'!C310</f>
        <v/>
      </c>
      <c r="H256" s="3" t="str">
        <f>'res269 Summer (old)'!D310</f>
        <v/>
      </c>
      <c r="I256" s="3" t="str">
        <f>'res269 Mary Shay'!C310</f>
        <v/>
      </c>
      <c r="J256" s="3" t="str">
        <f>'res269 Mary Shay'!D310</f>
        <v/>
      </c>
      <c r="K256" s="3"/>
      <c r="L256" s="3"/>
    </row>
    <row r="257">
      <c r="E257" s="3"/>
      <c r="F257" s="3"/>
      <c r="G257" s="3" t="str">
        <f>'res269 Summer (old)'!C311</f>
        <v/>
      </c>
      <c r="H257" s="3" t="str">
        <f>'res269 Summer (old)'!D311</f>
        <v/>
      </c>
      <c r="I257" s="3" t="str">
        <f>'res269 Mary Shay'!C311</f>
        <v/>
      </c>
      <c r="J257" s="3" t="str">
        <f>'res269 Mary Shay'!D311</f>
        <v/>
      </c>
      <c r="K257" s="3"/>
      <c r="L257" s="3"/>
    </row>
    <row r="258">
      <c r="E258" s="5"/>
      <c r="F258" s="5"/>
      <c r="G258" s="5"/>
      <c r="H258" s="5"/>
      <c r="I258" s="5"/>
      <c r="J258" s="5"/>
      <c r="K258" s="5"/>
      <c r="L258" s="5"/>
    </row>
    <row r="259">
      <c r="E259" s="5"/>
      <c r="F259" s="5"/>
      <c r="G259" s="5"/>
      <c r="H259" s="5"/>
      <c r="I259" s="5"/>
      <c r="J259" s="5"/>
      <c r="K259" s="5"/>
      <c r="L259" s="5"/>
    </row>
    <row r="260">
      <c r="E260" s="5"/>
      <c r="F260" s="5"/>
      <c r="G260" s="5"/>
      <c r="H260" s="5"/>
      <c r="I260" s="5"/>
      <c r="J260" s="5"/>
      <c r="K260" s="5"/>
      <c r="L260" s="5"/>
    </row>
    <row r="261">
      <c r="E261" s="5"/>
      <c r="F261" s="5"/>
      <c r="G261" s="5"/>
      <c r="H261" s="5"/>
      <c r="I261" s="5"/>
      <c r="J261" s="5"/>
      <c r="K261" s="5"/>
      <c r="L261" s="5"/>
    </row>
    <row r="262">
      <c r="E262" s="5"/>
      <c r="F262" s="5"/>
      <c r="G262" s="5"/>
      <c r="H262" s="5"/>
      <c r="I262" s="5"/>
      <c r="J262" s="5"/>
      <c r="K262" s="5"/>
      <c r="L262" s="5"/>
    </row>
    <row r="263">
      <c r="E263" s="5"/>
      <c r="F263" s="5"/>
      <c r="G263" s="5"/>
      <c r="H263" s="5"/>
      <c r="I263" s="5"/>
      <c r="J263" s="5"/>
      <c r="K263" s="5"/>
      <c r="L263" s="5"/>
    </row>
    <row r="264">
      <c r="E264" s="5"/>
      <c r="F264" s="5"/>
      <c r="G264" s="5"/>
      <c r="H264" s="5"/>
      <c r="I264" s="5"/>
      <c r="J264" s="5"/>
      <c r="K264" s="5"/>
      <c r="L264" s="5"/>
    </row>
    <row r="265">
      <c r="E265" s="5"/>
      <c r="F265" s="5"/>
      <c r="G265" s="5"/>
      <c r="H265" s="5"/>
      <c r="I265" s="5"/>
      <c r="J265" s="5"/>
      <c r="K265" s="5"/>
      <c r="L265" s="5"/>
    </row>
    <row r="266">
      <c r="E266" s="5"/>
      <c r="F266" s="5"/>
      <c r="G266" s="5"/>
      <c r="H266" s="5"/>
      <c r="I266" s="5"/>
      <c r="J266" s="5"/>
      <c r="K266" s="5"/>
      <c r="L266" s="5"/>
    </row>
    <row r="267">
      <c r="E267" s="5"/>
      <c r="F267" s="5"/>
      <c r="G267" s="5"/>
      <c r="H267" s="5"/>
      <c r="I267" s="5"/>
      <c r="J267" s="5"/>
      <c r="K267" s="5"/>
      <c r="L267" s="5"/>
    </row>
    <row r="268">
      <c r="E268" s="5"/>
      <c r="F268" s="5"/>
      <c r="G268" s="5"/>
      <c r="H268" s="5"/>
      <c r="I268" s="5"/>
      <c r="J268" s="5"/>
      <c r="K268" s="5"/>
      <c r="L268" s="5"/>
    </row>
    <row r="269">
      <c r="E269" s="5"/>
      <c r="F269" s="5"/>
      <c r="G269" s="5"/>
      <c r="H269" s="5"/>
      <c r="I269" s="5"/>
      <c r="J269" s="5"/>
      <c r="K269" s="5"/>
      <c r="L269" s="5"/>
    </row>
    <row r="270">
      <c r="E270" s="5"/>
      <c r="F270" s="5"/>
      <c r="G270" s="5"/>
      <c r="H270" s="5"/>
      <c r="I270" s="5"/>
      <c r="J270" s="5"/>
      <c r="K270" s="5"/>
      <c r="L270" s="5"/>
    </row>
    <row r="271">
      <c r="E271" s="5"/>
      <c r="F271" s="5"/>
      <c r="G271" s="5"/>
      <c r="H271" s="5"/>
      <c r="I271" s="5"/>
      <c r="J271" s="5"/>
      <c r="K271" s="5"/>
      <c r="L271" s="5"/>
    </row>
    <row r="272">
      <c r="E272" s="5"/>
      <c r="F272" s="5"/>
      <c r="G272" s="5"/>
      <c r="H272" s="5"/>
      <c r="I272" s="5"/>
      <c r="J272" s="5"/>
      <c r="K272" s="5"/>
      <c r="L272" s="5"/>
    </row>
    <row r="273">
      <c r="E273" s="5"/>
      <c r="F273" s="5"/>
      <c r="G273" s="5"/>
      <c r="H273" s="5"/>
      <c r="I273" s="5"/>
      <c r="J273" s="5"/>
      <c r="K273" s="5"/>
      <c r="L273" s="5"/>
    </row>
    <row r="274">
      <c r="E274" s="5"/>
      <c r="F274" s="5"/>
      <c r="G274" s="5"/>
      <c r="H274" s="5"/>
      <c r="I274" s="5"/>
      <c r="J274" s="5"/>
      <c r="K274" s="5"/>
      <c r="L274" s="5"/>
    </row>
    <row r="275">
      <c r="E275" s="5"/>
      <c r="F275" s="5"/>
      <c r="G275" s="5"/>
      <c r="H275" s="5"/>
      <c r="I275" s="5"/>
      <c r="J275" s="5"/>
      <c r="K275" s="5"/>
      <c r="L275" s="5"/>
    </row>
    <row r="276">
      <c r="E276" s="5"/>
      <c r="F276" s="5"/>
      <c r="G276" s="5"/>
      <c r="H276" s="5"/>
      <c r="I276" s="5"/>
      <c r="J276" s="5"/>
      <c r="K276" s="5"/>
      <c r="L276" s="5"/>
    </row>
    <row r="277">
      <c r="E277" s="5"/>
      <c r="F277" s="5"/>
      <c r="G277" s="5"/>
      <c r="H277" s="5"/>
      <c r="I277" s="5"/>
      <c r="J277" s="5"/>
      <c r="K277" s="5"/>
      <c r="L277" s="5"/>
    </row>
    <row r="278">
      <c r="E278" s="5"/>
      <c r="F278" s="5"/>
      <c r="G278" s="5"/>
      <c r="H278" s="5"/>
      <c r="I278" s="5"/>
      <c r="J278" s="5"/>
      <c r="K278" s="5"/>
      <c r="L278" s="5"/>
    </row>
    <row r="279">
      <c r="E279" s="5"/>
      <c r="F279" s="5"/>
      <c r="G279" s="5"/>
      <c r="H279" s="5"/>
      <c r="I279" s="5"/>
      <c r="J279" s="5"/>
      <c r="K279" s="5"/>
      <c r="L279" s="5"/>
    </row>
    <row r="280">
      <c r="E280" s="5"/>
      <c r="F280" s="5"/>
      <c r="G280" s="5"/>
      <c r="H280" s="5"/>
      <c r="I280" s="5"/>
      <c r="J280" s="5"/>
      <c r="K280" s="5"/>
      <c r="L280" s="5"/>
    </row>
    <row r="281">
      <c r="E281" s="5"/>
      <c r="F281" s="5"/>
      <c r="G281" s="5"/>
      <c r="H281" s="5"/>
      <c r="I281" s="5"/>
      <c r="J281" s="5"/>
      <c r="K281" s="5"/>
      <c r="L281" s="5"/>
    </row>
    <row r="282">
      <c r="E282" s="5"/>
      <c r="F282" s="5"/>
      <c r="G282" s="5"/>
      <c r="H282" s="5"/>
      <c r="I282" s="5"/>
      <c r="J282" s="5"/>
      <c r="K282" s="5"/>
      <c r="L282" s="5"/>
    </row>
    <row r="283">
      <c r="E283" s="5"/>
      <c r="F283" s="5"/>
      <c r="G283" s="5"/>
      <c r="H283" s="5"/>
      <c r="I283" s="5"/>
      <c r="J283" s="5"/>
      <c r="K283" s="5"/>
      <c r="L283" s="5"/>
    </row>
    <row r="284">
      <c r="E284" s="5"/>
      <c r="F284" s="5"/>
      <c r="G284" s="5"/>
      <c r="H284" s="5"/>
      <c r="I284" s="5"/>
      <c r="J284" s="5"/>
      <c r="K284" s="5"/>
      <c r="L284" s="5"/>
    </row>
    <row r="285">
      <c r="E285" s="5"/>
      <c r="F285" s="5"/>
      <c r="G285" s="5"/>
      <c r="H285" s="5"/>
      <c r="I285" s="5"/>
      <c r="J285" s="5"/>
      <c r="K285" s="5"/>
      <c r="L285" s="5"/>
    </row>
    <row r="286">
      <c r="E286" s="5"/>
      <c r="F286" s="5"/>
      <c r="G286" s="5"/>
      <c r="H286" s="5"/>
      <c r="I286" s="5"/>
      <c r="J286" s="5"/>
      <c r="K286" s="5"/>
      <c r="L286" s="5"/>
    </row>
    <row r="287">
      <c r="E287" s="5"/>
      <c r="F287" s="5"/>
      <c r="G287" s="5"/>
      <c r="H287" s="5"/>
      <c r="I287" s="5"/>
      <c r="J287" s="5"/>
      <c r="K287" s="5"/>
      <c r="L287" s="5"/>
    </row>
    <row r="288">
      <c r="E288" s="5"/>
      <c r="F288" s="5"/>
      <c r="G288" s="5"/>
      <c r="H288" s="5"/>
      <c r="I288" s="5"/>
      <c r="J288" s="5"/>
      <c r="K288" s="5"/>
      <c r="L288" s="5"/>
    </row>
    <row r="289">
      <c r="E289" s="5"/>
      <c r="F289" s="5"/>
      <c r="G289" s="5"/>
      <c r="H289" s="5"/>
      <c r="I289" s="5"/>
      <c r="J289" s="5"/>
      <c r="K289" s="5"/>
      <c r="L289" s="5"/>
    </row>
    <row r="290">
      <c r="E290" s="5"/>
      <c r="F290" s="5"/>
      <c r="G290" s="5"/>
      <c r="H290" s="5"/>
      <c r="I290" s="5"/>
      <c r="J290" s="5"/>
      <c r="K290" s="5"/>
      <c r="L290" s="5"/>
    </row>
    <row r="291">
      <c r="E291" s="5"/>
      <c r="F291" s="5"/>
      <c r="G291" s="5"/>
      <c r="H291" s="5"/>
      <c r="I291" s="5"/>
      <c r="J291" s="5"/>
      <c r="K291" s="5"/>
      <c r="L291" s="5"/>
    </row>
    <row r="292">
      <c r="E292" s="5"/>
      <c r="F292" s="5"/>
      <c r="G292" s="5"/>
      <c r="H292" s="5"/>
      <c r="I292" s="5"/>
      <c r="J292" s="5"/>
      <c r="K292" s="5"/>
      <c r="L292" s="5"/>
    </row>
    <row r="293">
      <c r="E293" s="5"/>
      <c r="F293" s="5"/>
      <c r="G293" s="5"/>
      <c r="H293" s="5"/>
      <c r="I293" s="5"/>
      <c r="J293" s="5"/>
      <c r="K293" s="5"/>
      <c r="L293" s="5"/>
    </row>
    <row r="294">
      <c r="E294" s="5"/>
      <c r="F294" s="5"/>
      <c r="G294" s="5"/>
      <c r="H294" s="5"/>
      <c r="I294" s="5"/>
      <c r="J294" s="5"/>
      <c r="K294" s="5"/>
      <c r="L294" s="5"/>
    </row>
    <row r="295">
      <c r="E295" s="5"/>
      <c r="F295" s="5"/>
      <c r="G295" s="5"/>
      <c r="H295" s="5"/>
      <c r="I295" s="5"/>
      <c r="J295" s="5"/>
      <c r="K295" s="5"/>
      <c r="L295" s="5"/>
    </row>
    <row r="296">
      <c r="E296" s="5"/>
      <c r="F296" s="5"/>
      <c r="G296" s="5"/>
      <c r="H296" s="5"/>
      <c r="I296" s="5"/>
      <c r="J296" s="5"/>
      <c r="K296" s="5"/>
      <c r="L296" s="5"/>
    </row>
    <row r="297">
      <c r="E297" s="5"/>
      <c r="F297" s="5"/>
      <c r="G297" s="5"/>
      <c r="H297" s="5"/>
      <c r="I297" s="5"/>
      <c r="J297" s="5"/>
      <c r="K297" s="5"/>
      <c r="L297" s="5"/>
    </row>
    <row r="298">
      <c r="E298" s="5"/>
      <c r="F298" s="5"/>
      <c r="G298" s="5"/>
      <c r="H298" s="5"/>
      <c r="I298" s="5"/>
      <c r="J298" s="5"/>
      <c r="K298" s="5"/>
      <c r="L298" s="5"/>
    </row>
    <row r="299">
      <c r="E299" s="5"/>
      <c r="F299" s="5"/>
      <c r="G299" s="5"/>
      <c r="H299" s="5"/>
      <c r="I299" s="5"/>
      <c r="J299" s="5"/>
      <c r="K299" s="5"/>
      <c r="L299" s="5"/>
    </row>
    <row r="300">
      <c r="E300" s="5"/>
      <c r="F300" s="5"/>
      <c r="G300" s="5"/>
      <c r="H300" s="5"/>
      <c r="I300" s="5"/>
      <c r="J300" s="5"/>
      <c r="K300" s="5"/>
      <c r="L300" s="5"/>
    </row>
    <row r="301">
      <c r="E301" s="5"/>
      <c r="F301" s="5"/>
      <c r="G301" s="5"/>
      <c r="H301" s="5"/>
      <c r="I301" s="5"/>
      <c r="J301" s="5"/>
      <c r="K301" s="5"/>
      <c r="L301" s="5"/>
    </row>
    <row r="302">
      <c r="E302" s="5"/>
      <c r="F302" s="5"/>
      <c r="G302" s="5"/>
      <c r="H302" s="5"/>
      <c r="I302" s="5"/>
      <c r="J302" s="5"/>
      <c r="K302" s="5"/>
      <c r="L302" s="5"/>
    </row>
    <row r="303">
      <c r="E303" s="5"/>
      <c r="F303" s="5"/>
      <c r="G303" s="5"/>
      <c r="H303" s="5"/>
      <c r="I303" s="5"/>
      <c r="J303" s="5"/>
      <c r="K303" s="5"/>
      <c r="L303" s="5"/>
    </row>
    <row r="304">
      <c r="E304" s="5"/>
      <c r="F304" s="5"/>
      <c r="G304" s="5"/>
      <c r="H304" s="5"/>
      <c r="I304" s="5"/>
      <c r="J304" s="5"/>
      <c r="K304" s="5"/>
      <c r="L304" s="5"/>
    </row>
    <row r="305">
      <c r="E305" s="5"/>
      <c r="F305" s="5"/>
      <c r="G305" s="5"/>
      <c r="H305" s="5"/>
      <c r="I305" s="5"/>
      <c r="J305" s="5"/>
      <c r="K305" s="5"/>
      <c r="L305" s="5"/>
    </row>
    <row r="306">
      <c r="E306" s="5"/>
      <c r="F306" s="5"/>
      <c r="G306" s="5"/>
      <c r="H306" s="5"/>
      <c r="I306" s="5"/>
      <c r="J306" s="5"/>
      <c r="K306" s="5"/>
      <c r="L306" s="5"/>
    </row>
    <row r="307">
      <c r="E307" s="5"/>
      <c r="F307" s="5"/>
      <c r="G307" s="5"/>
      <c r="H307" s="5"/>
      <c r="I307" s="5"/>
      <c r="J307" s="5"/>
      <c r="K307" s="5"/>
      <c r="L307" s="5"/>
    </row>
    <row r="308">
      <c r="E308" s="5"/>
      <c r="F308" s="5"/>
      <c r="G308" s="5"/>
      <c r="H308" s="5"/>
      <c r="I308" s="5"/>
      <c r="J308" s="5"/>
      <c r="K308" s="5"/>
      <c r="L308" s="5"/>
    </row>
    <row r="309">
      <c r="E309" s="5"/>
      <c r="F309" s="5"/>
      <c r="G309" s="5"/>
      <c r="H309" s="5"/>
      <c r="I309" s="5"/>
      <c r="J309" s="5"/>
      <c r="K309" s="5"/>
      <c r="L309" s="5"/>
    </row>
    <row r="310">
      <c r="E310" s="5"/>
      <c r="F310" s="5"/>
      <c r="G310" s="5"/>
      <c r="H310" s="5"/>
      <c r="I310" s="5"/>
      <c r="J310" s="5"/>
      <c r="K310" s="5"/>
      <c r="L310" s="5"/>
    </row>
    <row r="311">
      <c r="E311" s="5"/>
      <c r="F311" s="5"/>
      <c r="G311" s="5"/>
      <c r="H311" s="5"/>
      <c r="I311" s="5"/>
      <c r="J311" s="5"/>
      <c r="K311" s="5"/>
      <c r="L311" s="5"/>
    </row>
    <row r="312">
      <c r="E312" s="5"/>
      <c r="F312" s="5"/>
      <c r="G312" s="5"/>
      <c r="H312" s="5"/>
      <c r="I312" s="5"/>
      <c r="J312" s="5"/>
      <c r="K312" s="5"/>
      <c r="L312" s="5"/>
    </row>
    <row r="313">
      <c r="E313" s="5"/>
      <c r="F313" s="5"/>
      <c r="G313" s="5"/>
      <c r="H313" s="5"/>
      <c r="I313" s="5"/>
      <c r="J313" s="5"/>
      <c r="K313" s="5"/>
      <c r="L313" s="5"/>
    </row>
    <row r="314">
      <c r="E314" s="5"/>
      <c r="F314" s="5"/>
      <c r="G314" s="5"/>
      <c r="H314" s="5"/>
      <c r="I314" s="5"/>
      <c r="J314" s="5"/>
      <c r="K314" s="5"/>
      <c r="L314" s="5"/>
    </row>
    <row r="315">
      <c r="E315" s="5"/>
      <c r="F315" s="5"/>
      <c r="G315" s="5"/>
      <c r="H315" s="5"/>
      <c r="I315" s="5"/>
      <c r="J315" s="5"/>
      <c r="K315" s="5"/>
      <c r="L315" s="5"/>
    </row>
    <row r="316">
      <c r="E316" s="5"/>
      <c r="F316" s="5"/>
      <c r="G316" s="5"/>
      <c r="H316" s="5"/>
      <c r="I316" s="5"/>
      <c r="J316" s="5"/>
      <c r="K316" s="5"/>
      <c r="L316" s="5"/>
    </row>
    <row r="317">
      <c r="E317" s="5"/>
      <c r="F317" s="5"/>
      <c r="G317" s="5"/>
      <c r="H317" s="5"/>
      <c r="I317" s="5"/>
      <c r="J317" s="5"/>
      <c r="K317" s="5"/>
      <c r="L317" s="5"/>
    </row>
    <row r="318">
      <c r="E318" s="5"/>
      <c r="F318" s="5"/>
      <c r="G318" s="5"/>
      <c r="H318" s="5"/>
      <c r="I318" s="5"/>
      <c r="J318" s="5"/>
      <c r="K318" s="5"/>
      <c r="L318" s="5"/>
    </row>
    <row r="319">
      <c r="E319" s="5"/>
      <c r="F319" s="5"/>
      <c r="G319" s="5"/>
      <c r="H319" s="5"/>
      <c r="I319" s="5"/>
      <c r="J319" s="5"/>
      <c r="K319" s="5"/>
      <c r="L319" s="5"/>
    </row>
    <row r="320">
      <c r="E320" s="5"/>
      <c r="F320" s="5"/>
      <c r="G320" s="5"/>
      <c r="H320" s="5"/>
      <c r="I320" s="5"/>
      <c r="J320" s="5"/>
      <c r="K320" s="5"/>
      <c r="L320" s="5"/>
    </row>
    <row r="321">
      <c r="E321" s="5"/>
      <c r="F321" s="5"/>
      <c r="G321" s="5"/>
      <c r="H321" s="5"/>
      <c r="I321" s="5"/>
      <c r="J321" s="5"/>
      <c r="K321" s="5"/>
      <c r="L321" s="5"/>
    </row>
    <row r="322">
      <c r="E322" s="5"/>
      <c r="F322" s="5"/>
      <c r="G322" s="5"/>
      <c r="H322" s="5"/>
      <c r="I322" s="5"/>
      <c r="J322" s="5"/>
      <c r="K322" s="5"/>
      <c r="L322" s="5"/>
    </row>
    <row r="323">
      <c r="E323" s="5"/>
      <c r="F323" s="5"/>
      <c r="G323" s="5"/>
      <c r="H323" s="5"/>
      <c r="I323" s="5"/>
      <c r="J323" s="5"/>
      <c r="K323" s="5"/>
      <c r="L323" s="5"/>
    </row>
    <row r="324">
      <c r="E324" s="5"/>
      <c r="F324" s="5"/>
      <c r="G324" s="5"/>
      <c r="H324" s="5"/>
      <c r="I324" s="5"/>
      <c r="J324" s="5"/>
      <c r="K324" s="5"/>
      <c r="L324" s="5"/>
    </row>
    <row r="325">
      <c r="E325" s="5"/>
      <c r="F325" s="5"/>
      <c r="G325" s="5"/>
      <c r="H325" s="5"/>
      <c r="I325" s="5"/>
      <c r="J325" s="5"/>
      <c r="K325" s="5"/>
      <c r="L325" s="5"/>
    </row>
    <row r="326">
      <c r="E326" s="5"/>
      <c r="F326" s="5"/>
      <c r="G326" s="5"/>
      <c r="H326" s="5"/>
      <c r="I326" s="5"/>
      <c r="J326" s="5"/>
      <c r="K326" s="5"/>
      <c r="L326" s="5"/>
    </row>
    <row r="327">
      <c r="E327" s="5"/>
      <c r="F327" s="5"/>
      <c r="G327" s="5"/>
      <c r="H327" s="5"/>
      <c r="I327" s="5"/>
      <c r="J327" s="5"/>
      <c r="K327" s="5"/>
      <c r="L327" s="5"/>
    </row>
    <row r="328">
      <c r="E328" s="5"/>
      <c r="F328" s="5"/>
      <c r="G328" s="5"/>
      <c r="H328" s="5"/>
      <c r="I328" s="5"/>
      <c r="J328" s="5"/>
      <c r="K328" s="5"/>
      <c r="L328" s="5"/>
    </row>
    <row r="329">
      <c r="E329" s="5"/>
      <c r="F329" s="5"/>
      <c r="G329" s="5"/>
      <c r="H329" s="5"/>
      <c r="I329" s="5"/>
      <c r="J329" s="5"/>
      <c r="K329" s="5"/>
      <c r="L329" s="5"/>
    </row>
    <row r="330">
      <c r="E330" s="5"/>
      <c r="F330" s="5"/>
      <c r="G330" s="5"/>
      <c r="H330" s="5"/>
      <c r="I330" s="5"/>
      <c r="J330" s="5"/>
      <c r="K330" s="5"/>
      <c r="L330" s="5"/>
    </row>
    <row r="331">
      <c r="E331" s="5"/>
      <c r="F331" s="5"/>
      <c r="G331" s="5"/>
      <c r="H331" s="5"/>
      <c r="I331" s="5"/>
      <c r="J331" s="5"/>
      <c r="K331" s="5"/>
      <c r="L331" s="5"/>
    </row>
    <row r="332">
      <c r="E332" s="5"/>
      <c r="F332" s="5"/>
      <c r="G332" s="5"/>
      <c r="H332" s="5"/>
      <c r="I332" s="5"/>
      <c r="J332" s="5"/>
      <c r="K332" s="5"/>
      <c r="L332" s="5"/>
    </row>
    <row r="333">
      <c r="E333" s="5"/>
      <c r="F333" s="5"/>
      <c r="G333" s="5"/>
      <c r="H333" s="5"/>
      <c r="I333" s="5"/>
      <c r="J333" s="5"/>
      <c r="K333" s="5"/>
      <c r="L333" s="5"/>
    </row>
    <row r="334">
      <c r="E334" s="5"/>
      <c r="F334" s="5"/>
      <c r="G334" s="5"/>
      <c r="H334" s="5"/>
      <c r="I334" s="5"/>
      <c r="J334" s="5"/>
      <c r="K334" s="5"/>
      <c r="L334" s="5"/>
    </row>
    <row r="335">
      <c r="E335" s="5"/>
      <c r="F335" s="5"/>
      <c r="G335" s="5"/>
      <c r="H335" s="5"/>
      <c r="I335" s="5"/>
      <c r="J335" s="5"/>
      <c r="K335" s="5"/>
      <c r="L335" s="5"/>
    </row>
    <row r="336">
      <c r="E336" s="5"/>
      <c r="F336" s="5"/>
      <c r="G336" s="5"/>
      <c r="H336" s="5"/>
      <c r="I336" s="5"/>
      <c r="J336" s="5"/>
      <c r="K336" s="5"/>
      <c r="L336" s="5"/>
    </row>
    <row r="337">
      <c r="E337" s="5"/>
      <c r="F337" s="5"/>
      <c r="G337" s="5"/>
      <c r="H337" s="5"/>
      <c r="I337" s="5"/>
      <c r="J337" s="5"/>
      <c r="K337" s="5"/>
      <c r="L337" s="5"/>
    </row>
    <row r="338">
      <c r="E338" s="5"/>
      <c r="F338" s="5"/>
      <c r="G338" s="5"/>
      <c r="H338" s="5"/>
      <c r="I338" s="5"/>
      <c r="J338" s="5"/>
      <c r="K338" s="5"/>
      <c r="L338" s="5"/>
    </row>
    <row r="339">
      <c r="E339" s="5"/>
      <c r="F339" s="5"/>
      <c r="G339" s="5"/>
      <c r="H339" s="5"/>
      <c r="I339" s="5"/>
      <c r="J339" s="5"/>
      <c r="K339" s="5"/>
      <c r="L339" s="5"/>
    </row>
    <row r="340">
      <c r="E340" s="5"/>
      <c r="F340" s="5"/>
      <c r="G340" s="5"/>
      <c r="H340" s="5"/>
      <c r="I340" s="5"/>
      <c r="J340" s="5"/>
      <c r="K340" s="5"/>
      <c r="L340" s="5"/>
    </row>
    <row r="341">
      <c r="E341" s="5"/>
      <c r="F341" s="5"/>
      <c r="G341" s="5"/>
      <c r="H341" s="5"/>
      <c r="I341" s="5"/>
      <c r="J341" s="5"/>
      <c r="K341" s="5"/>
      <c r="L341" s="5"/>
    </row>
    <row r="342">
      <c r="E342" s="5"/>
      <c r="F342" s="5"/>
      <c r="G342" s="5"/>
      <c r="H342" s="5"/>
      <c r="I342" s="5"/>
      <c r="J342" s="5"/>
      <c r="K342" s="5"/>
      <c r="L342" s="5"/>
    </row>
    <row r="343">
      <c r="E343" s="5"/>
      <c r="F343" s="5"/>
      <c r="G343" s="5"/>
      <c r="H343" s="5"/>
      <c r="I343" s="5"/>
      <c r="J343" s="5"/>
      <c r="K343" s="5"/>
      <c r="L343" s="5"/>
    </row>
    <row r="344">
      <c r="E344" s="5"/>
      <c r="F344" s="5"/>
      <c r="G344" s="5"/>
      <c r="H344" s="5"/>
      <c r="I344" s="5"/>
      <c r="J344" s="5"/>
      <c r="K344" s="5"/>
      <c r="L344" s="5"/>
    </row>
    <row r="345">
      <c r="E345" s="5"/>
      <c r="F345" s="5"/>
      <c r="G345" s="5"/>
      <c r="H345" s="5"/>
      <c r="I345" s="5"/>
      <c r="J345" s="5"/>
      <c r="K345" s="5"/>
      <c r="L345" s="5"/>
    </row>
    <row r="346">
      <c r="E346" s="5"/>
      <c r="F346" s="5"/>
      <c r="G346" s="5"/>
      <c r="H346" s="5"/>
      <c r="I346" s="5"/>
      <c r="J346" s="5"/>
      <c r="K346" s="5"/>
      <c r="L346" s="5"/>
    </row>
    <row r="347">
      <c r="E347" s="5"/>
      <c r="F347" s="5"/>
      <c r="G347" s="5"/>
      <c r="H347" s="5"/>
      <c r="I347" s="5"/>
      <c r="J347" s="5"/>
      <c r="K347" s="5"/>
      <c r="L347" s="5"/>
    </row>
    <row r="348">
      <c r="E348" s="5"/>
      <c r="F348" s="5"/>
      <c r="G348" s="5"/>
      <c r="H348" s="5"/>
      <c r="I348" s="5"/>
      <c r="J348" s="5"/>
      <c r="K348" s="5"/>
      <c r="L348" s="5"/>
    </row>
    <row r="349">
      <c r="E349" s="5"/>
      <c r="F349" s="5"/>
      <c r="G349" s="5"/>
      <c r="H349" s="5"/>
      <c r="I349" s="5"/>
      <c r="J349" s="5"/>
      <c r="K349" s="5"/>
      <c r="L349" s="5"/>
    </row>
    <row r="350">
      <c r="E350" s="5"/>
      <c r="F350" s="5"/>
      <c r="G350" s="5"/>
      <c r="H350" s="5"/>
      <c r="I350" s="5"/>
      <c r="J350" s="5"/>
      <c r="K350" s="5"/>
      <c r="L350" s="5"/>
    </row>
    <row r="351">
      <c r="E351" s="5"/>
      <c r="F351" s="5"/>
      <c r="G351" s="5"/>
      <c r="H351" s="5"/>
      <c r="I351" s="5"/>
      <c r="J351" s="5"/>
      <c r="K351" s="5"/>
      <c r="L351" s="5"/>
    </row>
    <row r="352">
      <c r="E352" s="5"/>
      <c r="F352" s="5"/>
      <c r="G352" s="5"/>
      <c r="H352" s="5"/>
      <c r="I352" s="5"/>
      <c r="J352" s="5"/>
      <c r="K352" s="5"/>
      <c r="L352" s="5"/>
    </row>
    <row r="353">
      <c r="E353" s="5"/>
      <c r="F353" s="5"/>
      <c r="G353" s="5"/>
      <c r="H353" s="5"/>
      <c r="I353" s="5"/>
      <c r="J353" s="5"/>
      <c r="K353" s="5"/>
      <c r="L353" s="5"/>
    </row>
    <row r="354">
      <c r="E354" s="5"/>
      <c r="F354" s="5"/>
      <c r="G354" s="5"/>
      <c r="H354" s="5"/>
      <c r="I354" s="5"/>
      <c r="J354" s="5"/>
      <c r="K354" s="5"/>
      <c r="L354" s="5"/>
    </row>
    <row r="355">
      <c r="E355" s="5"/>
      <c r="F355" s="5"/>
      <c r="G355" s="5"/>
      <c r="H355" s="5"/>
      <c r="I355" s="5"/>
      <c r="J355" s="5"/>
      <c r="K355" s="5"/>
      <c r="L355" s="5"/>
    </row>
    <row r="356">
      <c r="E356" s="5"/>
      <c r="F356" s="5"/>
      <c r="G356" s="5"/>
      <c r="H356" s="5"/>
      <c r="I356" s="5"/>
      <c r="J356" s="5"/>
      <c r="K356" s="5"/>
      <c r="L356" s="5"/>
    </row>
    <row r="357">
      <c r="E357" s="5"/>
      <c r="F357" s="5"/>
      <c r="G357" s="5"/>
      <c r="H357" s="5"/>
      <c r="I357" s="5"/>
      <c r="J357" s="5"/>
      <c r="K357" s="5"/>
      <c r="L357" s="5"/>
    </row>
    <row r="358">
      <c r="E358" s="5"/>
      <c r="F358" s="5"/>
      <c r="G358" s="5"/>
      <c r="H358" s="5"/>
      <c r="I358" s="5"/>
      <c r="J358" s="5"/>
      <c r="K358" s="5"/>
      <c r="L358" s="5"/>
    </row>
    <row r="359">
      <c r="E359" s="5"/>
      <c r="F359" s="5"/>
      <c r="G359" s="5"/>
      <c r="H359" s="5"/>
      <c r="I359" s="5"/>
      <c r="J359" s="5"/>
      <c r="K359" s="5"/>
      <c r="L359" s="5"/>
    </row>
    <row r="360">
      <c r="E360" s="5"/>
      <c r="F360" s="5"/>
      <c r="G360" s="5"/>
      <c r="H360" s="5"/>
      <c r="I360" s="5"/>
      <c r="J360" s="5"/>
      <c r="K360" s="5"/>
      <c r="L360" s="5"/>
    </row>
    <row r="361">
      <c r="E361" s="5"/>
      <c r="F361" s="5"/>
      <c r="G361" s="5"/>
      <c r="H361" s="5"/>
      <c r="I361" s="5"/>
      <c r="J361" s="5"/>
      <c r="K361" s="5"/>
      <c r="L361" s="5"/>
    </row>
    <row r="362">
      <c r="E362" s="5"/>
      <c r="F362" s="5"/>
      <c r="G362" s="5"/>
      <c r="H362" s="5"/>
      <c r="I362" s="5"/>
      <c r="J362" s="5"/>
      <c r="K362" s="5"/>
      <c r="L362" s="5"/>
    </row>
    <row r="363">
      <c r="E363" s="5"/>
      <c r="F363" s="5"/>
      <c r="G363" s="5"/>
      <c r="H363" s="5"/>
      <c r="I363" s="5"/>
      <c r="J363" s="5"/>
      <c r="K363" s="5"/>
      <c r="L363" s="5"/>
    </row>
    <row r="364">
      <c r="E364" s="5"/>
      <c r="F364" s="5"/>
      <c r="G364" s="5"/>
      <c r="H364" s="5"/>
      <c r="I364" s="5"/>
      <c r="J364" s="5"/>
      <c r="K364" s="5"/>
      <c r="L364" s="5"/>
    </row>
    <row r="365">
      <c r="E365" s="5"/>
      <c r="F365" s="5"/>
      <c r="G365" s="5"/>
      <c r="H365" s="5"/>
      <c r="I365" s="5"/>
      <c r="J365" s="5"/>
      <c r="K365" s="5"/>
      <c r="L365" s="5"/>
    </row>
    <row r="366">
      <c r="E366" s="5"/>
      <c r="F366" s="5"/>
      <c r="G366" s="5"/>
      <c r="H366" s="5"/>
      <c r="I366" s="5"/>
      <c r="J366" s="5"/>
      <c r="K366" s="5"/>
      <c r="L366" s="5"/>
    </row>
    <row r="367">
      <c r="E367" s="5"/>
      <c r="F367" s="5"/>
      <c r="G367" s="5"/>
      <c r="H367" s="5"/>
      <c r="I367" s="5"/>
      <c r="J367" s="5"/>
      <c r="K367" s="5"/>
      <c r="L367" s="5"/>
    </row>
    <row r="368">
      <c r="E368" s="5"/>
      <c r="F368" s="5"/>
      <c r="G368" s="5"/>
      <c r="H368" s="5"/>
      <c r="I368" s="5"/>
      <c r="J368" s="5"/>
      <c r="K368" s="5"/>
      <c r="L368" s="5"/>
    </row>
    <row r="369">
      <c r="E369" s="5"/>
      <c r="F369" s="5"/>
      <c r="G369" s="5"/>
      <c r="H369" s="5"/>
      <c r="I369" s="5"/>
      <c r="J369" s="5"/>
      <c r="K369" s="5"/>
      <c r="L369" s="5"/>
    </row>
    <row r="370">
      <c r="E370" s="5"/>
      <c r="F370" s="5"/>
      <c r="G370" s="5"/>
      <c r="H370" s="5"/>
      <c r="I370" s="5"/>
      <c r="J370" s="5"/>
      <c r="K370" s="5"/>
      <c r="L370" s="5"/>
    </row>
    <row r="371">
      <c r="E371" s="5"/>
      <c r="F371" s="5"/>
      <c r="G371" s="5"/>
      <c r="H371" s="5"/>
      <c r="I371" s="5"/>
      <c r="J371" s="5"/>
      <c r="K371" s="5"/>
      <c r="L371" s="5"/>
    </row>
    <row r="372">
      <c r="E372" s="5"/>
      <c r="F372" s="5"/>
      <c r="G372" s="5"/>
      <c r="H372" s="5"/>
      <c r="I372" s="5"/>
      <c r="J372" s="5"/>
      <c r="K372" s="5"/>
      <c r="L372" s="5"/>
    </row>
    <row r="373">
      <c r="E373" s="5"/>
      <c r="F373" s="5"/>
      <c r="G373" s="5"/>
      <c r="H373" s="5"/>
      <c r="I373" s="5"/>
      <c r="J373" s="5"/>
      <c r="K373" s="5"/>
      <c r="L373" s="5"/>
    </row>
    <row r="374">
      <c r="E374" s="5"/>
      <c r="F374" s="5"/>
      <c r="G374" s="5"/>
      <c r="H374" s="5"/>
      <c r="I374" s="5"/>
      <c r="J374" s="5"/>
      <c r="K374" s="5"/>
      <c r="L374" s="5"/>
    </row>
    <row r="375">
      <c r="E375" s="5"/>
      <c r="F375" s="5"/>
      <c r="G375" s="5"/>
      <c r="H375" s="5"/>
      <c r="I375" s="5"/>
      <c r="J375" s="5"/>
      <c r="K375" s="5"/>
      <c r="L375" s="5"/>
    </row>
    <row r="376">
      <c r="E376" s="5"/>
      <c r="F376" s="5"/>
      <c r="G376" s="5"/>
      <c r="H376" s="5"/>
      <c r="I376" s="5"/>
      <c r="J376" s="5"/>
      <c r="K376" s="5"/>
      <c r="L376" s="5"/>
    </row>
    <row r="377">
      <c r="E377" s="5"/>
      <c r="F377" s="5"/>
      <c r="G377" s="5"/>
      <c r="H377" s="5"/>
      <c r="I377" s="5"/>
      <c r="J377" s="5"/>
      <c r="K377" s="5"/>
      <c r="L377" s="5"/>
    </row>
    <row r="378">
      <c r="E378" s="5"/>
      <c r="F378" s="5"/>
      <c r="G378" s="5"/>
      <c r="H378" s="5"/>
      <c r="I378" s="5"/>
      <c r="J378" s="5"/>
      <c r="K378" s="5"/>
      <c r="L378" s="5"/>
    </row>
    <row r="379">
      <c r="E379" s="5"/>
      <c r="F379" s="5"/>
      <c r="G379" s="5"/>
      <c r="H379" s="5"/>
      <c r="I379" s="5"/>
      <c r="J379" s="5"/>
      <c r="K379" s="5"/>
      <c r="L379" s="5"/>
    </row>
    <row r="380">
      <c r="E380" s="5"/>
      <c r="F380" s="5"/>
      <c r="G380" s="5"/>
      <c r="H380" s="5"/>
      <c r="I380" s="5"/>
      <c r="J380" s="5"/>
      <c r="K380" s="5"/>
      <c r="L380" s="5"/>
    </row>
    <row r="381">
      <c r="E381" s="5"/>
      <c r="F381" s="5"/>
      <c r="G381" s="5"/>
      <c r="H381" s="5"/>
      <c r="I381" s="5"/>
      <c r="J381" s="5"/>
      <c r="K381" s="5"/>
      <c r="L381" s="5"/>
    </row>
    <row r="382">
      <c r="E382" s="5"/>
      <c r="F382" s="5"/>
      <c r="G382" s="5"/>
      <c r="H382" s="5"/>
      <c r="I382" s="5"/>
      <c r="J382" s="5"/>
      <c r="K382" s="5"/>
      <c r="L382" s="5"/>
    </row>
    <row r="383">
      <c r="E383" s="5"/>
      <c r="F383" s="5"/>
      <c r="G383" s="5"/>
      <c r="H383" s="5"/>
      <c r="I383" s="5"/>
      <c r="J383" s="5"/>
      <c r="K383" s="5"/>
      <c r="L383" s="5"/>
    </row>
    <row r="384">
      <c r="E384" s="5"/>
      <c r="F384" s="5"/>
      <c r="G384" s="5"/>
      <c r="H384" s="5"/>
      <c r="I384" s="5"/>
      <c r="J384" s="5"/>
      <c r="K384" s="5"/>
      <c r="L384" s="5"/>
    </row>
    <row r="385">
      <c r="E385" s="5"/>
      <c r="F385" s="5"/>
      <c r="G385" s="5"/>
      <c r="H385" s="5"/>
      <c r="I385" s="5"/>
      <c r="J385" s="5"/>
      <c r="K385" s="5"/>
      <c r="L385" s="5"/>
    </row>
    <row r="386">
      <c r="E386" s="5"/>
      <c r="F386" s="5"/>
      <c r="G386" s="5"/>
      <c r="H386" s="5"/>
      <c r="I386" s="5"/>
      <c r="J386" s="5"/>
      <c r="K386" s="5"/>
      <c r="L386" s="5"/>
    </row>
    <row r="387">
      <c r="E387" s="5"/>
      <c r="F387" s="5"/>
      <c r="G387" s="5"/>
      <c r="H387" s="5"/>
      <c r="I387" s="5"/>
      <c r="J387" s="5"/>
      <c r="K387" s="5"/>
      <c r="L387" s="5"/>
    </row>
    <row r="388">
      <c r="E388" s="5"/>
      <c r="F388" s="5"/>
      <c r="G388" s="5"/>
      <c r="H388" s="5"/>
      <c r="I388" s="5"/>
      <c r="J388" s="5"/>
      <c r="K388" s="5"/>
      <c r="L388" s="5"/>
    </row>
    <row r="389">
      <c r="E389" s="5"/>
      <c r="F389" s="5"/>
      <c r="G389" s="5"/>
      <c r="H389" s="5"/>
      <c r="I389" s="5"/>
      <c r="J389" s="5"/>
      <c r="K389" s="5"/>
      <c r="L389" s="5"/>
    </row>
    <row r="390">
      <c r="E390" s="5"/>
      <c r="F390" s="5"/>
      <c r="G390" s="5"/>
      <c r="H390" s="5"/>
      <c r="I390" s="5"/>
      <c r="J390" s="5"/>
      <c r="K390" s="5"/>
      <c r="L390" s="5"/>
    </row>
    <row r="391">
      <c r="E391" s="5"/>
      <c r="F391" s="5"/>
      <c r="G391" s="5"/>
      <c r="H391" s="5"/>
      <c r="I391" s="5"/>
      <c r="J391" s="5"/>
      <c r="K391" s="5"/>
      <c r="L391" s="5"/>
    </row>
    <row r="392">
      <c r="E392" s="5"/>
      <c r="F392" s="5"/>
      <c r="G392" s="5"/>
      <c r="H392" s="5"/>
      <c r="I392" s="5"/>
      <c r="J392" s="5"/>
      <c r="K392" s="5"/>
      <c r="L392" s="5"/>
    </row>
    <row r="393">
      <c r="E393" s="5"/>
      <c r="F393" s="5"/>
      <c r="G393" s="5"/>
      <c r="H393" s="5"/>
      <c r="I393" s="5"/>
      <c r="J393" s="5"/>
      <c r="K393" s="5"/>
      <c r="L393" s="5"/>
    </row>
    <row r="394">
      <c r="E394" s="5"/>
      <c r="F394" s="5"/>
      <c r="G394" s="5"/>
      <c r="H394" s="5"/>
      <c r="I394" s="5"/>
      <c r="J394" s="5"/>
      <c r="K394" s="5"/>
      <c r="L394" s="5"/>
    </row>
    <row r="395">
      <c r="E395" s="5"/>
      <c r="F395" s="5"/>
      <c r="G395" s="5"/>
      <c r="H395" s="5"/>
      <c r="I395" s="5"/>
      <c r="J395" s="5"/>
      <c r="K395" s="5"/>
      <c r="L395" s="5"/>
    </row>
    <row r="396">
      <c r="E396" s="5"/>
      <c r="F396" s="5"/>
      <c r="G396" s="5"/>
      <c r="H396" s="5"/>
      <c r="I396" s="5"/>
      <c r="J396" s="5"/>
      <c r="K396" s="5"/>
      <c r="L396" s="5"/>
    </row>
    <row r="397">
      <c r="E397" s="5"/>
      <c r="F397" s="5"/>
      <c r="G397" s="5"/>
      <c r="H397" s="5"/>
      <c r="I397" s="5"/>
      <c r="J397" s="5"/>
      <c r="K397" s="5"/>
      <c r="L397" s="5"/>
    </row>
    <row r="398">
      <c r="E398" s="5"/>
      <c r="F398" s="5"/>
      <c r="G398" s="5"/>
      <c r="H398" s="5"/>
      <c r="I398" s="5"/>
      <c r="J398" s="5"/>
      <c r="K398" s="5"/>
      <c r="L398" s="5"/>
    </row>
    <row r="399">
      <c r="E399" s="5"/>
      <c r="F399" s="5"/>
      <c r="G399" s="5"/>
      <c r="H399" s="5"/>
      <c r="I399" s="5"/>
      <c r="J399" s="5"/>
      <c r="K399" s="5"/>
      <c r="L399" s="5"/>
    </row>
    <row r="400">
      <c r="E400" s="5"/>
      <c r="F400" s="5"/>
      <c r="G400" s="5"/>
      <c r="H400" s="5"/>
      <c r="I400" s="5"/>
      <c r="J400" s="5"/>
      <c r="K400" s="5"/>
      <c r="L400" s="5"/>
    </row>
    <row r="401">
      <c r="E401" s="5"/>
      <c r="F401" s="5"/>
      <c r="G401" s="5"/>
      <c r="H401" s="5"/>
      <c r="I401" s="5"/>
      <c r="J401" s="5"/>
      <c r="K401" s="5"/>
      <c r="L401" s="5"/>
    </row>
    <row r="402">
      <c r="E402" s="5"/>
      <c r="F402" s="5"/>
      <c r="G402" s="5"/>
      <c r="H402" s="5"/>
      <c r="I402" s="5"/>
      <c r="J402" s="5"/>
      <c r="K402" s="5"/>
      <c r="L402" s="5"/>
    </row>
    <row r="403">
      <c r="E403" s="5"/>
      <c r="F403" s="5"/>
      <c r="G403" s="5"/>
      <c r="H403" s="5"/>
      <c r="I403" s="5"/>
      <c r="J403" s="5"/>
      <c r="K403" s="5"/>
      <c r="L403" s="5"/>
    </row>
    <row r="404">
      <c r="E404" s="5"/>
      <c r="F404" s="5"/>
      <c r="G404" s="5"/>
      <c r="H404" s="5"/>
      <c r="I404" s="5"/>
      <c r="J404" s="5"/>
      <c r="K404" s="5"/>
      <c r="L404" s="5"/>
    </row>
    <row r="405">
      <c r="E405" s="5"/>
      <c r="F405" s="5"/>
      <c r="G405" s="5"/>
      <c r="H405" s="5"/>
      <c r="I405" s="5"/>
      <c r="J405" s="5"/>
      <c r="K405" s="5"/>
      <c r="L405" s="5"/>
    </row>
    <row r="406">
      <c r="E406" s="5"/>
      <c r="F406" s="5"/>
      <c r="G406" s="5"/>
      <c r="H406" s="5"/>
      <c r="I406" s="5"/>
      <c r="J406" s="5"/>
      <c r="K406" s="5"/>
      <c r="L406" s="5"/>
    </row>
    <row r="407">
      <c r="E407" s="5"/>
      <c r="F407" s="5"/>
      <c r="G407" s="5"/>
      <c r="H407" s="5"/>
      <c r="I407" s="5"/>
      <c r="J407" s="5"/>
      <c r="K407" s="5"/>
      <c r="L407" s="5"/>
    </row>
    <row r="408">
      <c r="E408" s="5"/>
      <c r="F408" s="5"/>
      <c r="G408" s="5"/>
      <c r="H408" s="5"/>
      <c r="I408" s="5"/>
      <c r="J408" s="5"/>
      <c r="K408" s="5"/>
      <c r="L408" s="5"/>
    </row>
    <row r="409">
      <c r="E409" s="5"/>
      <c r="F409" s="5"/>
      <c r="G409" s="5"/>
      <c r="H409" s="5"/>
      <c r="I409" s="5"/>
      <c r="J409" s="5"/>
      <c r="K409" s="5"/>
      <c r="L409" s="5"/>
    </row>
    <row r="410">
      <c r="E410" s="5"/>
      <c r="F410" s="5"/>
      <c r="G410" s="5"/>
      <c r="H410" s="5"/>
      <c r="I410" s="5"/>
      <c r="J410" s="5"/>
      <c r="K410" s="5"/>
      <c r="L410" s="5"/>
    </row>
    <row r="411">
      <c r="E411" s="5"/>
      <c r="F411" s="5"/>
      <c r="G411" s="5"/>
      <c r="H411" s="5"/>
      <c r="I411" s="5"/>
      <c r="J411" s="5"/>
      <c r="K411" s="5"/>
      <c r="L411" s="5"/>
    </row>
    <row r="412">
      <c r="E412" s="5"/>
      <c r="F412" s="5"/>
      <c r="G412" s="5"/>
      <c r="H412" s="5"/>
      <c r="I412" s="5"/>
      <c r="J412" s="5"/>
      <c r="K412" s="5"/>
      <c r="L412" s="5"/>
    </row>
    <row r="413">
      <c r="E413" s="5"/>
      <c r="F413" s="5"/>
      <c r="G413" s="5"/>
      <c r="H413" s="5"/>
      <c r="I413" s="5"/>
      <c r="J413" s="5"/>
      <c r="K413" s="5"/>
      <c r="L413" s="5"/>
    </row>
    <row r="414">
      <c r="E414" s="5"/>
      <c r="F414" s="5"/>
      <c r="G414" s="5"/>
      <c r="H414" s="5"/>
      <c r="I414" s="5"/>
      <c r="J414" s="5"/>
      <c r="K414" s="5"/>
      <c r="L414" s="5"/>
    </row>
    <row r="415">
      <c r="E415" s="5"/>
      <c r="F415" s="5"/>
      <c r="G415" s="5"/>
      <c r="H415" s="5"/>
      <c r="I415" s="5"/>
      <c r="J415" s="5"/>
      <c r="K415" s="5"/>
      <c r="L415" s="5"/>
    </row>
    <row r="416">
      <c r="E416" s="5"/>
      <c r="F416" s="5"/>
      <c r="G416" s="5"/>
      <c r="H416" s="5"/>
      <c r="I416" s="5"/>
      <c r="J416" s="5"/>
      <c r="K416" s="5"/>
      <c r="L416" s="5"/>
    </row>
    <row r="417">
      <c r="E417" s="5"/>
      <c r="F417" s="5"/>
      <c r="G417" s="5"/>
      <c r="H417" s="5"/>
      <c r="I417" s="5"/>
      <c r="J417" s="5"/>
      <c r="K417" s="5"/>
      <c r="L417" s="5"/>
    </row>
    <row r="418">
      <c r="E418" s="5"/>
      <c r="F418" s="5"/>
      <c r="G418" s="5"/>
      <c r="H418" s="5"/>
      <c r="I418" s="5"/>
      <c r="J418" s="5"/>
      <c r="K418" s="5"/>
      <c r="L418" s="5"/>
    </row>
    <row r="419">
      <c r="E419" s="5"/>
      <c r="F419" s="5"/>
      <c r="G419" s="5"/>
      <c r="H419" s="5"/>
      <c r="I419" s="5"/>
      <c r="J419" s="5"/>
      <c r="K419" s="5"/>
      <c r="L419" s="5"/>
    </row>
    <row r="420">
      <c r="E420" s="5"/>
      <c r="F420" s="5"/>
      <c r="G420" s="5"/>
      <c r="H420" s="5"/>
      <c r="I420" s="5"/>
      <c r="J420" s="5"/>
      <c r="K420" s="5"/>
      <c r="L420" s="5"/>
    </row>
    <row r="421">
      <c r="E421" s="5"/>
      <c r="F421" s="5"/>
      <c r="G421" s="5"/>
      <c r="H421" s="5"/>
      <c r="I421" s="5"/>
      <c r="J421" s="5"/>
      <c r="K421" s="5"/>
      <c r="L421" s="5"/>
    </row>
    <row r="422">
      <c r="E422" s="5"/>
      <c r="F422" s="5"/>
      <c r="G422" s="5"/>
      <c r="H422" s="5"/>
      <c r="I422" s="5"/>
      <c r="J422" s="5"/>
      <c r="K422" s="5"/>
      <c r="L422" s="5"/>
    </row>
    <row r="423">
      <c r="E423" s="5"/>
      <c r="F423" s="5"/>
      <c r="G423" s="5"/>
      <c r="H423" s="5"/>
      <c r="I423" s="5"/>
      <c r="J423" s="5"/>
      <c r="K423" s="5"/>
      <c r="L423" s="5"/>
    </row>
    <row r="424">
      <c r="E424" s="5"/>
      <c r="F424" s="5"/>
      <c r="G424" s="5"/>
      <c r="H424" s="5"/>
      <c r="I424" s="5"/>
      <c r="J424" s="5"/>
      <c r="K424" s="5"/>
      <c r="L424" s="5"/>
    </row>
    <row r="425">
      <c r="E425" s="5"/>
      <c r="F425" s="5"/>
      <c r="G425" s="5"/>
      <c r="H425" s="5"/>
      <c r="I425" s="5"/>
      <c r="J425" s="5"/>
      <c r="K425" s="5"/>
      <c r="L425" s="5"/>
    </row>
    <row r="426">
      <c r="E426" s="5"/>
      <c r="F426" s="5"/>
      <c r="G426" s="5"/>
      <c r="H426" s="5"/>
      <c r="I426" s="5"/>
      <c r="J426" s="5"/>
      <c r="K426" s="5"/>
      <c r="L426" s="5"/>
    </row>
    <row r="427">
      <c r="E427" s="5"/>
      <c r="F427" s="5"/>
      <c r="G427" s="5"/>
      <c r="H427" s="5"/>
      <c r="I427" s="5"/>
      <c r="J427" s="5"/>
      <c r="K427" s="5"/>
      <c r="L427" s="5"/>
    </row>
    <row r="428">
      <c r="E428" s="5"/>
      <c r="F428" s="5"/>
      <c r="G428" s="5"/>
      <c r="H428" s="5"/>
      <c r="I428" s="5"/>
      <c r="J428" s="5"/>
      <c r="K428" s="5"/>
      <c r="L428" s="5"/>
    </row>
    <row r="429">
      <c r="E429" s="5"/>
      <c r="F429" s="5"/>
      <c r="G429" s="5"/>
      <c r="H429" s="5"/>
      <c r="I429" s="5"/>
      <c r="J429" s="5"/>
      <c r="K429" s="5"/>
      <c r="L429" s="5"/>
    </row>
    <row r="430">
      <c r="E430" s="5"/>
      <c r="F430" s="5"/>
      <c r="G430" s="5"/>
      <c r="H430" s="5"/>
      <c r="I430" s="5"/>
      <c r="J430" s="5"/>
      <c r="K430" s="5"/>
      <c r="L430" s="5"/>
    </row>
    <row r="431">
      <c r="E431" s="5"/>
      <c r="F431" s="5"/>
      <c r="G431" s="5"/>
      <c r="H431" s="5"/>
      <c r="I431" s="5"/>
      <c r="J431" s="5"/>
      <c r="K431" s="5"/>
      <c r="L431" s="5"/>
    </row>
    <row r="432">
      <c r="E432" s="5"/>
      <c r="F432" s="5"/>
      <c r="G432" s="5"/>
      <c r="H432" s="5"/>
      <c r="I432" s="5"/>
      <c r="J432" s="5"/>
      <c r="K432" s="5"/>
      <c r="L432" s="5"/>
    </row>
    <row r="433">
      <c r="E433" s="5"/>
      <c r="F433" s="5"/>
      <c r="G433" s="5"/>
      <c r="H433" s="5"/>
      <c r="I433" s="5"/>
      <c r="J433" s="5"/>
      <c r="K433" s="5"/>
      <c r="L433" s="5"/>
    </row>
    <row r="434">
      <c r="E434" s="5"/>
      <c r="F434" s="5"/>
      <c r="G434" s="5"/>
      <c r="H434" s="5"/>
      <c r="I434" s="5"/>
      <c r="J434" s="5"/>
      <c r="K434" s="5"/>
      <c r="L434" s="5"/>
    </row>
    <row r="435">
      <c r="E435" s="5"/>
      <c r="F435" s="5"/>
      <c r="G435" s="5"/>
      <c r="H435" s="5"/>
      <c r="I435" s="5"/>
      <c r="J435" s="5"/>
      <c r="K435" s="5"/>
      <c r="L435" s="5"/>
    </row>
    <row r="436">
      <c r="E436" s="5"/>
      <c r="F436" s="5"/>
      <c r="G436" s="5"/>
      <c r="H436" s="5"/>
      <c r="I436" s="5"/>
      <c r="J436" s="5"/>
      <c r="K436" s="5"/>
      <c r="L436" s="5"/>
    </row>
    <row r="437">
      <c r="E437" s="5"/>
      <c r="F437" s="5"/>
      <c r="G437" s="5"/>
      <c r="H437" s="5"/>
      <c r="I437" s="5"/>
      <c r="J437" s="5"/>
      <c r="K437" s="5"/>
      <c r="L437" s="5"/>
    </row>
    <row r="438">
      <c r="E438" s="5"/>
      <c r="F438" s="5"/>
      <c r="G438" s="5"/>
      <c r="H438" s="5"/>
      <c r="I438" s="5"/>
      <c r="J438" s="5"/>
      <c r="K438" s="5"/>
      <c r="L438" s="5"/>
    </row>
    <row r="439">
      <c r="E439" s="5"/>
      <c r="F439" s="5"/>
      <c r="G439" s="5"/>
      <c r="H439" s="5"/>
      <c r="I439" s="5"/>
      <c r="J439" s="5"/>
      <c r="K439" s="5"/>
      <c r="L439" s="5"/>
    </row>
    <row r="440">
      <c r="E440" s="5"/>
      <c r="F440" s="5"/>
      <c r="G440" s="5"/>
      <c r="H440" s="5"/>
      <c r="I440" s="5"/>
      <c r="J440" s="5"/>
      <c r="K440" s="5"/>
      <c r="L440" s="5"/>
    </row>
    <row r="441">
      <c r="E441" s="5"/>
      <c r="F441" s="5"/>
      <c r="G441" s="5"/>
      <c r="H441" s="5"/>
      <c r="I441" s="5"/>
      <c r="J441" s="5"/>
      <c r="K441" s="5"/>
      <c r="L441" s="5"/>
    </row>
    <row r="442">
      <c r="E442" s="5"/>
      <c r="F442" s="5"/>
      <c r="G442" s="5"/>
      <c r="H442" s="5"/>
      <c r="I442" s="5"/>
      <c r="J442" s="5"/>
      <c r="K442" s="5"/>
      <c r="L442" s="5"/>
    </row>
    <row r="443">
      <c r="E443" s="5"/>
      <c r="F443" s="5"/>
      <c r="G443" s="5"/>
      <c r="H443" s="5"/>
      <c r="I443" s="5"/>
      <c r="J443" s="5"/>
      <c r="K443" s="5"/>
      <c r="L443" s="5"/>
    </row>
    <row r="444">
      <c r="E444" s="5"/>
      <c r="F444" s="5"/>
      <c r="G444" s="5"/>
      <c r="H444" s="5"/>
      <c r="I444" s="5"/>
      <c r="J444" s="5"/>
      <c r="K444" s="5"/>
      <c r="L444" s="5"/>
    </row>
    <row r="445">
      <c r="E445" s="5"/>
      <c r="F445" s="5"/>
      <c r="G445" s="5"/>
      <c r="H445" s="5"/>
      <c r="I445" s="5"/>
      <c r="J445" s="5"/>
      <c r="K445" s="5"/>
      <c r="L445" s="5"/>
    </row>
    <row r="446">
      <c r="E446" s="5"/>
      <c r="F446" s="5"/>
      <c r="G446" s="5"/>
      <c r="H446" s="5"/>
      <c r="I446" s="5"/>
      <c r="J446" s="5"/>
      <c r="K446" s="5"/>
      <c r="L446" s="5"/>
    </row>
    <row r="447">
      <c r="E447" s="5"/>
      <c r="F447" s="5"/>
      <c r="G447" s="5"/>
      <c r="H447" s="5"/>
      <c r="I447" s="5"/>
      <c r="J447" s="5"/>
      <c r="K447" s="5"/>
      <c r="L447" s="5"/>
    </row>
    <row r="448">
      <c r="E448" s="5"/>
      <c r="F448" s="5"/>
      <c r="G448" s="5"/>
      <c r="H448" s="5"/>
      <c r="I448" s="5"/>
      <c r="J448" s="5"/>
      <c r="K448" s="5"/>
      <c r="L448" s="5"/>
    </row>
    <row r="449">
      <c r="E449" s="5"/>
      <c r="F449" s="5"/>
      <c r="G449" s="5"/>
      <c r="H449" s="5"/>
      <c r="I449" s="5"/>
      <c r="J449" s="5"/>
      <c r="K449" s="5"/>
      <c r="L449" s="5"/>
    </row>
    <row r="450">
      <c r="E450" s="5"/>
      <c r="F450" s="5"/>
      <c r="G450" s="5"/>
      <c r="H450" s="5"/>
      <c r="I450" s="5"/>
      <c r="J450" s="5"/>
      <c r="K450" s="5"/>
      <c r="L450" s="5"/>
    </row>
    <row r="451">
      <c r="E451" s="5"/>
      <c r="F451" s="5"/>
      <c r="G451" s="5"/>
      <c r="H451" s="5"/>
      <c r="I451" s="5"/>
      <c r="J451" s="5"/>
      <c r="K451" s="5"/>
      <c r="L451" s="5"/>
    </row>
    <row r="452">
      <c r="E452" s="5"/>
      <c r="F452" s="5"/>
      <c r="G452" s="5"/>
      <c r="H452" s="5"/>
      <c r="I452" s="5"/>
      <c r="J452" s="5"/>
      <c r="K452" s="5"/>
      <c r="L452" s="5"/>
    </row>
    <row r="453">
      <c r="E453" s="5"/>
      <c r="F453" s="5"/>
      <c r="G453" s="5"/>
      <c r="H453" s="5"/>
      <c r="I453" s="5"/>
      <c r="J453" s="5"/>
      <c r="K453" s="5"/>
      <c r="L453" s="5"/>
    </row>
    <row r="454">
      <c r="E454" s="5"/>
      <c r="F454" s="5"/>
      <c r="G454" s="5"/>
      <c r="H454" s="5"/>
      <c r="I454" s="5"/>
      <c r="J454" s="5"/>
      <c r="K454" s="5"/>
      <c r="L454" s="5"/>
    </row>
    <row r="455">
      <c r="E455" s="5"/>
      <c r="F455" s="5"/>
      <c r="G455" s="5"/>
      <c r="H455" s="5"/>
      <c r="I455" s="5"/>
      <c r="J455" s="5"/>
      <c r="K455" s="5"/>
      <c r="L455" s="5"/>
    </row>
    <row r="456">
      <c r="E456" s="5"/>
      <c r="F456" s="5"/>
      <c r="G456" s="5"/>
      <c r="H456" s="5"/>
      <c r="I456" s="5"/>
      <c r="J456" s="5"/>
      <c r="K456" s="5"/>
      <c r="L456" s="5"/>
    </row>
    <row r="457">
      <c r="E457" s="5"/>
      <c r="F457" s="5"/>
      <c r="G457" s="5"/>
      <c r="H457" s="5"/>
      <c r="I457" s="5"/>
      <c r="J457" s="5"/>
      <c r="K457" s="5"/>
      <c r="L457" s="5"/>
    </row>
    <row r="458">
      <c r="E458" s="5"/>
      <c r="F458" s="5"/>
      <c r="G458" s="5"/>
      <c r="H458" s="5"/>
      <c r="I458" s="5"/>
      <c r="J458" s="5"/>
      <c r="K458" s="5"/>
      <c r="L458" s="5"/>
    </row>
    <row r="459">
      <c r="E459" s="5"/>
      <c r="F459" s="5"/>
      <c r="G459" s="5"/>
      <c r="H459" s="5"/>
      <c r="I459" s="5"/>
      <c r="J459" s="5"/>
      <c r="K459" s="5"/>
      <c r="L459" s="5"/>
    </row>
    <row r="460">
      <c r="E460" s="5"/>
      <c r="F460" s="5"/>
      <c r="G460" s="5"/>
      <c r="H460" s="5"/>
      <c r="I460" s="5"/>
      <c r="J460" s="5"/>
      <c r="K460" s="5"/>
      <c r="L460" s="5"/>
    </row>
    <row r="461">
      <c r="E461" s="5"/>
      <c r="F461" s="5"/>
      <c r="G461" s="5"/>
      <c r="H461" s="5"/>
      <c r="I461" s="5"/>
      <c r="J461" s="5"/>
      <c r="K461" s="5"/>
      <c r="L461" s="5"/>
    </row>
    <row r="462">
      <c r="E462" s="5"/>
      <c r="F462" s="5"/>
      <c r="G462" s="5"/>
      <c r="H462" s="5"/>
      <c r="I462" s="5"/>
      <c r="J462" s="5"/>
      <c r="K462" s="5"/>
      <c r="L462" s="5"/>
    </row>
    <row r="463">
      <c r="E463" s="5"/>
      <c r="F463" s="5"/>
      <c r="G463" s="5"/>
      <c r="H463" s="5"/>
      <c r="I463" s="5"/>
      <c r="J463" s="5"/>
      <c r="K463" s="5"/>
      <c r="L463" s="5"/>
    </row>
    <row r="464">
      <c r="E464" s="5"/>
      <c r="F464" s="5"/>
      <c r="G464" s="5"/>
      <c r="H464" s="5"/>
      <c r="I464" s="5"/>
      <c r="J464" s="5"/>
      <c r="K464" s="5"/>
      <c r="L464" s="5"/>
    </row>
    <row r="465">
      <c r="E465" s="5"/>
      <c r="F465" s="5"/>
      <c r="G465" s="5"/>
      <c r="H465" s="5"/>
      <c r="I465" s="5"/>
      <c r="J465" s="5"/>
      <c r="K465" s="5"/>
      <c r="L465" s="5"/>
    </row>
    <row r="466">
      <c r="E466" s="5"/>
      <c r="F466" s="5"/>
      <c r="G466" s="5"/>
      <c r="H466" s="5"/>
      <c r="I466" s="5"/>
      <c r="J466" s="5"/>
      <c r="K466" s="5"/>
      <c r="L466" s="5"/>
    </row>
    <row r="467">
      <c r="E467" s="5"/>
      <c r="F467" s="5"/>
      <c r="G467" s="5"/>
      <c r="H467" s="5"/>
      <c r="I467" s="5"/>
      <c r="J467" s="5"/>
      <c r="K467" s="5"/>
      <c r="L467" s="5"/>
    </row>
    <row r="468">
      <c r="E468" s="5"/>
      <c r="F468" s="5"/>
      <c r="G468" s="5"/>
      <c r="H468" s="5"/>
      <c r="I468" s="5"/>
      <c r="J468" s="5"/>
      <c r="K468" s="5"/>
      <c r="L468" s="5"/>
    </row>
    <row r="469">
      <c r="E469" s="5"/>
      <c r="F469" s="5"/>
      <c r="G469" s="5"/>
      <c r="H469" s="5"/>
      <c r="I469" s="5"/>
      <c r="J469" s="5"/>
      <c r="K469" s="5"/>
      <c r="L469" s="5"/>
    </row>
    <row r="470">
      <c r="E470" s="5"/>
      <c r="F470" s="5"/>
      <c r="G470" s="5"/>
      <c r="H470" s="5"/>
      <c r="I470" s="5"/>
      <c r="J470" s="5"/>
      <c r="K470" s="5"/>
      <c r="L470" s="5"/>
    </row>
    <row r="471">
      <c r="E471" s="5"/>
      <c r="F471" s="5"/>
      <c r="G471" s="5"/>
      <c r="H471" s="5"/>
      <c r="I471" s="5"/>
      <c r="J471" s="5"/>
      <c r="K471" s="5"/>
      <c r="L471" s="5"/>
    </row>
    <row r="472">
      <c r="E472" s="5"/>
      <c r="F472" s="5"/>
      <c r="G472" s="5"/>
      <c r="H472" s="5"/>
      <c r="I472" s="5"/>
      <c r="J472" s="5"/>
      <c r="K472" s="5"/>
      <c r="L472" s="5"/>
    </row>
    <row r="473">
      <c r="E473" s="5"/>
      <c r="F473" s="5"/>
      <c r="G473" s="5"/>
      <c r="H473" s="5"/>
      <c r="I473" s="5"/>
      <c r="J473" s="5"/>
      <c r="K473" s="5"/>
      <c r="L473" s="5"/>
    </row>
    <row r="474">
      <c r="E474" s="5"/>
      <c r="F474" s="5"/>
      <c r="G474" s="5"/>
      <c r="H474" s="5"/>
      <c r="I474" s="5"/>
      <c r="J474" s="5"/>
      <c r="K474" s="5"/>
      <c r="L474" s="5"/>
    </row>
    <row r="475">
      <c r="E475" s="5"/>
      <c r="F475" s="5"/>
      <c r="G475" s="5"/>
      <c r="H475" s="5"/>
      <c r="I475" s="5"/>
      <c r="J475" s="5"/>
      <c r="K475" s="5"/>
      <c r="L475" s="5"/>
    </row>
    <row r="476">
      <c r="E476" s="5"/>
      <c r="F476" s="5"/>
      <c r="G476" s="5"/>
      <c r="H476" s="5"/>
      <c r="I476" s="5"/>
      <c r="J476" s="5"/>
      <c r="K476" s="5"/>
      <c r="L476" s="5"/>
    </row>
    <row r="477">
      <c r="E477" s="5"/>
      <c r="F477" s="5"/>
      <c r="G477" s="5"/>
      <c r="H477" s="5"/>
      <c r="I477" s="5"/>
      <c r="J477" s="5"/>
      <c r="K477" s="5"/>
      <c r="L477" s="5"/>
    </row>
    <row r="478">
      <c r="E478" s="5"/>
      <c r="F478" s="5"/>
      <c r="G478" s="5"/>
      <c r="H478" s="5"/>
      <c r="I478" s="5"/>
      <c r="J478" s="5"/>
      <c r="K478" s="5"/>
      <c r="L478" s="5"/>
    </row>
    <row r="479">
      <c r="E479" s="5"/>
      <c r="F479" s="5"/>
      <c r="G479" s="5"/>
      <c r="H479" s="5"/>
      <c r="I479" s="5"/>
      <c r="J479" s="5"/>
      <c r="K479" s="5"/>
      <c r="L479" s="5"/>
    </row>
    <row r="480">
      <c r="E480" s="5"/>
      <c r="F480" s="5"/>
      <c r="G480" s="5"/>
      <c r="H480" s="5"/>
      <c r="I480" s="5"/>
      <c r="J480" s="5"/>
      <c r="K480" s="5"/>
      <c r="L480" s="5"/>
    </row>
    <row r="481">
      <c r="E481" s="5"/>
      <c r="F481" s="5"/>
      <c r="G481" s="5"/>
      <c r="H481" s="5"/>
      <c r="I481" s="5"/>
      <c r="J481" s="5"/>
      <c r="K481" s="5"/>
      <c r="L481" s="5"/>
    </row>
    <row r="482">
      <c r="E482" s="5"/>
      <c r="F482" s="5"/>
      <c r="G482" s="5"/>
      <c r="H482" s="5"/>
      <c r="I482" s="5"/>
      <c r="J482" s="5"/>
      <c r="K482" s="5"/>
      <c r="L482" s="5"/>
    </row>
    <row r="483">
      <c r="E483" s="5"/>
      <c r="F483" s="5"/>
      <c r="G483" s="5"/>
      <c r="H483" s="5"/>
      <c r="I483" s="5"/>
      <c r="J483" s="5"/>
      <c r="K483" s="5"/>
      <c r="L483" s="5"/>
    </row>
    <row r="484">
      <c r="E484" s="5"/>
      <c r="F484" s="5"/>
      <c r="G484" s="5"/>
      <c r="H484" s="5"/>
      <c r="I484" s="5"/>
      <c r="J484" s="5"/>
      <c r="K484" s="5"/>
      <c r="L484" s="5"/>
    </row>
    <row r="485">
      <c r="E485" s="5"/>
      <c r="F485" s="5"/>
      <c r="G485" s="5"/>
      <c r="H485" s="5"/>
      <c r="I485" s="5"/>
      <c r="J485" s="5"/>
      <c r="K485" s="5"/>
      <c r="L485" s="5"/>
    </row>
    <row r="486">
      <c r="E486" s="5"/>
      <c r="F486" s="5"/>
      <c r="G486" s="5"/>
      <c r="H486" s="5"/>
      <c r="I486" s="5"/>
      <c r="J486" s="5"/>
      <c r="K486" s="5"/>
      <c r="L486" s="5"/>
    </row>
    <row r="487">
      <c r="E487" s="5"/>
      <c r="F487" s="5"/>
      <c r="G487" s="5"/>
      <c r="H487" s="5"/>
      <c r="I487" s="5"/>
      <c r="J487" s="5"/>
      <c r="K487" s="5"/>
      <c r="L487" s="5"/>
    </row>
    <row r="488">
      <c r="E488" s="5"/>
      <c r="F488" s="5"/>
      <c r="G488" s="5"/>
      <c r="H488" s="5"/>
      <c r="I488" s="5"/>
      <c r="J488" s="5"/>
      <c r="K488" s="5"/>
      <c r="L488" s="5"/>
    </row>
    <row r="489">
      <c r="E489" s="5"/>
      <c r="F489" s="5"/>
      <c r="G489" s="5"/>
      <c r="H489" s="5"/>
      <c r="I489" s="5"/>
      <c r="J489" s="5"/>
      <c r="K489" s="5"/>
      <c r="L489" s="5"/>
    </row>
    <row r="490">
      <c r="E490" s="5"/>
      <c r="F490" s="5"/>
      <c r="G490" s="5"/>
      <c r="H490" s="5"/>
      <c r="I490" s="5"/>
      <c r="J490" s="5"/>
      <c r="K490" s="5"/>
      <c r="L490" s="5"/>
    </row>
    <row r="491">
      <c r="E491" s="5"/>
      <c r="F491" s="5"/>
      <c r="G491" s="5"/>
      <c r="H491" s="5"/>
      <c r="I491" s="5"/>
      <c r="J491" s="5"/>
      <c r="K491" s="5"/>
      <c r="L491" s="5"/>
    </row>
    <row r="492">
      <c r="E492" s="5"/>
      <c r="F492" s="5"/>
      <c r="G492" s="5"/>
      <c r="H492" s="5"/>
      <c r="I492" s="5"/>
      <c r="J492" s="5"/>
      <c r="K492" s="5"/>
      <c r="L492" s="5"/>
    </row>
    <row r="493">
      <c r="E493" s="5"/>
      <c r="F493" s="5"/>
      <c r="G493" s="5"/>
      <c r="H493" s="5"/>
      <c r="I493" s="5"/>
      <c r="J493" s="5"/>
      <c r="K493" s="5"/>
      <c r="L493" s="5"/>
    </row>
    <row r="494">
      <c r="E494" s="5"/>
      <c r="F494" s="5"/>
      <c r="G494" s="5"/>
      <c r="H494" s="5"/>
      <c r="I494" s="5"/>
      <c r="J494" s="5"/>
      <c r="K494" s="5"/>
      <c r="L494" s="5"/>
    </row>
    <row r="495">
      <c r="E495" s="5"/>
      <c r="F495" s="5"/>
      <c r="G495" s="5"/>
      <c r="H495" s="5"/>
      <c r="I495" s="5"/>
      <c r="J495" s="5"/>
      <c r="K495" s="5"/>
      <c r="L495" s="5"/>
    </row>
    <row r="496">
      <c r="E496" s="5"/>
      <c r="F496" s="5"/>
      <c r="G496" s="5"/>
      <c r="H496" s="5"/>
      <c r="I496" s="5"/>
      <c r="J496" s="5"/>
      <c r="K496" s="5"/>
      <c r="L496" s="5"/>
    </row>
    <row r="497">
      <c r="E497" s="5"/>
      <c r="F497" s="5"/>
      <c r="G497" s="5"/>
      <c r="H497" s="5"/>
      <c r="I497" s="5"/>
      <c r="J497" s="5"/>
      <c r="K497" s="5"/>
      <c r="L497" s="5"/>
    </row>
    <row r="498">
      <c r="E498" s="5"/>
      <c r="F498" s="5"/>
      <c r="G498" s="5"/>
      <c r="H498" s="5"/>
      <c r="I498" s="5"/>
      <c r="J498" s="5"/>
      <c r="K498" s="5"/>
      <c r="L498" s="5"/>
    </row>
    <row r="499">
      <c r="E499" s="5"/>
      <c r="F499" s="5"/>
      <c r="G499" s="5"/>
      <c r="H499" s="5"/>
      <c r="I499" s="5"/>
      <c r="J499" s="5"/>
      <c r="K499" s="5"/>
      <c r="L499" s="5"/>
    </row>
    <row r="500">
      <c r="E500" s="5"/>
      <c r="F500" s="5"/>
      <c r="G500" s="5"/>
      <c r="H500" s="5"/>
      <c r="I500" s="5"/>
      <c r="J500" s="5"/>
      <c r="K500" s="5"/>
      <c r="L500" s="5"/>
    </row>
    <row r="501">
      <c r="E501" s="5"/>
      <c r="F501" s="5"/>
      <c r="G501" s="5"/>
      <c r="H501" s="5"/>
      <c r="I501" s="5"/>
      <c r="J501" s="5"/>
      <c r="K501" s="5"/>
      <c r="L501" s="5"/>
    </row>
    <row r="502">
      <c r="E502" s="5"/>
      <c r="F502" s="5"/>
      <c r="G502" s="5"/>
      <c r="H502" s="5"/>
      <c r="I502" s="5"/>
      <c r="J502" s="5"/>
      <c r="K502" s="5"/>
      <c r="L502" s="5"/>
    </row>
    <row r="503">
      <c r="E503" s="5"/>
      <c r="F503" s="5"/>
      <c r="G503" s="5"/>
      <c r="H503" s="5"/>
      <c r="I503" s="5"/>
      <c r="J503" s="5"/>
      <c r="K503" s="5"/>
      <c r="L503" s="5"/>
    </row>
    <row r="504">
      <c r="E504" s="5"/>
      <c r="F504" s="5"/>
      <c r="G504" s="5"/>
      <c r="H504" s="5"/>
      <c r="I504" s="5"/>
      <c r="J504" s="5"/>
      <c r="K504" s="5"/>
      <c r="L504" s="5"/>
    </row>
    <row r="505">
      <c r="E505" s="5"/>
      <c r="F505" s="5"/>
      <c r="G505" s="5"/>
      <c r="H505" s="5"/>
      <c r="I505" s="5"/>
      <c r="J505" s="5"/>
      <c r="K505" s="5"/>
      <c r="L505" s="5"/>
    </row>
    <row r="506">
      <c r="E506" s="5"/>
      <c r="F506" s="5"/>
      <c r="G506" s="5"/>
      <c r="H506" s="5"/>
      <c r="I506" s="5"/>
      <c r="J506" s="5"/>
      <c r="K506" s="5"/>
      <c r="L506" s="5"/>
    </row>
    <row r="507">
      <c r="E507" s="5"/>
      <c r="F507" s="5"/>
      <c r="G507" s="5"/>
      <c r="H507" s="5"/>
      <c r="I507" s="5"/>
      <c r="J507" s="5"/>
      <c r="K507" s="5"/>
      <c r="L507" s="5"/>
    </row>
    <row r="508">
      <c r="E508" s="5"/>
      <c r="F508" s="5"/>
      <c r="G508" s="5"/>
      <c r="H508" s="5"/>
      <c r="I508" s="5"/>
      <c r="J508" s="5"/>
      <c r="K508" s="5"/>
      <c r="L508" s="5"/>
    </row>
    <row r="509">
      <c r="E509" s="5"/>
      <c r="F509" s="5"/>
      <c r="G509" s="5"/>
      <c r="H509" s="5"/>
      <c r="I509" s="5"/>
      <c r="J509" s="5"/>
      <c r="K509" s="5"/>
      <c r="L509" s="5"/>
    </row>
    <row r="510">
      <c r="E510" s="5"/>
      <c r="F510" s="5"/>
      <c r="G510" s="5"/>
      <c r="H510" s="5"/>
      <c r="I510" s="5"/>
      <c r="J510" s="5"/>
      <c r="K510" s="5"/>
      <c r="L510" s="5"/>
    </row>
    <row r="511">
      <c r="E511" s="5"/>
      <c r="F511" s="5"/>
      <c r="G511" s="5"/>
      <c r="H511" s="5"/>
      <c r="I511" s="5"/>
      <c r="J511" s="5"/>
      <c r="K511" s="5"/>
      <c r="L511" s="5"/>
    </row>
    <row r="512">
      <c r="E512" s="5"/>
      <c r="F512" s="5"/>
      <c r="G512" s="5"/>
      <c r="H512" s="5"/>
      <c r="I512" s="5"/>
      <c r="J512" s="5"/>
      <c r="K512" s="5"/>
      <c r="L512" s="5"/>
    </row>
    <row r="513">
      <c r="E513" s="5"/>
      <c r="F513" s="5"/>
      <c r="G513" s="5"/>
      <c r="H513" s="5"/>
      <c r="I513" s="5"/>
      <c r="J513" s="5"/>
      <c r="K513" s="5"/>
      <c r="L513" s="5"/>
    </row>
    <row r="514">
      <c r="E514" s="5"/>
      <c r="F514" s="5"/>
      <c r="G514" s="5"/>
      <c r="H514" s="5"/>
      <c r="I514" s="5"/>
      <c r="J514" s="5"/>
      <c r="K514" s="5"/>
      <c r="L514" s="5"/>
    </row>
    <row r="515">
      <c r="E515" s="5"/>
      <c r="F515" s="5"/>
      <c r="G515" s="5"/>
      <c r="H515" s="5"/>
      <c r="I515" s="5"/>
      <c r="J515" s="5"/>
      <c r="K515" s="5"/>
      <c r="L515" s="5"/>
    </row>
    <row r="516">
      <c r="E516" s="5"/>
      <c r="F516" s="5"/>
      <c r="G516" s="5"/>
      <c r="H516" s="5"/>
      <c r="I516" s="5"/>
      <c r="J516" s="5"/>
      <c r="K516" s="5"/>
      <c r="L516" s="5"/>
    </row>
    <row r="517">
      <c r="E517" s="5"/>
      <c r="F517" s="5"/>
      <c r="G517" s="5"/>
      <c r="H517" s="5"/>
      <c r="I517" s="5"/>
      <c r="J517" s="5"/>
      <c r="K517" s="5"/>
      <c r="L517" s="5"/>
    </row>
    <row r="518">
      <c r="E518" s="5"/>
      <c r="F518" s="5"/>
      <c r="G518" s="5"/>
      <c r="H518" s="5"/>
      <c r="I518" s="5"/>
      <c r="J518" s="5"/>
      <c r="K518" s="5"/>
      <c r="L518" s="5"/>
    </row>
    <row r="519">
      <c r="E519" s="5"/>
      <c r="F519" s="5"/>
      <c r="G519" s="5"/>
      <c r="H519" s="5"/>
      <c r="I519" s="5"/>
      <c r="J519" s="5"/>
      <c r="K519" s="5"/>
      <c r="L519" s="5"/>
    </row>
    <row r="520">
      <c r="E520" s="5"/>
      <c r="F520" s="5"/>
      <c r="G520" s="5"/>
      <c r="H520" s="5"/>
      <c r="I520" s="5"/>
      <c r="J520" s="5"/>
      <c r="K520" s="5"/>
      <c r="L520" s="5"/>
    </row>
    <row r="521">
      <c r="E521" s="5"/>
      <c r="F521" s="5"/>
      <c r="G521" s="5"/>
      <c r="H521" s="5"/>
      <c r="I521" s="5"/>
      <c r="J521" s="5"/>
      <c r="K521" s="5"/>
      <c r="L521" s="5"/>
    </row>
    <row r="522">
      <c r="E522" s="5"/>
      <c r="F522" s="5"/>
      <c r="G522" s="5"/>
      <c r="H522" s="5"/>
      <c r="I522" s="5"/>
      <c r="J522" s="5"/>
      <c r="K522" s="5"/>
      <c r="L522" s="5"/>
    </row>
    <row r="523">
      <c r="E523" s="5"/>
      <c r="F523" s="5"/>
      <c r="G523" s="5"/>
      <c r="H523" s="5"/>
      <c r="I523" s="5"/>
      <c r="J523" s="5"/>
      <c r="K523" s="5"/>
      <c r="L523" s="5"/>
    </row>
    <row r="524">
      <c r="E524" s="5"/>
      <c r="F524" s="5"/>
      <c r="G524" s="5"/>
      <c r="H524" s="5"/>
      <c r="I524" s="5"/>
      <c r="J524" s="5"/>
      <c r="K524" s="5"/>
      <c r="L524" s="5"/>
    </row>
    <row r="525">
      <c r="E525" s="5"/>
      <c r="F525" s="5"/>
      <c r="G525" s="5"/>
      <c r="H525" s="5"/>
      <c r="I525" s="5"/>
      <c r="J525" s="5"/>
      <c r="K525" s="5"/>
      <c r="L525" s="5"/>
    </row>
    <row r="526">
      <c r="E526" s="5"/>
      <c r="F526" s="5"/>
      <c r="G526" s="5"/>
      <c r="H526" s="5"/>
      <c r="I526" s="5"/>
      <c r="J526" s="5"/>
      <c r="K526" s="5"/>
      <c r="L526" s="5"/>
    </row>
    <row r="527">
      <c r="E527" s="5"/>
      <c r="F527" s="5"/>
      <c r="G527" s="5"/>
      <c r="H527" s="5"/>
      <c r="I527" s="5"/>
      <c r="J527" s="5"/>
      <c r="K527" s="5"/>
      <c r="L527" s="5"/>
    </row>
    <row r="528">
      <c r="E528" s="5"/>
      <c r="F528" s="5"/>
      <c r="G528" s="5"/>
      <c r="H528" s="5"/>
      <c r="I528" s="5"/>
      <c r="J528" s="5"/>
      <c r="K528" s="5"/>
      <c r="L528" s="5"/>
    </row>
    <row r="529">
      <c r="E529" s="5"/>
      <c r="F529" s="5"/>
      <c r="G529" s="5"/>
      <c r="H529" s="5"/>
      <c r="I529" s="5"/>
      <c r="J529" s="5"/>
      <c r="K529" s="5"/>
      <c r="L529" s="5"/>
    </row>
    <row r="530">
      <c r="E530" s="5"/>
      <c r="F530" s="5"/>
      <c r="G530" s="5"/>
      <c r="H530" s="5"/>
      <c r="I530" s="5"/>
      <c r="J530" s="5"/>
      <c r="K530" s="5"/>
      <c r="L530" s="5"/>
    </row>
    <row r="531">
      <c r="E531" s="5"/>
      <c r="F531" s="5"/>
      <c r="G531" s="5"/>
      <c r="H531" s="5"/>
      <c r="I531" s="5"/>
      <c r="J531" s="5"/>
      <c r="K531" s="5"/>
      <c r="L531" s="5"/>
    </row>
    <row r="532">
      <c r="E532" s="5"/>
      <c r="F532" s="5"/>
      <c r="G532" s="5"/>
      <c r="H532" s="5"/>
      <c r="I532" s="5"/>
      <c r="J532" s="5"/>
      <c r="K532" s="5"/>
      <c r="L532" s="5"/>
    </row>
    <row r="533">
      <c r="E533" s="5"/>
      <c r="F533" s="5"/>
      <c r="G533" s="5"/>
      <c r="H533" s="5"/>
      <c r="I533" s="5"/>
      <c r="J533" s="5"/>
      <c r="K533" s="5"/>
      <c r="L533" s="5"/>
    </row>
    <row r="534">
      <c r="E534" s="5"/>
      <c r="F534" s="5"/>
      <c r="G534" s="5"/>
      <c r="H534" s="5"/>
      <c r="I534" s="5"/>
      <c r="J534" s="5"/>
      <c r="K534" s="5"/>
      <c r="L534" s="5"/>
    </row>
    <row r="535">
      <c r="E535" s="5"/>
      <c r="F535" s="5"/>
      <c r="G535" s="5"/>
      <c r="H535" s="5"/>
      <c r="I535" s="5"/>
      <c r="J535" s="5"/>
      <c r="K535" s="5"/>
      <c r="L535" s="5"/>
    </row>
    <row r="536">
      <c r="E536" s="5"/>
      <c r="F536" s="5"/>
      <c r="G536" s="5"/>
      <c r="H536" s="5"/>
      <c r="I536" s="5"/>
      <c r="J536" s="5"/>
      <c r="K536" s="5"/>
      <c r="L536" s="5"/>
    </row>
    <row r="537">
      <c r="E537" s="5"/>
      <c r="F537" s="5"/>
      <c r="G537" s="5"/>
      <c r="H537" s="5"/>
      <c r="I537" s="5"/>
      <c r="J537" s="5"/>
      <c r="K537" s="5"/>
      <c r="L537" s="5"/>
    </row>
    <row r="538">
      <c r="E538" s="5"/>
      <c r="F538" s="5"/>
      <c r="G538" s="5"/>
      <c r="H538" s="5"/>
      <c r="I538" s="5"/>
      <c r="J538" s="5"/>
      <c r="K538" s="5"/>
      <c r="L538" s="5"/>
    </row>
    <row r="539">
      <c r="E539" s="5"/>
      <c r="F539" s="5"/>
      <c r="G539" s="5"/>
      <c r="H539" s="5"/>
      <c r="I539" s="5"/>
      <c r="J539" s="5"/>
      <c r="K539" s="5"/>
      <c r="L539" s="5"/>
    </row>
    <row r="540">
      <c r="E540" s="5"/>
      <c r="F540" s="5"/>
      <c r="G540" s="5"/>
      <c r="H540" s="5"/>
      <c r="I540" s="5"/>
      <c r="J540" s="5"/>
      <c r="K540" s="5"/>
      <c r="L540" s="5"/>
    </row>
    <row r="541">
      <c r="E541" s="5"/>
      <c r="F541" s="5"/>
      <c r="G541" s="5"/>
      <c r="H541" s="5"/>
      <c r="I541" s="5"/>
      <c r="J541" s="5"/>
      <c r="K541" s="5"/>
      <c r="L541" s="5"/>
    </row>
    <row r="542">
      <c r="E542" s="5"/>
      <c r="F542" s="5"/>
      <c r="G542" s="5"/>
      <c r="H542" s="5"/>
      <c r="I542" s="5"/>
      <c r="J542" s="5"/>
      <c r="K542" s="5"/>
      <c r="L542" s="5"/>
    </row>
    <row r="543">
      <c r="E543" s="5"/>
      <c r="F543" s="5"/>
      <c r="G543" s="5"/>
      <c r="H543" s="5"/>
      <c r="I543" s="5"/>
      <c r="J543" s="5"/>
      <c r="K543" s="5"/>
      <c r="L543" s="5"/>
    </row>
    <row r="544">
      <c r="E544" s="5"/>
      <c r="F544" s="5"/>
      <c r="G544" s="5"/>
      <c r="H544" s="5"/>
      <c r="I544" s="5"/>
      <c r="J544" s="5"/>
      <c r="K544" s="5"/>
      <c r="L544" s="5"/>
    </row>
    <row r="545">
      <c r="E545" s="5"/>
      <c r="F545" s="5"/>
      <c r="G545" s="5"/>
      <c r="H545" s="5"/>
      <c r="I545" s="5"/>
      <c r="J545" s="5"/>
      <c r="K545" s="5"/>
      <c r="L545" s="5"/>
    </row>
    <row r="546">
      <c r="E546" s="5"/>
      <c r="F546" s="5"/>
      <c r="G546" s="5"/>
      <c r="H546" s="5"/>
      <c r="I546" s="5"/>
      <c r="J546" s="5"/>
      <c r="K546" s="5"/>
      <c r="L546" s="5"/>
    </row>
    <row r="547">
      <c r="E547" s="5"/>
      <c r="F547" s="5"/>
      <c r="G547" s="5"/>
      <c r="H547" s="5"/>
      <c r="I547" s="5"/>
      <c r="J547" s="5"/>
      <c r="K547" s="5"/>
      <c r="L547" s="5"/>
    </row>
    <row r="548">
      <c r="E548" s="5"/>
      <c r="F548" s="5"/>
      <c r="G548" s="5"/>
      <c r="H548" s="5"/>
      <c r="I548" s="5"/>
      <c r="J548" s="5"/>
      <c r="K548" s="5"/>
      <c r="L548" s="5"/>
    </row>
    <row r="549">
      <c r="E549" s="5"/>
      <c r="F549" s="5"/>
      <c r="G549" s="5"/>
      <c r="H549" s="5"/>
      <c r="I549" s="5"/>
      <c r="J549" s="5"/>
      <c r="K549" s="5"/>
      <c r="L549" s="5"/>
    </row>
    <row r="550">
      <c r="E550" s="5"/>
      <c r="F550" s="5"/>
      <c r="G550" s="5"/>
      <c r="H550" s="5"/>
      <c r="I550" s="5"/>
      <c r="J550" s="5"/>
      <c r="K550" s="5"/>
      <c r="L550" s="5"/>
    </row>
    <row r="551">
      <c r="E551" s="5"/>
      <c r="F551" s="5"/>
      <c r="G551" s="5"/>
      <c r="H551" s="5"/>
      <c r="I551" s="5"/>
      <c r="J551" s="5"/>
      <c r="K551" s="5"/>
      <c r="L551" s="5"/>
    </row>
    <row r="552">
      <c r="E552" s="5"/>
      <c r="F552" s="5"/>
      <c r="G552" s="5"/>
      <c r="H552" s="5"/>
      <c r="I552" s="5"/>
      <c r="J552" s="5"/>
      <c r="K552" s="5"/>
      <c r="L552" s="5"/>
    </row>
    <row r="553">
      <c r="E553" s="5"/>
      <c r="F553" s="5"/>
      <c r="G553" s="5"/>
      <c r="H553" s="5"/>
      <c r="I553" s="5"/>
      <c r="J553" s="5"/>
      <c r="K553" s="5"/>
      <c r="L553" s="5"/>
    </row>
    <row r="554">
      <c r="E554" s="5"/>
      <c r="F554" s="5"/>
      <c r="G554" s="5"/>
      <c r="H554" s="5"/>
      <c r="I554" s="5"/>
      <c r="J554" s="5"/>
      <c r="K554" s="5"/>
      <c r="L554" s="5"/>
    </row>
    <row r="555">
      <c r="E555" s="5"/>
      <c r="F555" s="5"/>
      <c r="G555" s="5"/>
      <c r="H555" s="5"/>
      <c r="I555" s="5"/>
      <c r="J555" s="5"/>
      <c r="K555" s="5"/>
      <c r="L555" s="5"/>
    </row>
    <row r="556">
      <c r="E556" s="5"/>
      <c r="F556" s="5"/>
      <c r="G556" s="5"/>
      <c r="H556" s="5"/>
      <c r="I556" s="5"/>
      <c r="J556" s="5"/>
      <c r="K556" s="5"/>
      <c r="L556" s="5"/>
    </row>
    <row r="557">
      <c r="E557" s="5"/>
      <c r="F557" s="5"/>
      <c r="G557" s="5"/>
      <c r="H557" s="5"/>
      <c r="I557" s="5"/>
      <c r="J557" s="5"/>
      <c r="K557" s="5"/>
      <c r="L557" s="5"/>
    </row>
    <row r="558">
      <c r="E558" s="5"/>
      <c r="F558" s="5"/>
      <c r="G558" s="5"/>
      <c r="H558" s="5"/>
      <c r="I558" s="5"/>
      <c r="J558" s="5"/>
      <c r="K558" s="5"/>
      <c r="L558" s="5"/>
    </row>
    <row r="559">
      <c r="E559" s="5"/>
      <c r="F559" s="5"/>
      <c r="G559" s="5"/>
      <c r="H559" s="5"/>
      <c r="I559" s="5"/>
      <c r="J559" s="5"/>
      <c r="K559" s="5"/>
      <c r="L559" s="5"/>
    </row>
    <row r="560">
      <c r="E560" s="5"/>
      <c r="F560" s="5"/>
      <c r="G560" s="5"/>
      <c r="H560" s="5"/>
      <c r="I560" s="5"/>
      <c r="J560" s="5"/>
      <c r="K560" s="5"/>
      <c r="L560" s="5"/>
    </row>
    <row r="561">
      <c r="E561" s="5"/>
      <c r="F561" s="5"/>
      <c r="G561" s="5"/>
      <c r="H561" s="5"/>
      <c r="I561" s="5"/>
      <c r="J561" s="5"/>
      <c r="K561" s="5"/>
      <c r="L561" s="5"/>
    </row>
    <row r="562">
      <c r="E562" s="5"/>
      <c r="F562" s="5"/>
      <c r="G562" s="5"/>
      <c r="H562" s="5"/>
      <c r="I562" s="5"/>
      <c r="J562" s="5"/>
      <c r="K562" s="5"/>
      <c r="L562" s="5"/>
    </row>
    <row r="563">
      <c r="E563" s="5"/>
      <c r="F563" s="5"/>
      <c r="G563" s="5"/>
      <c r="H563" s="5"/>
      <c r="I563" s="5"/>
      <c r="J563" s="5"/>
      <c r="K563" s="5"/>
      <c r="L563" s="5"/>
    </row>
    <row r="564">
      <c r="E564" s="5"/>
      <c r="F564" s="5"/>
      <c r="G564" s="5"/>
      <c r="H564" s="5"/>
      <c r="I564" s="5"/>
      <c r="J564" s="5"/>
      <c r="K564" s="5"/>
      <c r="L564" s="5"/>
    </row>
    <row r="565">
      <c r="E565" s="5"/>
      <c r="F565" s="5"/>
      <c r="G565" s="5"/>
      <c r="H565" s="5"/>
      <c r="I565" s="5"/>
      <c r="J565" s="5"/>
      <c r="K565" s="5"/>
      <c r="L565" s="5"/>
    </row>
    <row r="566">
      <c r="E566" s="5"/>
      <c r="F566" s="5"/>
      <c r="G566" s="5"/>
      <c r="H566" s="5"/>
      <c r="I566" s="5"/>
      <c r="J566" s="5"/>
      <c r="K566" s="5"/>
      <c r="L566" s="5"/>
    </row>
    <row r="567">
      <c r="E567" s="5"/>
      <c r="F567" s="5"/>
      <c r="G567" s="5"/>
      <c r="H567" s="5"/>
      <c r="I567" s="5"/>
      <c r="J567" s="5"/>
      <c r="K567" s="5"/>
      <c r="L567" s="5"/>
    </row>
    <row r="568">
      <c r="E568" s="5"/>
      <c r="F568" s="5"/>
      <c r="G568" s="5"/>
      <c r="H568" s="5"/>
      <c r="I568" s="5"/>
      <c r="J568" s="5"/>
      <c r="K568" s="5"/>
      <c r="L568" s="5"/>
    </row>
    <row r="569">
      <c r="E569" s="5"/>
      <c r="F569" s="5"/>
      <c r="G569" s="5"/>
      <c r="H569" s="5"/>
      <c r="I569" s="5"/>
      <c r="J569" s="5"/>
      <c r="K569" s="5"/>
      <c r="L569" s="5"/>
    </row>
    <row r="570">
      <c r="E570" s="5"/>
      <c r="F570" s="5"/>
      <c r="G570" s="5"/>
      <c r="H570" s="5"/>
      <c r="I570" s="5"/>
      <c r="J570" s="5"/>
      <c r="K570" s="5"/>
      <c r="L570" s="5"/>
    </row>
    <row r="571">
      <c r="E571" s="5"/>
      <c r="F571" s="5"/>
      <c r="G571" s="5"/>
      <c r="H571" s="5"/>
      <c r="I571" s="5"/>
      <c r="J571" s="5"/>
      <c r="K571" s="5"/>
      <c r="L571" s="5"/>
    </row>
    <row r="572">
      <c r="E572" s="5"/>
      <c r="F572" s="5"/>
      <c r="G572" s="5"/>
      <c r="H572" s="5"/>
      <c r="I572" s="5"/>
      <c r="J572" s="5"/>
      <c r="K572" s="5"/>
      <c r="L572" s="5"/>
    </row>
    <row r="573">
      <c r="E573" s="5"/>
      <c r="F573" s="5"/>
      <c r="G573" s="5"/>
      <c r="H573" s="5"/>
      <c r="I573" s="5"/>
      <c r="J573" s="5"/>
      <c r="K573" s="5"/>
      <c r="L573" s="5"/>
    </row>
    <row r="574">
      <c r="E574" s="5"/>
      <c r="F574" s="5"/>
      <c r="G574" s="5"/>
      <c r="H574" s="5"/>
      <c r="I574" s="5"/>
      <c r="J574" s="5"/>
      <c r="K574" s="5"/>
      <c r="L574" s="5"/>
    </row>
    <row r="575">
      <c r="E575" s="5"/>
      <c r="F575" s="5"/>
      <c r="G575" s="5"/>
      <c r="H575" s="5"/>
      <c r="I575" s="5"/>
      <c r="J575" s="5"/>
      <c r="K575" s="5"/>
      <c r="L575" s="5"/>
    </row>
    <row r="576">
      <c r="E576" s="5"/>
      <c r="F576" s="5"/>
      <c r="G576" s="5"/>
      <c r="H576" s="5"/>
      <c r="I576" s="5"/>
      <c r="J576" s="5"/>
      <c r="K576" s="5"/>
      <c r="L576" s="5"/>
    </row>
    <row r="577">
      <c r="E577" s="5"/>
      <c r="F577" s="5"/>
      <c r="G577" s="5"/>
      <c r="H577" s="5"/>
      <c r="I577" s="5"/>
      <c r="J577" s="5"/>
      <c r="K577" s="5"/>
      <c r="L577" s="5"/>
    </row>
    <row r="578">
      <c r="E578" s="5"/>
      <c r="F578" s="5"/>
      <c r="G578" s="5"/>
      <c r="H578" s="5"/>
      <c r="I578" s="5"/>
      <c r="J578" s="5"/>
      <c r="K578" s="5"/>
      <c r="L578" s="5"/>
    </row>
    <row r="579">
      <c r="E579" s="5"/>
      <c r="F579" s="5"/>
      <c r="G579" s="5"/>
      <c r="H579" s="5"/>
      <c r="I579" s="5"/>
      <c r="J579" s="5"/>
      <c r="K579" s="5"/>
      <c r="L579" s="5"/>
    </row>
    <row r="580">
      <c r="E580" s="5"/>
      <c r="F580" s="5"/>
      <c r="G580" s="5"/>
      <c r="H580" s="5"/>
      <c r="I580" s="5"/>
      <c r="J580" s="5"/>
      <c r="K580" s="5"/>
      <c r="L580" s="5"/>
    </row>
    <row r="581">
      <c r="E581" s="5"/>
      <c r="F581" s="5"/>
      <c r="G581" s="5"/>
      <c r="H581" s="5"/>
      <c r="I581" s="5"/>
      <c r="J581" s="5"/>
      <c r="K581" s="5"/>
      <c r="L581" s="5"/>
    </row>
    <row r="582">
      <c r="E582" s="5"/>
      <c r="F582" s="5"/>
      <c r="G582" s="5"/>
      <c r="H582" s="5"/>
      <c r="I582" s="5"/>
      <c r="J582" s="5"/>
      <c r="K582" s="5"/>
      <c r="L582" s="5"/>
    </row>
    <row r="583">
      <c r="E583" s="5"/>
      <c r="F583" s="5"/>
      <c r="G583" s="5"/>
      <c r="H583" s="5"/>
      <c r="I583" s="5"/>
      <c r="J583" s="5"/>
      <c r="K583" s="5"/>
      <c r="L583" s="5"/>
    </row>
    <row r="584">
      <c r="E584" s="5"/>
      <c r="F584" s="5"/>
      <c r="G584" s="5"/>
      <c r="H584" s="5"/>
      <c r="I584" s="5"/>
      <c r="J584" s="5"/>
      <c r="K584" s="5"/>
      <c r="L584" s="5"/>
    </row>
    <row r="585">
      <c r="E585" s="5"/>
      <c r="F585" s="5"/>
      <c r="G585" s="5"/>
      <c r="H585" s="5"/>
      <c r="I585" s="5"/>
      <c r="J585" s="5"/>
      <c r="K585" s="5"/>
      <c r="L585" s="5"/>
    </row>
    <row r="586">
      <c r="E586" s="5"/>
      <c r="F586" s="5"/>
      <c r="G586" s="5"/>
      <c r="H586" s="5"/>
      <c r="I586" s="5"/>
      <c r="J586" s="5"/>
      <c r="K586" s="5"/>
      <c r="L586" s="5"/>
    </row>
    <row r="587">
      <c r="E587" s="5"/>
      <c r="F587" s="5"/>
      <c r="G587" s="5"/>
      <c r="H587" s="5"/>
      <c r="I587" s="5"/>
      <c r="J587" s="5"/>
      <c r="K587" s="5"/>
      <c r="L587" s="5"/>
    </row>
    <row r="588">
      <c r="E588" s="5"/>
      <c r="F588" s="5"/>
      <c r="G588" s="5"/>
      <c r="H588" s="5"/>
      <c r="I588" s="5"/>
      <c r="J588" s="5"/>
      <c r="K588" s="5"/>
      <c r="L588" s="5"/>
    </row>
    <row r="589">
      <c r="E589" s="5"/>
      <c r="F589" s="5"/>
      <c r="G589" s="5"/>
      <c r="H589" s="5"/>
      <c r="I589" s="5"/>
      <c r="J589" s="5"/>
      <c r="K589" s="5"/>
      <c r="L589" s="5"/>
    </row>
    <row r="590">
      <c r="E590" s="5"/>
      <c r="F590" s="5"/>
      <c r="G590" s="5"/>
      <c r="H590" s="5"/>
      <c r="I590" s="5"/>
      <c r="J590" s="5"/>
      <c r="K590" s="5"/>
      <c r="L590" s="5"/>
    </row>
    <row r="591">
      <c r="E591" s="5"/>
      <c r="F591" s="5"/>
      <c r="G591" s="5"/>
      <c r="H591" s="5"/>
      <c r="I591" s="5"/>
      <c r="J591" s="5"/>
      <c r="K591" s="5"/>
      <c r="L591" s="5"/>
    </row>
    <row r="592">
      <c r="E592" s="5"/>
      <c r="F592" s="5"/>
      <c r="G592" s="5"/>
      <c r="H592" s="5"/>
      <c r="I592" s="5"/>
      <c r="J592" s="5"/>
      <c r="K592" s="5"/>
      <c r="L592" s="5"/>
    </row>
    <row r="593">
      <c r="E593" s="5"/>
      <c r="F593" s="5"/>
      <c r="G593" s="5"/>
      <c r="H593" s="5"/>
      <c r="I593" s="5"/>
      <c r="J593" s="5"/>
      <c r="K593" s="5"/>
      <c r="L593" s="5"/>
    </row>
    <row r="594">
      <c r="E594" s="5"/>
      <c r="F594" s="5"/>
      <c r="G594" s="5"/>
      <c r="H594" s="5"/>
      <c r="I594" s="5"/>
      <c r="J594" s="5"/>
      <c r="K594" s="5"/>
      <c r="L594" s="5"/>
    </row>
    <row r="595">
      <c r="E595" s="5"/>
      <c r="F595" s="5"/>
      <c r="G595" s="5"/>
      <c r="H595" s="5"/>
      <c r="I595" s="5"/>
      <c r="J595" s="5"/>
      <c r="K595" s="5"/>
      <c r="L595" s="5"/>
    </row>
    <row r="596">
      <c r="E596" s="5"/>
      <c r="F596" s="5"/>
      <c r="G596" s="5"/>
      <c r="H596" s="5"/>
      <c r="I596" s="5"/>
      <c r="J596" s="5"/>
      <c r="K596" s="5"/>
      <c r="L596" s="5"/>
    </row>
    <row r="597">
      <c r="E597" s="5"/>
      <c r="F597" s="5"/>
      <c r="G597" s="5"/>
      <c r="H597" s="5"/>
      <c r="I597" s="5"/>
      <c r="J597" s="5"/>
      <c r="K597" s="5"/>
      <c r="L597" s="5"/>
    </row>
    <row r="598">
      <c r="E598" s="5"/>
      <c r="F598" s="5"/>
      <c r="G598" s="5"/>
      <c r="H598" s="5"/>
      <c r="I598" s="5"/>
      <c r="J598" s="5"/>
      <c r="K598" s="5"/>
      <c r="L598" s="5"/>
    </row>
    <row r="599">
      <c r="E599" s="5"/>
      <c r="F599" s="5"/>
      <c r="G599" s="5"/>
      <c r="H599" s="5"/>
      <c r="I599" s="5"/>
      <c r="J599" s="5"/>
      <c r="K599" s="5"/>
      <c r="L599" s="5"/>
    </row>
    <row r="600">
      <c r="E600" s="5"/>
      <c r="F600" s="5"/>
      <c r="G600" s="5"/>
      <c r="H600" s="5"/>
      <c r="I600" s="5"/>
      <c r="J600" s="5"/>
      <c r="K600" s="5"/>
      <c r="L600" s="5"/>
    </row>
    <row r="601">
      <c r="E601" s="5"/>
      <c r="F601" s="5"/>
      <c r="G601" s="5"/>
      <c r="H601" s="5"/>
      <c r="I601" s="5"/>
      <c r="J601" s="5"/>
      <c r="K601" s="5"/>
      <c r="L601" s="5"/>
    </row>
    <row r="602">
      <c r="E602" s="5"/>
      <c r="F602" s="5"/>
      <c r="G602" s="5"/>
      <c r="H602" s="5"/>
      <c r="I602" s="5"/>
      <c r="J602" s="5"/>
      <c r="K602" s="5"/>
      <c r="L602" s="5"/>
    </row>
    <row r="603">
      <c r="E603" s="5"/>
      <c r="F603" s="5"/>
      <c r="G603" s="5"/>
      <c r="H603" s="5"/>
      <c r="I603" s="5"/>
      <c r="J603" s="5"/>
      <c r="K603" s="5"/>
      <c r="L603" s="5"/>
    </row>
    <row r="604">
      <c r="E604" s="5"/>
      <c r="F604" s="5"/>
      <c r="G604" s="5"/>
      <c r="H604" s="5"/>
      <c r="I604" s="5"/>
      <c r="J604" s="5"/>
      <c r="K604" s="5"/>
      <c r="L604" s="5"/>
    </row>
    <row r="605">
      <c r="E605" s="5"/>
      <c r="F605" s="5"/>
      <c r="G605" s="5"/>
      <c r="H605" s="5"/>
      <c r="I605" s="5"/>
      <c r="J605" s="5"/>
      <c r="K605" s="5"/>
      <c r="L605" s="5"/>
    </row>
    <row r="606">
      <c r="E606" s="5"/>
      <c r="F606" s="5"/>
      <c r="G606" s="5"/>
      <c r="H606" s="5"/>
      <c r="I606" s="5"/>
      <c r="J606" s="5"/>
      <c r="K606" s="5"/>
      <c r="L606" s="5"/>
    </row>
    <row r="607">
      <c r="E607" s="5"/>
      <c r="F607" s="5"/>
      <c r="G607" s="5"/>
      <c r="H607" s="5"/>
      <c r="I607" s="5"/>
      <c r="J607" s="5"/>
      <c r="K607" s="5"/>
      <c r="L607" s="5"/>
    </row>
    <row r="608">
      <c r="E608" s="5"/>
      <c r="F608" s="5"/>
      <c r="G608" s="5"/>
      <c r="H608" s="5"/>
      <c r="I608" s="5"/>
      <c r="J608" s="5"/>
      <c r="K608" s="5"/>
      <c r="L608" s="5"/>
    </row>
    <row r="609">
      <c r="E609" s="5"/>
      <c r="F609" s="5"/>
      <c r="G609" s="5"/>
      <c r="H609" s="5"/>
      <c r="I609" s="5"/>
      <c r="J609" s="5"/>
      <c r="K609" s="5"/>
      <c r="L609" s="5"/>
    </row>
    <row r="610">
      <c r="E610" s="5"/>
      <c r="F610" s="5"/>
      <c r="G610" s="5"/>
      <c r="H610" s="5"/>
      <c r="I610" s="5"/>
      <c r="J610" s="5"/>
      <c r="K610" s="5"/>
      <c r="L610" s="5"/>
    </row>
    <row r="611">
      <c r="E611" s="5"/>
      <c r="F611" s="5"/>
      <c r="G611" s="5"/>
      <c r="H611" s="5"/>
      <c r="I611" s="5"/>
      <c r="J611" s="5"/>
      <c r="K611" s="5"/>
      <c r="L611" s="5"/>
    </row>
    <row r="612">
      <c r="E612" s="5"/>
      <c r="F612" s="5"/>
      <c r="G612" s="5"/>
      <c r="H612" s="5"/>
      <c r="I612" s="5"/>
      <c r="J612" s="5"/>
      <c r="K612" s="5"/>
      <c r="L612" s="5"/>
    </row>
    <row r="613">
      <c r="E613" s="5"/>
      <c r="F613" s="5"/>
      <c r="G613" s="5"/>
      <c r="H613" s="5"/>
      <c r="I613" s="5"/>
      <c r="J613" s="5"/>
      <c r="K613" s="5"/>
      <c r="L613" s="5"/>
    </row>
    <row r="614">
      <c r="E614" s="5"/>
      <c r="F614" s="5"/>
      <c r="G614" s="5"/>
      <c r="H614" s="5"/>
      <c r="I614" s="5"/>
      <c r="J614" s="5"/>
      <c r="K614" s="5"/>
      <c r="L614" s="5"/>
    </row>
    <row r="615">
      <c r="E615" s="5"/>
      <c r="F615" s="5"/>
      <c r="G615" s="5"/>
      <c r="H615" s="5"/>
      <c r="I615" s="5"/>
      <c r="J615" s="5"/>
      <c r="K615" s="5"/>
      <c r="L615" s="5"/>
    </row>
    <row r="616">
      <c r="E616" s="5"/>
      <c r="F616" s="5"/>
      <c r="G616" s="5"/>
      <c r="H616" s="5"/>
      <c r="I616" s="5"/>
      <c r="J616" s="5"/>
      <c r="K616" s="5"/>
      <c r="L616" s="5"/>
    </row>
    <row r="617">
      <c r="E617" s="5"/>
      <c r="F617" s="5"/>
      <c r="G617" s="5"/>
      <c r="H617" s="5"/>
      <c r="I617" s="5"/>
      <c r="J617" s="5"/>
      <c r="K617" s="5"/>
      <c r="L617" s="5"/>
    </row>
    <row r="618">
      <c r="E618" s="5"/>
      <c r="F618" s="5"/>
      <c r="G618" s="5"/>
      <c r="H618" s="5"/>
      <c r="I618" s="5"/>
      <c r="J618" s="5"/>
      <c r="K618" s="5"/>
      <c r="L618" s="5"/>
    </row>
    <row r="619">
      <c r="E619" s="5"/>
      <c r="F619" s="5"/>
      <c r="G619" s="5"/>
      <c r="H619" s="5"/>
      <c r="I619" s="5"/>
      <c r="J619" s="5"/>
      <c r="K619" s="5"/>
      <c r="L619" s="5"/>
    </row>
    <row r="620">
      <c r="E620" s="5"/>
      <c r="F620" s="5"/>
      <c r="G620" s="5"/>
      <c r="H620" s="5"/>
      <c r="I620" s="5"/>
      <c r="J620" s="5"/>
      <c r="K620" s="5"/>
      <c r="L620" s="5"/>
    </row>
    <row r="621">
      <c r="E621" s="5"/>
      <c r="F621" s="5"/>
      <c r="G621" s="5"/>
      <c r="H621" s="5"/>
      <c r="I621" s="5"/>
      <c r="J621" s="5"/>
      <c r="K621" s="5"/>
      <c r="L621" s="5"/>
    </row>
    <row r="622">
      <c r="E622" s="5"/>
      <c r="F622" s="5"/>
      <c r="G622" s="5"/>
      <c r="H622" s="5"/>
      <c r="I622" s="5"/>
      <c r="J622" s="5"/>
      <c r="K622" s="5"/>
      <c r="L622" s="5"/>
    </row>
    <row r="623">
      <c r="E623" s="5"/>
      <c r="F623" s="5"/>
      <c r="G623" s="5"/>
      <c r="H623" s="5"/>
      <c r="I623" s="5"/>
      <c r="J623" s="5"/>
      <c r="K623" s="5"/>
      <c r="L623" s="5"/>
    </row>
    <row r="624">
      <c r="E624" s="5"/>
      <c r="F624" s="5"/>
      <c r="G624" s="5"/>
      <c r="H624" s="5"/>
      <c r="I624" s="5"/>
      <c r="J624" s="5"/>
      <c r="K624" s="5"/>
      <c r="L624" s="5"/>
    </row>
    <row r="625">
      <c r="E625" s="5"/>
      <c r="F625" s="5"/>
      <c r="G625" s="5"/>
      <c r="H625" s="5"/>
      <c r="I625" s="5"/>
      <c r="J625" s="5"/>
      <c r="K625" s="5"/>
      <c r="L625" s="5"/>
    </row>
    <row r="626">
      <c r="E626" s="5"/>
      <c r="F626" s="5"/>
      <c r="G626" s="5"/>
      <c r="H626" s="5"/>
      <c r="I626" s="5"/>
      <c r="J626" s="5"/>
      <c r="K626" s="5"/>
      <c r="L626" s="5"/>
    </row>
    <row r="627">
      <c r="E627" s="5"/>
      <c r="F627" s="5"/>
      <c r="G627" s="5"/>
      <c r="H627" s="5"/>
      <c r="I627" s="5"/>
      <c r="J627" s="5"/>
      <c r="K627" s="5"/>
      <c r="L627" s="5"/>
    </row>
    <row r="628">
      <c r="E628" s="5"/>
      <c r="F628" s="5"/>
      <c r="G628" s="5"/>
      <c r="H628" s="5"/>
      <c r="I628" s="5"/>
      <c r="J628" s="5"/>
      <c r="K628" s="5"/>
      <c r="L628" s="5"/>
    </row>
    <row r="629">
      <c r="E629" s="5"/>
      <c r="F629" s="5"/>
      <c r="G629" s="5"/>
      <c r="H629" s="5"/>
      <c r="I629" s="5"/>
      <c r="J629" s="5"/>
      <c r="K629" s="5"/>
      <c r="L629" s="5"/>
    </row>
    <row r="630">
      <c r="E630" s="5"/>
      <c r="F630" s="5"/>
      <c r="G630" s="5"/>
      <c r="H630" s="5"/>
      <c r="I630" s="5"/>
      <c r="J630" s="5"/>
      <c r="K630" s="5"/>
      <c r="L630" s="5"/>
    </row>
    <row r="631">
      <c r="E631" s="5"/>
      <c r="F631" s="5"/>
      <c r="G631" s="5"/>
      <c r="H631" s="5"/>
      <c r="I631" s="5"/>
      <c r="J631" s="5"/>
      <c r="K631" s="5"/>
      <c r="L631" s="5"/>
    </row>
    <row r="632">
      <c r="E632" s="5"/>
      <c r="F632" s="5"/>
      <c r="G632" s="5"/>
      <c r="H632" s="5"/>
      <c r="I632" s="5"/>
      <c r="J632" s="5"/>
      <c r="K632" s="5"/>
      <c r="L632" s="5"/>
    </row>
    <row r="633">
      <c r="E633" s="5"/>
      <c r="F633" s="5"/>
      <c r="G633" s="5"/>
      <c r="H633" s="5"/>
      <c r="I633" s="5"/>
      <c r="J633" s="5"/>
      <c r="K633" s="5"/>
      <c r="L633" s="5"/>
    </row>
    <row r="634">
      <c r="E634" s="5"/>
      <c r="F634" s="5"/>
      <c r="G634" s="5"/>
      <c r="H634" s="5"/>
      <c r="I634" s="5"/>
      <c r="J634" s="5"/>
      <c r="K634" s="5"/>
      <c r="L634" s="5"/>
    </row>
    <row r="635">
      <c r="E635" s="5"/>
      <c r="F635" s="5"/>
      <c r="G635" s="5"/>
      <c r="H635" s="5"/>
      <c r="I635" s="5"/>
      <c r="J635" s="5"/>
      <c r="K635" s="5"/>
      <c r="L635" s="5"/>
    </row>
    <row r="636">
      <c r="E636" s="5"/>
      <c r="F636" s="5"/>
      <c r="G636" s="5"/>
      <c r="H636" s="5"/>
      <c r="I636" s="5"/>
      <c r="J636" s="5"/>
      <c r="K636" s="5"/>
      <c r="L636" s="5"/>
    </row>
  </sheetData>
  <conditionalFormatting sqref="E1:E636 G1:G636 I1:I636 F2:F257 H2:H257 J2:L257">
    <cfRule type="containsText" dxfId="0" priority="1" operator="containsText" text="yes">
      <formula>NOT(ISERROR(SEARCH(("yes"),(E1))))</formula>
    </cfRule>
  </conditionalFormatting>
  <conditionalFormatting sqref="E1:E636 G1:G636 I1:I636 F2:F257 H2:H257 J2:L257">
    <cfRule type="containsText" dxfId="1" priority="2" operator="containsText" text="decent">
      <formula>NOT(ISERROR(SEARCH(("decent"),(E1))))</formula>
    </cfRule>
  </conditionalFormatting>
  <conditionalFormatting sqref="E1:E636 G1:G636 I1:I636 F2:F257 H2:H257 J2:L257">
    <cfRule type="containsText" dxfId="2" priority="3" operator="containsText" text="maybe">
      <formula>NOT(ISERROR(SEARCH(("maybe"),(E1))))</formula>
    </cfRule>
  </conditionalFormatting>
  <conditionalFormatting sqref="E1:E636 G1:G636 I1:I636 F2:F257 H2:H257 J2:L257">
    <cfRule type="containsText" dxfId="3" priority="4" operator="containsText" text="no">
      <formula>NOT(ISERROR(SEARCH(("no"),(E1))))</formula>
    </cfRule>
  </conditionalFormatting>
  <conditionalFormatting sqref="L1:L818">
    <cfRule type="cellIs" dxfId="7" priority="5" operator="greaterThanOrEqual">
      <formula>5</formula>
    </cfRule>
  </conditionalFormatting>
  <conditionalFormatting sqref="L1:L818">
    <cfRule type="cellIs" dxfId="6" priority="6" operator="greaterThanOrEqual">
      <formula>4</formula>
    </cfRule>
  </conditionalFormatting>
  <conditionalFormatting sqref="L1:L818">
    <cfRule type="cellIs" dxfId="7" priority="7" operator="lessThanOrEqual">
      <formula>1</formula>
    </cfRule>
  </conditionalFormatting>
  <conditionalFormatting sqref="L1:L818">
    <cfRule type="cellIs" dxfId="5" priority="8" operator="lessThanOrEqual">
      <formula>2</formula>
    </cfRule>
  </conditionalFormatting>
  <conditionalFormatting sqref="L1:L818">
    <cfRule type="cellIs" dxfId="8" priority="9" operator="between">
      <formula>2</formula>
      <formula>4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2" max="2" width="20.88"/>
    <col customWidth="1" min="3" max="8" width="12.25"/>
  </cols>
  <sheetData>
    <row r="1">
      <c r="A1" s="1" t="s">
        <v>0</v>
      </c>
      <c r="B1" s="1" t="s">
        <v>1</v>
      </c>
      <c r="C1" s="3" t="s">
        <v>3</v>
      </c>
      <c r="D1" s="3" t="s">
        <v>4</v>
      </c>
      <c r="E1" s="3" t="s">
        <v>5</v>
      </c>
      <c r="F1" s="3" t="s">
        <v>4</v>
      </c>
      <c r="G1" s="3" t="s">
        <v>187</v>
      </c>
      <c r="H1" s="3" t="s">
        <v>4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188</v>
      </c>
      <c r="B2" s="1" t="s">
        <v>22</v>
      </c>
      <c r="C2" s="3" t="str">
        <f>'res122 Ari'!C2</f>
        <v>maybe</v>
      </c>
      <c r="D2" s="3" t="str">
        <f>'res122 Ari'!D2</f>
        <v>probably reject over how it hits arg160 and asn402</v>
      </c>
      <c r="E2" s="3" t="str">
        <f>'res122 Summer'!C2</f>
        <v>yes</v>
      </c>
      <c r="F2" s="3" t="str">
        <f>'res122 Summer'!D2</f>
        <v/>
      </c>
      <c r="G2" s="3" t="str">
        <f>'res122 Mary Shay'!C2</f>
        <v/>
      </c>
      <c r="H2" s="3" t="str">
        <f>'res122 Mary Shay'!D2</f>
        <v/>
      </c>
      <c r="I2" s="1" t="str">
        <f>IFERROR(__xludf.DUMMYFUNCTION("IFERROR(REGEXEXTRACT(E2, ""res(269|122)""), ""none"")"),"none")</f>
        <v>none</v>
      </c>
      <c r="J2" s="1">
        <v>-15.535781</v>
      </c>
      <c r="K2" s="1">
        <v>9.0</v>
      </c>
      <c r="L2" s="1">
        <v>3.0</v>
      </c>
      <c r="M2" s="1">
        <v>0.444444</v>
      </c>
      <c r="N2" s="1">
        <v>2.0</v>
      </c>
      <c r="O2" s="1">
        <v>-1.719191</v>
      </c>
      <c r="P2" s="1">
        <v>100.0</v>
      </c>
      <c r="Q2" s="1">
        <v>0.0</v>
      </c>
      <c r="R2" s="1">
        <v>0.0</v>
      </c>
      <c r="S2" s="1">
        <v>97.189472</v>
      </c>
    </row>
    <row r="3">
      <c r="A3" s="1" t="s">
        <v>189</v>
      </c>
      <c r="B3" s="1" t="s">
        <v>190</v>
      </c>
      <c r="C3" s="3" t="str">
        <f>'res122 Ari'!C3</f>
        <v>maybe</v>
      </c>
      <c r="D3" s="3" t="str">
        <f>'res122 Ari'!D3</f>
        <v>not best around middle and has ester</v>
      </c>
      <c r="E3" s="3" t="str">
        <f>'res122 Summer'!C3</f>
        <v>no</v>
      </c>
      <c r="F3" s="3" t="str">
        <f>'res122 Summer'!D3</f>
        <v/>
      </c>
      <c r="G3" s="3" t="str">
        <f>'res122 Mary Shay'!C3</f>
        <v/>
      </c>
      <c r="H3" s="3" t="str">
        <f>'res122 Mary Shay'!D3</f>
        <v/>
      </c>
      <c r="I3" s="1" t="str">
        <f>IFERROR(__xludf.DUMMYFUNCTION("IFERROR(REGEXEXTRACT(E3, ""res(269|122)""), ""none"")"),"none")</f>
        <v>none</v>
      </c>
      <c r="J3" s="1">
        <v>-17.372141</v>
      </c>
      <c r="K3" s="1">
        <v>10.0</v>
      </c>
      <c r="L3" s="1">
        <v>2.0</v>
      </c>
      <c r="M3" s="1">
        <v>0.3</v>
      </c>
      <c r="N3" s="1">
        <v>2.0</v>
      </c>
      <c r="O3" s="1">
        <v>-1.44699499999999</v>
      </c>
      <c r="P3" s="1">
        <v>100.0</v>
      </c>
      <c r="Q3" s="1">
        <v>0.0</v>
      </c>
      <c r="R3" s="1">
        <v>0.0</v>
      </c>
      <c r="S3" s="1">
        <v>95.480864</v>
      </c>
    </row>
    <row r="4">
      <c r="A4" s="1" t="s">
        <v>191</v>
      </c>
      <c r="B4" s="1" t="s">
        <v>192</v>
      </c>
      <c r="C4" s="3" t="str">
        <f>'res122 Ari'!C4</f>
        <v>maybe</v>
      </c>
      <c r="D4" s="3" t="str">
        <f>'res122 Ari'!D4</f>
        <v>probably bad, but I do kind of like how it snakes up and interaction with TYR122 is apparently real. carbonyl into val191 is probably really bad</v>
      </c>
      <c r="E4" s="3" t="str">
        <f>'res122 Summer'!C4</f>
        <v>no</v>
      </c>
      <c r="F4" s="3" t="str">
        <f>'res122 Summer'!D4</f>
        <v/>
      </c>
      <c r="G4" s="3" t="str">
        <f>'res122 Mary Shay'!C4</f>
        <v/>
      </c>
      <c r="H4" s="3" t="str">
        <f>'res122 Mary Shay'!D4</f>
        <v/>
      </c>
      <c r="I4" s="1" t="str">
        <f>IFERROR(__xludf.DUMMYFUNCTION("IFERROR(REGEXEXTRACT(E4, ""res(269|122)""), ""none"")"),"none")</f>
        <v>none</v>
      </c>
      <c r="J4" s="1">
        <v>-15.13854</v>
      </c>
      <c r="K4" s="1">
        <v>9.0</v>
      </c>
      <c r="L4" s="1">
        <v>4.0</v>
      </c>
      <c r="M4" s="1">
        <v>0.333333</v>
      </c>
      <c r="N4" s="1">
        <v>2.0</v>
      </c>
      <c r="O4" s="1">
        <v>-1.065005</v>
      </c>
      <c r="P4" s="1">
        <v>100.0</v>
      </c>
      <c r="Q4" s="1">
        <v>0.0</v>
      </c>
      <c r="R4" s="1">
        <v>0.0</v>
      </c>
      <c r="S4" s="1">
        <v>99.129788</v>
      </c>
    </row>
    <row r="5">
      <c r="A5" s="1" t="s">
        <v>193</v>
      </c>
      <c r="B5" s="1" t="s">
        <v>194</v>
      </c>
      <c r="C5" s="3" t="str">
        <f>'res122 Ari'!C5</f>
        <v>maybe</v>
      </c>
      <c r="D5" s="3" t="str">
        <f>'res122 Ari'!D5</f>
        <v>could maybe flex to hit glu398</v>
      </c>
      <c r="E5" s="3" t="str">
        <f>'res122 Summer'!C5</f>
        <v>maybe</v>
      </c>
      <c r="F5" s="3" t="str">
        <f>'res122 Summer'!D5</f>
        <v/>
      </c>
      <c r="G5" s="3" t="str">
        <f>'res122 Mary Shay'!C5</f>
        <v/>
      </c>
      <c r="H5" s="3" t="str">
        <f>'res122 Mary Shay'!D5</f>
        <v/>
      </c>
      <c r="I5" s="1" t="str">
        <f>IFERROR(__xludf.DUMMYFUNCTION("IFERROR(REGEXEXTRACT(E5, ""res(269|122)""), ""none"")"),"none")</f>
        <v>none</v>
      </c>
      <c r="J5" s="1">
        <v>-15.55909</v>
      </c>
      <c r="K5" s="1">
        <v>12.0</v>
      </c>
      <c r="L5" s="1">
        <v>4.0</v>
      </c>
      <c r="M5" s="1">
        <v>0.25</v>
      </c>
      <c r="N5" s="1">
        <v>2.0</v>
      </c>
      <c r="O5" s="1">
        <v>-0.857348</v>
      </c>
      <c r="P5" s="1">
        <v>100.0</v>
      </c>
      <c r="Q5" s="1">
        <v>0.0</v>
      </c>
      <c r="R5" s="1">
        <v>0.0</v>
      </c>
      <c r="S5" s="1">
        <v>101.833562</v>
      </c>
    </row>
    <row r="6">
      <c r="A6" s="1" t="s">
        <v>195</v>
      </c>
      <c r="B6" s="1" t="s">
        <v>196</v>
      </c>
      <c r="C6" s="3" t="str">
        <f>'res122 Ari'!C6</f>
        <v>maybe</v>
      </c>
      <c r="D6" s="3" t="str">
        <f>'res122 Ari'!D6</f>
        <v>if tyr122 H moves, could form hbond</v>
      </c>
      <c r="E6" s="3" t="str">
        <f>'res122 Summer'!C6</f>
        <v>no</v>
      </c>
      <c r="F6" s="3" t="str">
        <f>'res122 Summer'!D6</f>
        <v/>
      </c>
      <c r="G6" s="3" t="str">
        <f>'res122 Mary Shay'!C6</f>
        <v/>
      </c>
      <c r="H6" s="3" t="str">
        <f>'res122 Mary Shay'!D6</f>
        <v/>
      </c>
      <c r="I6" s="1" t="str">
        <f>IFERROR(__xludf.DUMMYFUNCTION("IFERROR(REGEXEXTRACT(E6, ""res(269|122)""), ""none"")"),"none")</f>
        <v>none</v>
      </c>
      <c r="J6" s="1">
        <v>-16.502904</v>
      </c>
      <c r="K6" s="1">
        <v>8.0</v>
      </c>
      <c r="L6" s="1">
        <v>3.0</v>
      </c>
      <c r="M6" s="1">
        <v>0.25</v>
      </c>
      <c r="N6" s="1">
        <v>3.0</v>
      </c>
      <c r="O6" s="1">
        <v>-0.998347</v>
      </c>
      <c r="P6" s="1">
        <v>100.0</v>
      </c>
      <c r="Q6" s="1">
        <v>0.0</v>
      </c>
      <c r="R6" s="1">
        <v>0.0</v>
      </c>
      <c r="S6" s="1">
        <v>96.748749</v>
      </c>
    </row>
    <row r="7">
      <c r="A7" s="1" t="s">
        <v>197</v>
      </c>
      <c r="B7" s="1" t="s">
        <v>94</v>
      </c>
      <c r="C7" s="3" t="str">
        <f>'res122 Ari'!C7</f>
        <v>decent</v>
      </c>
      <c r="D7" s="3" t="str">
        <f>'res122 Ari'!D7</f>
        <v>it's bendy, but I like how it hits overall. check strain score</v>
      </c>
      <c r="E7" s="3" t="str">
        <f>'res122 Summer'!C7</f>
        <v>decent</v>
      </c>
      <c r="F7" s="3" t="str">
        <f>'res122 Summer'!D7</f>
        <v/>
      </c>
      <c r="G7" s="3" t="str">
        <f>'res122 Mary Shay'!C7</f>
        <v/>
      </c>
      <c r="H7" s="3" t="str">
        <f>'res122 Mary Shay'!D7</f>
        <v/>
      </c>
      <c r="I7" s="1" t="str">
        <f>IFERROR(__xludf.DUMMYFUNCTION("IFERROR(REGEXEXTRACT(E7, ""res(269|122)""), ""none"")"),"none")</f>
        <v>none</v>
      </c>
      <c r="J7" s="1">
        <v>-16.222639</v>
      </c>
      <c r="K7" s="1">
        <v>10.0</v>
      </c>
      <c r="L7" s="1">
        <v>3.0</v>
      </c>
      <c r="M7" s="1">
        <v>0.3</v>
      </c>
      <c r="N7" s="1">
        <v>2.0</v>
      </c>
      <c r="O7" s="1">
        <v>-1.763647</v>
      </c>
      <c r="P7" s="1">
        <v>100.0</v>
      </c>
      <c r="Q7" s="1">
        <v>0.0</v>
      </c>
      <c r="R7" s="1">
        <v>0.0</v>
      </c>
      <c r="S7" s="1">
        <v>97.313714</v>
      </c>
    </row>
    <row r="8">
      <c r="A8" s="1" t="s">
        <v>198</v>
      </c>
      <c r="B8" s="1" t="s">
        <v>30</v>
      </c>
      <c r="C8" s="3" t="str">
        <f>'res122 Ari'!C8</f>
        <v>maybe</v>
      </c>
      <c r="D8" s="3" t="str">
        <f>'res122 Ari'!D8</f>
        <v>misses res122 but pose looks not terrible</v>
      </c>
      <c r="E8" s="3" t="str">
        <f>'res122 Summer'!C8</f>
        <v>decent</v>
      </c>
      <c r="F8" s="3" t="str">
        <f>'res122 Summer'!D8</f>
        <v/>
      </c>
      <c r="G8" s="3" t="str">
        <f>'res122 Mary Shay'!C8</f>
        <v/>
      </c>
      <c r="H8" s="3" t="str">
        <f>'res122 Mary Shay'!D8</f>
        <v/>
      </c>
      <c r="I8" s="1" t="str">
        <f>IFERROR(__xludf.DUMMYFUNCTION("IFERROR(REGEXEXTRACT(E8, ""res(269|122)""), ""none"")"),"none")</f>
        <v>none</v>
      </c>
      <c r="J8" s="1">
        <v>-15.296063</v>
      </c>
      <c r="K8" s="1">
        <v>8.0</v>
      </c>
      <c r="L8" s="1">
        <v>3.0</v>
      </c>
      <c r="M8" s="1">
        <v>0.25</v>
      </c>
      <c r="N8" s="1">
        <v>2.0</v>
      </c>
      <c r="O8" s="1">
        <v>-1.293353</v>
      </c>
      <c r="P8" s="1">
        <v>100.0</v>
      </c>
      <c r="Q8" s="1">
        <v>0.0</v>
      </c>
      <c r="R8" s="1">
        <v>0.0</v>
      </c>
      <c r="S8" s="1">
        <v>96.660584</v>
      </c>
    </row>
    <row r="9">
      <c r="A9" s="1" t="s">
        <v>199</v>
      </c>
      <c r="B9" s="1" t="s">
        <v>200</v>
      </c>
      <c r="C9" s="3" t="str">
        <f>'res122 Ari'!C9</f>
        <v>decent</v>
      </c>
      <c r="D9" s="3" t="str">
        <f>'res122 Ari'!D9</f>
        <v/>
      </c>
      <c r="E9" s="3" t="str">
        <f>'res122 Summer'!C9</f>
        <v>no</v>
      </c>
      <c r="F9" s="3" t="str">
        <f>'res122 Summer'!D9</f>
        <v/>
      </c>
      <c r="G9" s="3" t="str">
        <f>'res122 Mary Shay'!C9</f>
        <v/>
      </c>
      <c r="H9" s="3" t="str">
        <f>'res122 Mary Shay'!D9</f>
        <v/>
      </c>
      <c r="I9" s="1" t="str">
        <f>IFERROR(__xludf.DUMMYFUNCTION("IFERROR(REGEXEXTRACT(E9, ""res(269|122)""), ""none"")"),"none")</f>
        <v>none</v>
      </c>
      <c r="J9" s="1">
        <v>-15.047575</v>
      </c>
      <c r="K9" s="1">
        <v>8.0</v>
      </c>
      <c r="L9" s="1">
        <v>4.0</v>
      </c>
      <c r="M9" s="1">
        <v>0.25</v>
      </c>
      <c r="N9" s="1">
        <v>2.0</v>
      </c>
      <c r="O9" s="1">
        <v>-1.824829</v>
      </c>
      <c r="P9" s="1">
        <v>100.0</v>
      </c>
      <c r="Q9" s="1">
        <v>0.0</v>
      </c>
      <c r="R9" s="1">
        <v>0.0</v>
      </c>
      <c r="S9" s="1">
        <v>97.377596</v>
      </c>
    </row>
    <row r="10">
      <c r="A10" s="1" t="s">
        <v>201</v>
      </c>
      <c r="B10" s="1" t="s">
        <v>35</v>
      </c>
      <c r="C10" s="3" t="str">
        <f>'res122 Ari'!C10</f>
        <v>decent</v>
      </c>
      <c r="D10" s="3" t="str">
        <f>'res122 Ari'!D10</f>
        <v>can carbonyl point into tyrosine like into a benzene?</v>
      </c>
      <c r="E10" s="3" t="str">
        <f>'res122 Summer'!C10</f>
        <v>yes</v>
      </c>
      <c r="F10" s="3" t="str">
        <f>'res122 Summer'!D10</f>
        <v/>
      </c>
      <c r="G10" s="3" t="str">
        <f>'res122 Mary Shay'!C10</f>
        <v/>
      </c>
      <c r="H10" s="3" t="str">
        <f>'res122 Mary Shay'!D10</f>
        <v/>
      </c>
      <c r="I10" s="1" t="str">
        <f>IFERROR(__xludf.DUMMYFUNCTION("IFERROR(REGEXEXTRACT(E10, ""res(269|122)""), ""none"")"),"none")</f>
        <v>none</v>
      </c>
      <c r="J10" s="1">
        <v>-15.950047</v>
      </c>
      <c r="K10" s="1">
        <v>7.0</v>
      </c>
      <c r="L10" s="1">
        <v>3.0</v>
      </c>
      <c r="M10" s="1">
        <v>0.285714</v>
      </c>
      <c r="N10" s="1">
        <v>3.0</v>
      </c>
      <c r="O10" s="1">
        <v>-1.505897</v>
      </c>
      <c r="P10" s="1">
        <v>100.0</v>
      </c>
      <c r="Q10" s="1">
        <v>0.0</v>
      </c>
      <c r="R10" s="1">
        <v>0.0</v>
      </c>
      <c r="S10" s="1">
        <v>95.82977</v>
      </c>
    </row>
    <row r="11">
      <c r="A11" s="1" t="s">
        <v>202</v>
      </c>
      <c r="B11" s="1" t="s">
        <v>203</v>
      </c>
      <c r="C11" s="3" t="str">
        <f>'res122 Ari'!C11</f>
        <v>maybe</v>
      </c>
      <c r="D11" s="3" t="str">
        <f>'res122 Ari'!D11</f>
        <v>I like binding profile at bottom, but ASN402 could be a problem</v>
      </c>
      <c r="E11" s="3" t="str">
        <f>'res122 Summer'!C11</f>
        <v>maybe</v>
      </c>
      <c r="F11" s="3" t="str">
        <f>'res122 Summer'!D11</f>
        <v/>
      </c>
      <c r="G11" s="3" t="str">
        <f>'res122 Mary Shay'!C11</f>
        <v/>
      </c>
      <c r="H11" s="3" t="str">
        <f>'res122 Mary Shay'!D11</f>
        <v/>
      </c>
      <c r="I11" s="1" t="str">
        <f>IFERROR(__xludf.DUMMYFUNCTION("IFERROR(REGEXEXTRACT(E11, ""res(269|122)""), ""none"")"),"none")</f>
        <v>none</v>
      </c>
      <c r="J11" s="1">
        <v>-15.642859</v>
      </c>
      <c r="K11" s="1">
        <v>11.0</v>
      </c>
      <c r="L11" s="1">
        <v>3.0</v>
      </c>
      <c r="M11" s="1">
        <v>0.272727</v>
      </c>
      <c r="N11" s="1">
        <v>2.0</v>
      </c>
      <c r="O11" s="1">
        <v>-1.1816</v>
      </c>
      <c r="P11" s="1">
        <v>100.0</v>
      </c>
      <c r="Q11" s="1">
        <v>0.0</v>
      </c>
      <c r="R11" s="1">
        <v>0.0</v>
      </c>
      <c r="S11" s="1">
        <v>99.448268</v>
      </c>
    </row>
    <row r="12">
      <c r="A12" s="1" t="s">
        <v>204</v>
      </c>
      <c r="B12" s="1" t="s">
        <v>99</v>
      </c>
      <c r="C12" s="3" t="str">
        <f>'res122 Ari'!C12</f>
        <v>maybe</v>
      </c>
      <c r="D12" s="3" t="str">
        <f>'res122 Ari'!D12</f>
        <v>not great against tyr122</v>
      </c>
      <c r="E12" s="3" t="str">
        <f>'res122 Summer'!C12</f>
        <v>decent</v>
      </c>
      <c r="F12" s="3" t="str">
        <f>'res122 Summer'!D12</f>
        <v/>
      </c>
      <c r="G12" s="3" t="str">
        <f>'res122 Mary Shay'!C12</f>
        <v/>
      </c>
      <c r="H12" s="3" t="str">
        <f>'res122 Mary Shay'!D12</f>
        <v/>
      </c>
      <c r="I12" s="1" t="str">
        <f>IFERROR(__xludf.DUMMYFUNCTION("IFERROR(REGEXEXTRACT(E12, ""res(269|122)""), ""none"")"),"none")</f>
        <v>none</v>
      </c>
      <c r="J12" s="1">
        <v>-15.476613</v>
      </c>
      <c r="K12" s="1">
        <v>12.0</v>
      </c>
      <c r="L12" s="1">
        <v>4.0</v>
      </c>
      <c r="M12" s="1">
        <v>0.333333</v>
      </c>
      <c r="N12" s="1">
        <v>2.0</v>
      </c>
      <c r="O12" s="1">
        <v>-0.623346</v>
      </c>
      <c r="P12" s="1">
        <v>100.0</v>
      </c>
      <c r="Q12" s="1">
        <v>0.0</v>
      </c>
      <c r="R12" s="1">
        <v>0.0</v>
      </c>
      <c r="S12" s="1">
        <v>102.233374</v>
      </c>
    </row>
    <row r="13">
      <c r="A13" s="1" t="s">
        <v>205</v>
      </c>
      <c r="B13" s="1" t="s">
        <v>206</v>
      </c>
      <c r="C13" s="3" t="str">
        <f>'res122 Ari'!C13</f>
        <v>decent</v>
      </c>
      <c r="D13" s="3" t="str">
        <f>'res122 Ari'!D13</f>
        <v/>
      </c>
      <c r="E13" s="3" t="str">
        <f>'res122 Summer'!C13</f>
        <v>no</v>
      </c>
      <c r="F13" s="3" t="str">
        <f>'res122 Summer'!D13</f>
        <v/>
      </c>
      <c r="G13" s="3" t="str">
        <f>'res122 Mary Shay'!C13</f>
        <v/>
      </c>
      <c r="H13" s="3" t="str">
        <f>'res122 Mary Shay'!D13</f>
        <v/>
      </c>
      <c r="I13" s="1" t="str">
        <f>IFERROR(__xludf.DUMMYFUNCTION("IFERROR(REGEXEXTRACT(E13, ""res(269|122)""), ""none"")"),"none")</f>
        <v>none</v>
      </c>
      <c r="J13" s="1">
        <v>-16.216217</v>
      </c>
      <c r="K13" s="1">
        <v>7.0</v>
      </c>
      <c r="L13" s="1">
        <v>4.0</v>
      </c>
      <c r="M13" s="1">
        <v>0.285714</v>
      </c>
      <c r="N13" s="1">
        <v>2.0</v>
      </c>
      <c r="O13" s="1">
        <v>-0.930066</v>
      </c>
      <c r="P13" s="1">
        <v>100.0</v>
      </c>
      <c r="Q13" s="1">
        <v>0.0</v>
      </c>
      <c r="R13" s="1">
        <v>0.0</v>
      </c>
      <c r="S13" s="1">
        <v>96.139431</v>
      </c>
    </row>
    <row r="14">
      <c r="A14" s="1" t="s">
        <v>207</v>
      </c>
      <c r="B14" s="1" t="s">
        <v>208</v>
      </c>
      <c r="C14" s="3" t="str">
        <f>'res122 Ari'!C14</f>
        <v>maybe</v>
      </c>
      <c r="D14" s="3" t="str">
        <f>'res122 Ari'!D14</f>
        <v/>
      </c>
      <c r="E14" s="3" t="str">
        <f>'res122 Summer'!C14</f>
        <v>no</v>
      </c>
      <c r="F14" s="3" t="str">
        <f>'res122 Summer'!D14</f>
        <v/>
      </c>
      <c r="G14" s="3" t="str">
        <f>'res122 Mary Shay'!C14</f>
        <v/>
      </c>
      <c r="H14" s="3" t="str">
        <f>'res122 Mary Shay'!D14</f>
        <v/>
      </c>
      <c r="I14" s="1" t="str">
        <f>IFERROR(__xludf.DUMMYFUNCTION("IFERROR(REGEXEXTRACT(E14, ""res(269|122)""), ""none"")"),"none")</f>
        <v>none</v>
      </c>
      <c r="J14" s="1">
        <v>-15.113702</v>
      </c>
      <c r="K14" s="1">
        <v>8.0</v>
      </c>
      <c r="L14" s="1">
        <v>3.0</v>
      </c>
      <c r="M14" s="1">
        <v>0.25</v>
      </c>
      <c r="N14" s="1">
        <v>2.0</v>
      </c>
      <c r="O14" s="1">
        <v>-0.761492</v>
      </c>
      <c r="P14" s="1">
        <v>100.0</v>
      </c>
      <c r="Q14" s="1">
        <v>0.0</v>
      </c>
      <c r="R14" s="1">
        <v>0.0</v>
      </c>
      <c r="S14" s="1">
        <v>97.374806</v>
      </c>
    </row>
    <row r="15">
      <c r="A15" s="1" t="s">
        <v>209</v>
      </c>
      <c r="B15" s="1" t="s">
        <v>210</v>
      </c>
      <c r="C15" s="3" t="str">
        <f>'res122 Ari'!C15</f>
        <v>maybe</v>
      </c>
      <c r="D15" s="3" t="str">
        <f>'res122 Ari'!D15</f>
        <v>carbonyl in middle could maybe hit water?</v>
      </c>
      <c r="E15" s="3" t="str">
        <f>'res122 Summer'!C15</f>
        <v>no</v>
      </c>
      <c r="F15" s="3" t="str">
        <f>'res122 Summer'!D15</f>
        <v/>
      </c>
      <c r="G15" s="3" t="str">
        <f>'res122 Mary Shay'!C15</f>
        <v/>
      </c>
      <c r="H15" s="3" t="str">
        <f>'res122 Mary Shay'!D15</f>
        <v/>
      </c>
      <c r="I15" s="1" t="str">
        <f>IFERROR(__xludf.DUMMYFUNCTION("IFERROR(REGEXEXTRACT(E15, ""res(269|122)""), ""none"")"),"none")</f>
        <v>none</v>
      </c>
      <c r="J15" s="1">
        <v>-15.419001</v>
      </c>
      <c r="K15" s="1">
        <v>8.0</v>
      </c>
      <c r="L15" s="1">
        <v>5.0</v>
      </c>
      <c r="M15" s="1">
        <v>0.5</v>
      </c>
      <c r="N15" s="1">
        <v>3.0</v>
      </c>
      <c r="O15" s="1">
        <v>-1.097048</v>
      </c>
      <c r="P15" s="1">
        <v>100.0</v>
      </c>
      <c r="Q15" s="1">
        <v>0.0</v>
      </c>
      <c r="R15" s="1">
        <v>0.0</v>
      </c>
      <c r="S15" s="1">
        <v>99.983951</v>
      </c>
    </row>
    <row r="16">
      <c r="A16" s="1" t="s">
        <v>211</v>
      </c>
      <c r="B16" s="1" t="s">
        <v>212</v>
      </c>
      <c r="C16" s="3" t="str">
        <f>'res122 Ari'!C16</f>
        <v>maybe</v>
      </c>
      <c r="D16" s="3" t="str">
        <f>'res122 Ari'!D16</f>
        <v>phe194 interaction could be bad</v>
      </c>
      <c r="E16" s="3" t="str">
        <f>'res122 Summer'!C16</f>
        <v>maybe</v>
      </c>
      <c r="F16" s="3" t="str">
        <f>'res122 Summer'!D16</f>
        <v/>
      </c>
      <c r="G16" s="3" t="str">
        <f>'res122 Mary Shay'!C16</f>
        <v/>
      </c>
      <c r="H16" s="3" t="str">
        <f>'res122 Mary Shay'!D16</f>
        <v/>
      </c>
      <c r="I16" s="1" t="str">
        <f>IFERROR(__xludf.DUMMYFUNCTION("IFERROR(REGEXEXTRACT(E16, ""res(269|122)""), ""none"")"),"none")</f>
        <v>none</v>
      </c>
      <c r="J16" s="1">
        <v>-15.695975</v>
      </c>
      <c r="K16" s="1">
        <v>7.0</v>
      </c>
      <c r="L16" s="1">
        <v>5.0</v>
      </c>
      <c r="M16" s="1">
        <v>0.428571</v>
      </c>
      <c r="N16" s="1">
        <v>2.0</v>
      </c>
      <c r="O16" s="1">
        <v>-0.51858</v>
      </c>
      <c r="P16" s="1">
        <v>100.0</v>
      </c>
      <c r="Q16" s="1">
        <v>0.0</v>
      </c>
      <c r="R16" s="1">
        <v>0.0</v>
      </c>
      <c r="S16" s="1">
        <v>98.214016</v>
      </c>
    </row>
    <row r="17">
      <c r="A17" s="1" t="s">
        <v>213</v>
      </c>
      <c r="B17" s="1" t="s">
        <v>40</v>
      </c>
      <c r="C17" s="3" t="str">
        <f>'res122 Ari'!C17</f>
        <v>maybe</v>
      </c>
      <c r="D17" s="3" t="str">
        <f>'res122 Ari'!D17</f>
        <v/>
      </c>
      <c r="E17" s="3" t="str">
        <f>'res122 Summer'!C17</f>
        <v>decent</v>
      </c>
      <c r="F17" s="3" t="str">
        <f>'res122 Summer'!D17</f>
        <v/>
      </c>
      <c r="G17" s="3" t="str">
        <f>'res122 Mary Shay'!C17</f>
        <v/>
      </c>
      <c r="H17" s="3" t="str">
        <f>'res122 Mary Shay'!D17</f>
        <v/>
      </c>
      <c r="I17" s="1" t="str">
        <f>IFERROR(__xludf.DUMMYFUNCTION("IFERROR(REGEXEXTRACT(E17, ""res(269|122)""), ""none"")"),"none")</f>
        <v>none</v>
      </c>
      <c r="J17" s="1">
        <v>-15.040718</v>
      </c>
      <c r="K17" s="1">
        <v>6.0</v>
      </c>
      <c r="L17" s="1">
        <v>3.0</v>
      </c>
      <c r="M17" s="1">
        <v>0.333333</v>
      </c>
      <c r="N17" s="1">
        <v>2.0</v>
      </c>
      <c r="O17" s="1">
        <v>-1.138986</v>
      </c>
      <c r="P17" s="1">
        <v>100.0</v>
      </c>
      <c r="Q17" s="1">
        <v>0.0</v>
      </c>
      <c r="R17" s="1">
        <v>0.0</v>
      </c>
      <c r="S17" s="1">
        <v>95.153629</v>
      </c>
    </row>
    <row r="18">
      <c r="A18" s="1" t="s">
        <v>214</v>
      </c>
      <c r="B18" s="1" t="s">
        <v>44</v>
      </c>
      <c r="C18" s="3" t="str">
        <f>'res122 Ari'!C18</f>
        <v>decent</v>
      </c>
      <c r="D18" s="3" t="str">
        <f>'res122 Ari'!D18</f>
        <v>I like all the intereactions and maybe tyr188 could work</v>
      </c>
      <c r="E18" s="3" t="str">
        <f>'res122 Summer'!C18</f>
        <v>yes</v>
      </c>
      <c r="F18" s="3" t="str">
        <f>'res122 Summer'!D18</f>
        <v/>
      </c>
      <c r="G18" s="3" t="str">
        <f>'res122 Mary Shay'!C18</f>
        <v/>
      </c>
      <c r="H18" s="3" t="str">
        <f>'res122 Mary Shay'!D18</f>
        <v/>
      </c>
      <c r="I18" s="1" t="str">
        <f>IFERROR(__xludf.DUMMYFUNCTION("IFERROR(REGEXEXTRACT(E18, ""res(269|122)""), ""none"")"),"none")</f>
        <v>none</v>
      </c>
      <c r="J18" s="1">
        <v>-15.260381</v>
      </c>
      <c r="K18" s="1">
        <v>8.0</v>
      </c>
      <c r="L18" s="1">
        <v>3.0</v>
      </c>
      <c r="M18" s="1">
        <v>0.25</v>
      </c>
      <c r="N18" s="1">
        <v>3.0</v>
      </c>
      <c r="O18" s="1">
        <v>-1.428861</v>
      </c>
      <c r="P18" s="1">
        <v>100.0</v>
      </c>
      <c r="Q18" s="1">
        <v>0.0</v>
      </c>
      <c r="R18" s="1">
        <v>0.0</v>
      </c>
      <c r="S18" s="1">
        <v>97.560758</v>
      </c>
    </row>
    <row r="19">
      <c r="A19" s="1" t="s">
        <v>215</v>
      </c>
      <c r="B19" s="1" t="s">
        <v>216</v>
      </c>
      <c r="C19" s="3" t="str">
        <f>'res122 Ari'!C19</f>
        <v>decent</v>
      </c>
      <c r="D19" s="3" t="str">
        <f>'res122 Ari'!D19</f>
        <v>maybe water could satisfy glu398</v>
      </c>
      <c r="E19" s="3" t="str">
        <f>'res122 Summer'!C19</f>
        <v>no</v>
      </c>
      <c r="F19" s="3" t="str">
        <f>'res122 Summer'!D19</f>
        <v/>
      </c>
      <c r="G19" s="3" t="str">
        <f>'res122 Mary Shay'!C19</f>
        <v/>
      </c>
      <c r="H19" s="3" t="str">
        <f>'res122 Mary Shay'!D19</f>
        <v/>
      </c>
      <c r="I19" s="1" t="str">
        <f>IFERROR(__xludf.DUMMYFUNCTION("IFERROR(REGEXEXTRACT(E19, ""res(269|122)""), ""none"")"),"none")</f>
        <v>none</v>
      </c>
      <c r="J19" s="1">
        <v>-16.747691</v>
      </c>
      <c r="K19" s="1">
        <v>10.0</v>
      </c>
      <c r="L19" s="1">
        <v>4.0</v>
      </c>
      <c r="M19" s="1">
        <v>0.4</v>
      </c>
      <c r="N19" s="1">
        <v>2.0</v>
      </c>
      <c r="O19" s="1">
        <v>-1.533959</v>
      </c>
      <c r="P19" s="1">
        <v>100.0</v>
      </c>
      <c r="Q19" s="1">
        <v>0.0</v>
      </c>
      <c r="R19" s="1">
        <v>0.0</v>
      </c>
      <c r="S19" s="1">
        <v>98.11835</v>
      </c>
    </row>
    <row r="20">
      <c r="A20" s="1" t="s">
        <v>217</v>
      </c>
      <c r="B20" s="1" t="s">
        <v>218</v>
      </c>
      <c r="C20" s="3" t="str">
        <f>'res122 Ari'!C20</f>
        <v>maybe</v>
      </c>
      <c r="D20" s="3" t="str">
        <f>'res122 Ari'!D20</f>
        <v/>
      </c>
      <c r="E20" s="3" t="str">
        <f>'res122 Summer'!C20</f>
        <v>no</v>
      </c>
      <c r="F20" s="3" t="str">
        <f>'res122 Summer'!D20</f>
        <v/>
      </c>
      <c r="G20" s="3" t="str">
        <f>'res122 Mary Shay'!C20</f>
        <v/>
      </c>
      <c r="H20" s="3" t="str">
        <f>'res122 Mary Shay'!D20</f>
        <v/>
      </c>
      <c r="I20" s="1" t="str">
        <f>IFERROR(__xludf.DUMMYFUNCTION("IFERROR(REGEXEXTRACT(E20, ""res(269|122)""), ""none"")"),"none")</f>
        <v>none</v>
      </c>
      <c r="J20" s="1">
        <v>-15.251888</v>
      </c>
      <c r="K20" s="1">
        <v>10.0</v>
      </c>
      <c r="L20" s="1">
        <v>4.0</v>
      </c>
      <c r="M20" s="1">
        <v>0.4</v>
      </c>
      <c r="N20" s="1">
        <v>2.0</v>
      </c>
      <c r="O20" s="1">
        <v>-0.922495</v>
      </c>
      <c r="P20" s="1">
        <v>100.0</v>
      </c>
      <c r="Q20" s="1">
        <v>0.0</v>
      </c>
      <c r="R20" s="1">
        <v>0.0</v>
      </c>
      <c r="S20" s="1">
        <v>100.225617</v>
      </c>
    </row>
    <row r="21">
      <c r="A21" s="1" t="s">
        <v>219</v>
      </c>
      <c r="B21" s="1" t="s">
        <v>220</v>
      </c>
      <c r="C21" s="3" t="str">
        <f>'res122 Ari'!C21</f>
        <v>maybe</v>
      </c>
      <c r="D21" s="3" t="str">
        <f>'res122 Ari'!D21</f>
        <v/>
      </c>
      <c r="E21" s="3" t="str">
        <f>'res122 Summer'!C21</f>
        <v>no</v>
      </c>
      <c r="F21" s="3" t="str">
        <f>'res122 Summer'!D21</f>
        <v/>
      </c>
      <c r="G21" s="3" t="str">
        <f>'res122 Mary Shay'!C21</f>
        <v/>
      </c>
      <c r="H21" s="3" t="str">
        <f>'res122 Mary Shay'!D21</f>
        <v/>
      </c>
      <c r="I21" s="1" t="str">
        <f>IFERROR(__xludf.DUMMYFUNCTION("IFERROR(REGEXEXTRACT(E21, ""res(269|122)""), ""none"")"),"none")</f>
        <v>none</v>
      </c>
      <c r="J21" s="1">
        <v>-15.933583</v>
      </c>
      <c r="K21" s="1">
        <v>10.0</v>
      </c>
      <c r="L21" s="1">
        <v>4.0</v>
      </c>
      <c r="M21" s="1">
        <v>0.4</v>
      </c>
      <c r="N21" s="1">
        <v>3.0</v>
      </c>
      <c r="O21" s="1">
        <v>-0.861401</v>
      </c>
      <c r="P21" s="1">
        <v>100.0</v>
      </c>
      <c r="Q21" s="1">
        <v>0.0</v>
      </c>
      <c r="R21" s="1">
        <v>0.0</v>
      </c>
      <c r="S21" s="1">
        <v>100.605016</v>
      </c>
    </row>
    <row r="22">
      <c r="A22" s="1" t="s">
        <v>221</v>
      </c>
      <c r="B22" s="1" t="s">
        <v>222</v>
      </c>
      <c r="C22" s="3" t="str">
        <f>'res122 Ari'!C22</f>
        <v>maybe</v>
      </c>
      <c r="D22" s="3" t="str">
        <f>'res122 Ari'!D22</f>
        <v/>
      </c>
      <c r="E22" s="3" t="str">
        <f>'res122 Summer'!C22</f>
        <v>maybe</v>
      </c>
      <c r="F22" s="3" t="str">
        <f>'res122 Summer'!D22</f>
        <v/>
      </c>
      <c r="G22" s="3" t="str">
        <f>'res122 Mary Shay'!C22</f>
        <v/>
      </c>
      <c r="H22" s="3" t="str">
        <f>'res122 Mary Shay'!D22</f>
        <v/>
      </c>
      <c r="I22" s="1" t="str">
        <f>IFERROR(__xludf.DUMMYFUNCTION("IFERROR(REGEXEXTRACT(E22, ""res(269|122)""), ""none"")"),"none")</f>
        <v>none</v>
      </c>
      <c r="J22" s="1">
        <v>-15.3418</v>
      </c>
      <c r="K22" s="1">
        <v>9.0</v>
      </c>
      <c r="L22" s="1">
        <v>4.0</v>
      </c>
      <c r="M22" s="1">
        <v>0.333333</v>
      </c>
      <c r="N22" s="1">
        <v>2.0</v>
      </c>
      <c r="O22" s="1">
        <v>-1.486109</v>
      </c>
      <c r="P22" s="1">
        <v>100.0</v>
      </c>
      <c r="Q22" s="1">
        <v>0.0</v>
      </c>
      <c r="R22" s="1">
        <v>0.0</v>
      </c>
      <c r="S22" s="1">
        <v>98.505424</v>
      </c>
    </row>
    <row r="23">
      <c r="A23" s="1" t="s">
        <v>223</v>
      </c>
      <c r="B23" s="1" t="s">
        <v>49</v>
      </c>
      <c r="C23" s="3" t="str">
        <f>'res122 Ari'!C23</f>
        <v>maybe</v>
      </c>
      <c r="D23" s="3" t="str">
        <f>'res122 Ari'!D23</f>
        <v/>
      </c>
      <c r="E23" s="3" t="str">
        <f>'res122 Summer'!C23</f>
        <v>decent</v>
      </c>
      <c r="F23" s="3" t="str">
        <f>'res122 Summer'!D23</f>
        <v/>
      </c>
      <c r="G23" s="3" t="str">
        <f>'res122 Mary Shay'!C23</f>
        <v/>
      </c>
      <c r="H23" s="3" t="str">
        <f>'res122 Mary Shay'!D23</f>
        <v/>
      </c>
      <c r="I23" s="1" t="str">
        <f>IFERROR(__xludf.DUMMYFUNCTION("IFERROR(REGEXEXTRACT(E23, ""res(269|122)""), ""none"")"),"none")</f>
        <v>none</v>
      </c>
      <c r="J23" s="1">
        <v>-16.481134</v>
      </c>
      <c r="K23" s="1">
        <v>7.0</v>
      </c>
      <c r="L23" s="1">
        <v>3.0</v>
      </c>
      <c r="M23" s="1">
        <v>0.285714</v>
      </c>
      <c r="N23" s="1">
        <v>2.0</v>
      </c>
      <c r="O23" s="1">
        <v>-1.079586</v>
      </c>
      <c r="P23" s="1">
        <v>100.0</v>
      </c>
      <c r="Q23" s="1">
        <v>0.0</v>
      </c>
      <c r="R23" s="1">
        <v>0.0</v>
      </c>
      <c r="S23" s="1">
        <v>94.724994</v>
      </c>
    </row>
    <row r="24">
      <c r="A24" s="1" t="s">
        <v>224</v>
      </c>
      <c r="B24" s="1" t="s">
        <v>53</v>
      </c>
      <c r="C24" s="3" t="str">
        <f>'res122 Ari'!C24</f>
        <v>decent</v>
      </c>
      <c r="D24" s="3" t="str">
        <f>'res122 Ari'!D24</f>
        <v>a lot of questionable interactions seem corroborated by real motifs</v>
      </c>
      <c r="E24" s="3" t="str">
        <f>'res122 Summer'!C24</f>
        <v>decent</v>
      </c>
      <c r="F24" s="3" t="str">
        <f>'res122 Summer'!D24</f>
        <v/>
      </c>
      <c r="G24" s="3" t="str">
        <f>'res122 Mary Shay'!C24</f>
        <v/>
      </c>
      <c r="H24" s="3" t="str">
        <f>'res122 Mary Shay'!D24</f>
        <v/>
      </c>
      <c r="I24" s="1" t="str">
        <f>IFERROR(__xludf.DUMMYFUNCTION("IFERROR(REGEXEXTRACT(E24, ""res(269|122)""), ""none"")"),"none")</f>
        <v>none</v>
      </c>
      <c r="J24" s="1">
        <v>-15.209335</v>
      </c>
      <c r="K24" s="1">
        <v>9.0</v>
      </c>
      <c r="L24" s="1">
        <v>3.0</v>
      </c>
      <c r="M24" s="1">
        <v>0.555556</v>
      </c>
      <c r="N24" s="1">
        <v>2.0</v>
      </c>
      <c r="O24" s="1">
        <v>-0.616797</v>
      </c>
      <c r="P24" s="1">
        <v>100.0</v>
      </c>
      <c r="Q24" s="1">
        <v>0.0</v>
      </c>
      <c r="R24" s="1">
        <v>0.0</v>
      </c>
      <c r="S24" s="1">
        <v>98.729424</v>
      </c>
    </row>
    <row r="25">
      <c r="A25" s="1" t="s">
        <v>225</v>
      </c>
      <c r="B25" s="1" t="s">
        <v>226</v>
      </c>
      <c r="C25" s="3" t="str">
        <f>'res122 Ari'!C25</f>
        <v>decent</v>
      </c>
      <c r="D25" s="3" t="str">
        <f>'res122 Ari'!D25</f>
        <v/>
      </c>
      <c r="E25" s="3" t="str">
        <f>'res122 Summer'!C25</f>
        <v>no</v>
      </c>
      <c r="F25" s="3" t="str">
        <f>'res122 Summer'!D25</f>
        <v/>
      </c>
      <c r="G25" s="3" t="str">
        <f>'res122 Mary Shay'!C25</f>
        <v/>
      </c>
      <c r="H25" s="3" t="str">
        <f>'res122 Mary Shay'!D25</f>
        <v/>
      </c>
      <c r="I25" s="1" t="str">
        <f>IFERROR(__xludf.DUMMYFUNCTION("IFERROR(REGEXEXTRACT(E25, ""res(269|122)""), ""none"")"),"none")</f>
        <v>none</v>
      </c>
      <c r="J25" s="1">
        <v>-16.256898</v>
      </c>
      <c r="K25" s="1">
        <v>11.0</v>
      </c>
      <c r="L25" s="1">
        <v>4.0</v>
      </c>
      <c r="M25" s="1">
        <v>0.272727</v>
      </c>
      <c r="N25" s="1">
        <v>2.0</v>
      </c>
      <c r="O25" s="1">
        <v>-1.787076</v>
      </c>
      <c r="P25" s="1">
        <v>100.0</v>
      </c>
      <c r="Q25" s="1">
        <v>0.0</v>
      </c>
      <c r="R25" s="1">
        <v>0.0</v>
      </c>
      <c r="S25" s="1">
        <v>99.228753</v>
      </c>
    </row>
    <row r="26">
      <c r="A26" s="1" t="s">
        <v>227</v>
      </c>
      <c r="B26" s="1" t="s">
        <v>228</v>
      </c>
      <c r="C26" s="3" t="str">
        <f>'res122 Ari'!C26</f>
        <v>maybe</v>
      </c>
      <c r="D26" s="3" t="str">
        <f>'res122 Ari'!D26</f>
        <v/>
      </c>
      <c r="E26" s="3" t="str">
        <f>'res122 Summer'!C26</f>
        <v>maybe</v>
      </c>
      <c r="F26" s="3" t="str">
        <f>'res122 Summer'!D26</f>
        <v/>
      </c>
      <c r="G26" s="3" t="str">
        <f>'res122 Mary Shay'!C26</f>
        <v/>
      </c>
      <c r="H26" s="3" t="str">
        <f>'res122 Mary Shay'!D26</f>
        <v/>
      </c>
      <c r="I26" s="1" t="str">
        <f>IFERROR(__xludf.DUMMYFUNCTION("IFERROR(REGEXEXTRACT(E26, ""res(269|122)""), ""none"")"),"none")</f>
        <v>none</v>
      </c>
      <c r="J26" s="1">
        <v>-17.376492</v>
      </c>
      <c r="K26" s="1">
        <v>6.0</v>
      </c>
      <c r="L26" s="1">
        <v>3.0</v>
      </c>
      <c r="M26" s="1">
        <v>0.333333</v>
      </c>
      <c r="N26" s="1">
        <v>2.0</v>
      </c>
      <c r="O26" s="1">
        <v>-0.775723</v>
      </c>
      <c r="P26" s="1">
        <v>100.0</v>
      </c>
      <c r="Q26" s="1">
        <v>0.0</v>
      </c>
      <c r="R26" s="1">
        <v>0.0</v>
      </c>
      <c r="S26" s="1">
        <v>93.181118</v>
      </c>
    </row>
    <row r="27">
      <c r="A27" s="1" t="s">
        <v>229</v>
      </c>
      <c r="B27" s="1" t="s">
        <v>58</v>
      </c>
      <c r="C27" s="3" t="str">
        <f>'res122 Ari'!C27</f>
        <v>maybe</v>
      </c>
      <c r="D27" s="3" t="str">
        <f>'res122 Ari'!D27</f>
        <v/>
      </c>
      <c r="E27" s="3" t="str">
        <f>'res122 Summer'!C27</f>
        <v>decent</v>
      </c>
      <c r="F27" s="3" t="str">
        <f>'res122 Summer'!D27</f>
        <v/>
      </c>
      <c r="G27" s="3" t="str">
        <f>'res122 Mary Shay'!C27</f>
        <v/>
      </c>
      <c r="H27" s="3" t="str">
        <f>'res122 Mary Shay'!D27</f>
        <v/>
      </c>
      <c r="I27" s="1" t="str">
        <f>IFERROR(__xludf.DUMMYFUNCTION("IFERROR(REGEXEXTRACT(E27, ""res(269|122)""), ""none"")"),"none")</f>
        <v>none</v>
      </c>
      <c r="J27" s="1">
        <v>-17.724274</v>
      </c>
      <c r="K27" s="1">
        <v>8.0</v>
      </c>
      <c r="L27" s="1">
        <v>3.0</v>
      </c>
      <c r="M27" s="1">
        <v>0.25</v>
      </c>
      <c r="N27" s="1">
        <v>2.0</v>
      </c>
      <c r="O27" s="1">
        <v>-1.29152999999999</v>
      </c>
      <c r="P27" s="1">
        <v>100.0</v>
      </c>
      <c r="Q27" s="1">
        <v>0.0</v>
      </c>
      <c r="R27" s="1">
        <v>0.0</v>
      </c>
      <c r="S27" s="1">
        <v>94.234196</v>
      </c>
    </row>
    <row r="28">
      <c r="A28" s="1" t="s">
        <v>230</v>
      </c>
      <c r="B28" s="1" t="s">
        <v>231</v>
      </c>
      <c r="C28" s="3" t="str">
        <f>'res122 Ari'!C28</f>
        <v>maybe</v>
      </c>
      <c r="D28" s="3" t="str">
        <f>'res122 Ari'!D28</f>
        <v/>
      </c>
      <c r="E28" s="3" t="str">
        <f>'res122 Summer'!C28</f>
        <v>maybe</v>
      </c>
      <c r="F28" s="3" t="str">
        <f>'res122 Summer'!D28</f>
        <v/>
      </c>
      <c r="G28" s="3" t="str">
        <f>'res122 Mary Shay'!C28</f>
        <v/>
      </c>
      <c r="H28" s="3" t="str">
        <f>'res122 Mary Shay'!D28</f>
        <v/>
      </c>
      <c r="I28" s="1" t="str">
        <f>IFERROR(__xludf.DUMMYFUNCTION("IFERROR(REGEXEXTRACT(E28, ""res(269|122)""), ""none"")"),"none")</f>
        <v>none</v>
      </c>
      <c r="J28" s="1">
        <v>-16.569372</v>
      </c>
      <c r="K28" s="1">
        <v>8.0</v>
      </c>
      <c r="L28" s="1">
        <v>3.0</v>
      </c>
      <c r="M28" s="1">
        <v>0.5</v>
      </c>
      <c r="N28" s="1">
        <v>2.0</v>
      </c>
      <c r="O28" s="1">
        <v>-0.987431</v>
      </c>
      <c r="P28" s="1">
        <v>100.0</v>
      </c>
      <c r="Q28" s="1">
        <v>0.0</v>
      </c>
      <c r="R28" s="1">
        <v>0.0</v>
      </c>
      <c r="S28" s="1">
        <v>95.943197</v>
      </c>
    </row>
    <row r="29">
      <c r="A29" s="1" t="s">
        <v>232</v>
      </c>
      <c r="B29" s="1" t="s">
        <v>62</v>
      </c>
      <c r="C29" s="3" t="str">
        <f>'res122 Ari'!C29</f>
        <v>maybe</v>
      </c>
      <c r="D29" s="3" t="str">
        <f>'res122 Ari'!D29</f>
        <v/>
      </c>
      <c r="E29" s="3" t="str">
        <f>'res122 Summer'!C29</f>
        <v>decent</v>
      </c>
      <c r="F29" s="3" t="str">
        <f>'res122 Summer'!D29</f>
        <v/>
      </c>
      <c r="G29" s="3" t="str">
        <f>'res122 Mary Shay'!C29</f>
        <v/>
      </c>
      <c r="H29" s="3" t="str">
        <f>'res122 Mary Shay'!D29</f>
        <v/>
      </c>
      <c r="I29" s="1" t="str">
        <f>IFERROR(__xludf.DUMMYFUNCTION("IFERROR(REGEXEXTRACT(E29, ""res(269|122)""), ""none"")"),"none")</f>
        <v>none</v>
      </c>
      <c r="J29" s="1">
        <v>-16.448389</v>
      </c>
      <c r="K29" s="1">
        <v>9.0</v>
      </c>
      <c r="L29" s="1">
        <v>3.0</v>
      </c>
      <c r="M29" s="1">
        <v>0.333333</v>
      </c>
      <c r="N29" s="1">
        <v>2.0</v>
      </c>
      <c r="O29" s="1">
        <v>-1.562614</v>
      </c>
      <c r="P29" s="1">
        <v>100.0</v>
      </c>
      <c r="Q29" s="1">
        <v>0.0</v>
      </c>
      <c r="R29" s="1">
        <v>0.0</v>
      </c>
      <c r="S29" s="1">
        <v>96.32233</v>
      </c>
    </row>
    <row r="30">
      <c r="A30" s="1" t="s">
        <v>233</v>
      </c>
      <c r="B30" s="1" t="s">
        <v>103</v>
      </c>
      <c r="C30" s="3" t="str">
        <f>'res122 Ari'!C30</f>
        <v>maybe</v>
      </c>
      <c r="D30" s="3" t="str">
        <f>'res122 Ari'!D30</f>
        <v/>
      </c>
      <c r="E30" s="3" t="str">
        <f>'res122 Summer'!C30</f>
        <v>decent</v>
      </c>
      <c r="F30" s="3" t="str">
        <f>'res122 Summer'!D30</f>
        <v/>
      </c>
      <c r="G30" s="3" t="str">
        <f>'res122 Mary Shay'!C30</f>
        <v/>
      </c>
      <c r="H30" s="3" t="str">
        <f>'res122 Mary Shay'!D30</f>
        <v/>
      </c>
      <c r="I30" s="1" t="str">
        <f>IFERROR(__xludf.DUMMYFUNCTION("IFERROR(REGEXEXTRACT(E30, ""res(269|122)""), ""none"")"),"none")</f>
        <v>none</v>
      </c>
      <c r="J30" s="1">
        <v>-16.810235</v>
      </c>
      <c r="K30" s="1">
        <v>9.0</v>
      </c>
      <c r="L30" s="1">
        <v>3.0</v>
      </c>
      <c r="M30" s="1">
        <v>0.444444</v>
      </c>
      <c r="N30" s="1">
        <v>2.0</v>
      </c>
      <c r="O30" s="1">
        <v>-0.880047</v>
      </c>
      <c r="P30" s="1">
        <v>100.0</v>
      </c>
      <c r="Q30" s="1">
        <v>0.0</v>
      </c>
      <c r="R30" s="1">
        <v>0.0</v>
      </c>
      <c r="S30" s="1">
        <v>96.754162</v>
      </c>
    </row>
    <row r="31">
      <c r="A31" s="1" t="s">
        <v>234</v>
      </c>
      <c r="B31" s="1" t="s">
        <v>235</v>
      </c>
      <c r="C31" s="3" t="str">
        <f>'res122 Ari'!C31</f>
        <v>maybe</v>
      </c>
      <c r="D31" s="3" t="str">
        <f>'res122 Ari'!D31</f>
        <v/>
      </c>
      <c r="E31" s="3" t="str">
        <f>'res122 Summer'!C31</f>
        <v>no</v>
      </c>
      <c r="F31" s="3" t="str">
        <f>'res122 Summer'!D31</f>
        <v/>
      </c>
      <c r="G31" s="3" t="str">
        <f>'res122 Mary Shay'!C31</f>
        <v/>
      </c>
      <c r="H31" s="3" t="str">
        <f>'res122 Mary Shay'!D31</f>
        <v/>
      </c>
      <c r="I31" s="1" t="str">
        <f>IFERROR(__xludf.DUMMYFUNCTION("IFERROR(REGEXEXTRACT(E31, ""res(269|122)""), ""none"")"),"none")</f>
        <v>none</v>
      </c>
      <c r="J31" s="1">
        <v>-15.466932</v>
      </c>
      <c r="K31" s="1">
        <v>7.0</v>
      </c>
      <c r="L31" s="1">
        <v>3.0</v>
      </c>
      <c r="M31" s="1">
        <v>0.285714</v>
      </c>
      <c r="N31" s="1">
        <v>2.0</v>
      </c>
      <c r="O31" s="1">
        <v>-1.068929</v>
      </c>
      <c r="P31" s="1">
        <v>100.0</v>
      </c>
      <c r="Q31" s="1">
        <v>0.0</v>
      </c>
      <c r="R31" s="1">
        <v>0.0</v>
      </c>
      <c r="S31" s="1">
        <v>95.749853</v>
      </c>
    </row>
    <row r="32">
      <c r="A32" s="1" t="s">
        <v>236</v>
      </c>
      <c r="B32" s="1" t="s">
        <v>107</v>
      </c>
      <c r="C32" s="3" t="str">
        <f>'res122 Ari'!C32</f>
        <v>maybe</v>
      </c>
      <c r="D32" s="3" t="str">
        <f>'res122 Ari'!D32</f>
        <v/>
      </c>
      <c r="E32" s="3" t="str">
        <f>'res122 Summer'!C32</f>
        <v>decent</v>
      </c>
      <c r="F32" s="3" t="str">
        <f>'res122 Summer'!D32</f>
        <v/>
      </c>
      <c r="G32" s="3" t="str">
        <f>'res122 Mary Shay'!C32</f>
        <v/>
      </c>
      <c r="H32" s="3" t="str">
        <f>'res122 Mary Shay'!D32</f>
        <v/>
      </c>
      <c r="I32" s="1" t="str">
        <f>IFERROR(__xludf.DUMMYFUNCTION("IFERROR(REGEXEXTRACT(E32, ""res(269|122)""), ""none"")"),"none")</f>
        <v>none</v>
      </c>
      <c r="J32" s="1">
        <v>-15.035637</v>
      </c>
      <c r="K32" s="1">
        <v>8.0</v>
      </c>
      <c r="L32" s="1">
        <v>4.0</v>
      </c>
      <c r="M32" s="1">
        <v>0.25</v>
      </c>
      <c r="N32" s="1">
        <v>2.0</v>
      </c>
      <c r="O32" s="1">
        <v>-0.915905</v>
      </c>
      <c r="P32" s="1">
        <v>100.0</v>
      </c>
      <c r="Q32" s="1">
        <v>0.0</v>
      </c>
      <c r="R32" s="1">
        <v>0.0</v>
      </c>
      <c r="S32" s="1">
        <v>98.298458</v>
      </c>
    </row>
    <row r="33">
      <c r="A33" s="1" t="s">
        <v>237</v>
      </c>
      <c r="B33" s="1" t="s">
        <v>238</v>
      </c>
      <c r="C33" s="3" t="str">
        <f>'res122 Ari'!C33</f>
        <v>maybe</v>
      </c>
      <c r="D33" s="3" t="str">
        <f>'res122 Ari'!D33</f>
        <v/>
      </c>
      <c r="E33" s="3" t="str">
        <f>'res122 Summer'!C33</f>
        <v>no</v>
      </c>
      <c r="F33" s="3" t="str">
        <f>'res122 Summer'!D33</f>
        <v/>
      </c>
      <c r="G33" s="3" t="str">
        <f>'res122 Mary Shay'!C33</f>
        <v/>
      </c>
      <c r="H33" s="3" t="str">
        <f>'res122 Mary Shay'!D33</f>
        <v/>
      </c>
      <c r="I33" s="1" t="str">
        <f>IFERROR(__xludf.DUMMYFUNCTION("IFERROR(REGEXEXTRACT(E33, ""res(269|122)""), ""none"")"),"none")</f>
        <v>none</v>
      </c>
      <c r="J33" s="1">
        <v>-16.448683</v>
      </c>
      <c r="K33" s="1">
        <v>7.0</v>
      </c>
      <c r="L33" s="1">
        <v>4.0</v>
      </c>
      <c r="M33" s="1">
        <v>0.428571</v>
      </c>
      <c r="N33" s="1">
        <v>2.0</v>
      </c>
      <c r="O33" s="1">
        <v>-1.118176</v>
      </c>
      <c r="P33" s="1">
        <v>100.0</v>
      </c>
      <c r="Q33" s="1">
        <v>0.0</v>
      </c>
      <c r="R33" s="1">
        <v>0.0</v>
      </c>
      <c r="S33" s="1">
        <v>95.861712</v>
      </c>
    </row>
    <row r="34">
      <c r="A34" s="1" t="s">
        <v>239</v>
      </c>
      <c r="B34" s="1" t="s">
        <v>240</v>
      </c>
      <c r="C34" s="3" t="str">
        <f>'res122 Ari'!C34</f>
        <v>maybe</v>
      </c>
      <c r="D34" s="3" t="str">
        <f>'res122 Ari'!D34</f>
        <v/>
      </c>
      <c r="E34" s="3" t="str">
        <f>'res122 Summer'!C34</f>
        <v>no</v>
      </c>
      <c r="F34" s="3" t="str">
        <f>'res122 Summer'!D34</f>
        <v/>
      </c>
      <c r="G34" s="3" t="str">
        <f>'res122 Mary Shay'!C34</f>
        <v/>
      </c>
      <c r="H34" s="3" t="str">
        <f>'res122 Mary Shay'!D34</f>
        <v/>
      </c>
      <c r="I34" s="1" t="str">
        <f>IFERROR(__xludf.DUMMYFUNCTION("IFERROR(REGEXEXTRACT(E34, ""res(269|122)""), ""none"")"),"none")</f>
        <v>none</v>
      </c>
      <c r="J34" s="1">
        <v>-15.291041</v>
      </c>
      <c r="K34" s="1">
        <v>8.0</v>
      </c>
      <c r="L34" s="1">
        <v>3.0</v>
      </c>
      <c r="M34" s="1">
        <v>0.375</v>
      </c>
      <c r="N34" s="1">
        <v>2.0</v>
      </c>
      <c r="O34" s="1">
        <v>-0.739298999999999</v>
      </c>
      <c r="P34" s="1">
        <v>100.0</v>
      </c>
      <c r="Q34" s="1">
        <v>0.0</v>
      </c>
      <c r="R34" s="1">
        <v>0.0</v>
      </c>
      <c r="S34" s="1">
        <v>97.34466</v>
      </c>
    </row>
    <row r="35">
      <c r="A35" s="1" t="s">
        <v>241</v>
      </c>
      <c r="B35" s="1" t="s">
        <v>242</v>
      </c>
      <c r="C35" s="3" t="str">
        <f>'res122 Ari'!C35</f>
        <v>maybe</v>
      </c>
      <c r="D35" s="3" t="str">
        <f>'res122 Ari'!D35</f>
        <v/>
      </c>
      <c r="E35" s="3" t="str">
        <f>'res122 Summer'!C35</f>
        <v>no</v>
      </c>
      <c r="F35" s="3" t="str">
        <f>'res122 Summer'!D35</f>
        <v/>
      </c>
      <c r="G35" s="3" t="str">
        <f>'res122 Mary Shay'!C35</f>
        <v/>
      </c>
      <c r="H35" s="3" t="str">
        <f>'res122 Mary Shay'!D35</f>
        <v/>
      </c>
      <c r="I35" s="1" t="str">
        <f>IFERROR(__xludf.DUMMYFUNCTION("IFERROR(REGEXEXTRACT(E35, ""res(269|122)""), ""none"")"),"none")</f>
        <v>none</v>
      </c>
      <c r="J35" s="1">
        <v>-15.786774</v>
      </c>
      <c r="K35" s="1">
        <v>8.0</v>
      </c>
      <c r="L35" s="1">
        <v>4.0</v>
      </c>
      <c r="M35" s="1">
        <v>0.25</v>
      </c>
      <c r="N35" s="1">
        <v>3.0</v>
      </c>
      <c r="O35" s="1">
        <v>-1.312683</v>
      </c>
      <c r="P35" s="1">
        <v>100.0</v>
      </c>
      <c r="Q35" s="1">
        <v>0.0</v>
      </c>
      <c r="R35" s="1">
        <v>0.0</v>
      </c>
      <c r="S35" s="1">
        <v>98.150543</v>
      </c>
    </row>
    <row r="36">
      <c r="A36" s="1" t="s">
        <v>243</v>
      </c>
      <c r="B36" s="1" t="s">
        <v>244</v>
      </c>
      <c r="C36" s="3" t="str">
        <f>'res122 Ari'!C36</f>
        <v>maybe</v>
      </c>
      <c r="D36" s="3" t="str">
        <f>'res122 Ari'!D36</f>
        <v/>
      </c>
      <c r="E36" s="3" t="str">
        <f>'res122 Summer'!C36</f>
        <v>no</v>
      </c>
      <c r="F36" s="3" t="str">
        <f>'res122 Summer'!D36</f>
        <v/>
      </c>
      <c r="G36" s="3" t="str">
        <f>'res122 Mary Shay'!C36</f>
        <v/>
      </c>
      <c r="H36" s="3" t="str">
        <f>'res122 Mary Shay'!D36</f>
        <v/>
      </c>
      <c r="I36" s="1" t="str">
        <f>IFERROR(__xludf.DUMMYFUNCTION("IFERROR(REGEXEXTRACT(E36, ""res(269|122)""), ""none"")"),"none")</f>
        <v>none</v>
      </c>
      <c r="J36" s="1">
        <v>-15.074335</v>
      </c>
      <c r="K36" s="1">
        <v>8.0</v>
      </c>
      <c r="L36" s="1">
        <v>3.0</v>
      </c>
      <c r="M36" s="1">
        <v>0.25</v>
      </c>
      <c r="N36" s="1">
        <v>3.0</v>
      </c>
      <c r="O36" s="1">
        <v>-2.102802</v>
      </c>
      <c r="P36" s="1">
        <v>100.0</v>
      </c>
      <c r="Q36" s="1">
        <v>0.0</v>
      </c>
      <c r="R36" s="1">
        <v>0.0</v>
      </c>
      <c r="S36" s="1">
        <v>97.072863</v>
      </c>
    </row>
    <row r="37">
      <c r="A37" s="1" t="s">
        <v>245</v>
      </c>
      <c r="B37" s="1" t="s">
        <v>246</v>
      </c>
      <c r="C37" s="3" t="str">
        <f>'res122 Ari'!C37</f>
        <v>decent</v>
      </c>
      <c r="D37" s="3" t="str">
        <f>'res122 Ari'!D37</f>
        <v>this looks pretty good and the ring with S and N could maybe just flip to hit PHE111 a lot better</v>
      </c>
      <c r="E37" s="3" t="str">
        <f>'res122 Summer'!C37</f>
        <v>no</v>
      </c>
      <c r="F37" s="3" t="str">
        <f>'res122 Summer'!D37</f>
        <v/>
      </c>
      <c r="G37" s="3" t="str">
        <f>'res122 Mary Shay'!C37</f>
        <v/>
      </c>
      <c r="H37" s="3" t="str">
        <f>'res122 Mary Shay'!D37</f>
        <v/>
      </c>
      <c r="I37" s="1" t="str">
        <f>IFERROR(__xludf.DUMMYFUNCTION("IFERROR(REGEXEXTRACT(E37, ""res(269|122)""), ""none"")"),"none")</f>
        <v>none</v>
      </c>
      <c r="J37" s="1">
        <v>-16.056932</v>
      </c>
      <c r="K37" s="1">
        <v>7.0</v>
      </c>
      <c r="L37" s="1">
        <v>3.0</v>
      </c>
      <c r="M37" s="1">
        <v>0.571429</v>
      </c>
      <c r="N37" s="1">
        <v>2.0</v>
      </c>
      <c r="O37" s="1">
        <v>-0.884192</v>
      </c>
      <c r="P37" s="1">
        <v>100.0</v>
      </c>
      <c r="Q37" s="1">
        <v>0.0</v>
      </c>
      <c r="R37" s="1">
        <v>0.0</v>
      </c>
      <c r="S37" s="1">
        <v>95.630305</v>
      </c>
    </row>
    <row r="38">
      <c r="A38" s="1" t="s">
        <v>247</v>
      </c>
      <c r="B38" s="1" t="s">
        <v>110</v>
      </c>
      <c r="C38" s="3" t="str">
        <f>'res122 Ari'!C38</f>
        <v>maybe</v>
      </c>
      <c r="D38" s="3" t="str">
        <f>'res122 Ari'!D38</f>
        <v/>
      </c>
      <c r="E38" s="3" t="str">
        <f>'res122 Summer'!C38</f>
        <v>decent</v>
      </c>
      <c r="F38" s="3" t="str">
        <f>'res122 Summer'!D38</f>
        <v/>
      </c>
      <c r="G38" s="3" t="str">
        <f>'res122 Mary Shay'!C38</f>
        <v/>
      </c>
      <c r="H38" s="3" t="str">
        <f>'res122 Mary Shay'!D38</f>
        <v/>
      </c>
      <c r="I38" s="1" t="str">
        <f>IFERROR(__xludf.DUMMYFUNCTION("IFERROR(REGEXEXTRACT(E38, ""res(269|122)""), ""none"")"),"none")</f>
        <v>none</v>
      </c>
      <c r="J38" s="1">
        <v>-17.375967</v>
      </c>
      <c r="K38" s="1">
        <v>8.0</v>
      </c>
      <c r="L38" s="1">
        <v>3.0</v>
      </c>
      <c r="M38" s="1">
        <v>0.25</v>
      </c>
      <c r="N38" s="1">
        <v>2.0</v>
      </c>
      <c r="O38" s="1">
        <v>-1.320226</v>
      </c>
      <c r="P38" s="1">
        <v>100.0</v>
      </c>
      <c r="Q38" s="1">
        <v>0.0</v>
      </c>
      <c r="R38" s="1">
        <v>0.0</v>
      </c>
      <c r="S38" s="1">
        <v>94.553807</v>
      </c>
    </row>
    <row r="39">
      <c r="A39" s="1" t="s">
        <v>248</v>
      </c>
      <c r="B39" s="1" t="s">
        <v>249</v>
      </c>
      <c r="C39" s="3" t="str">
        <f>'res122 Ari'!C39</f>
        <v>maybe</v>
      </c>
      <c r="D39" s="3" t="str">
        <f>'res122 Ari'!D39</f>
        <v/>
      </c>
      <c r="E39" s="3" t="str">
        <f>'res122 Summer'!C39</f>
        <v>maybe</v>
      </c>
      <c r="F39" s="3" t="str">
        <f>'res122 Summer'!D39</f>
        <v>issue with carbonyl</v>
      </c>
      <c r="G39" s="3" t="str">
        <f>'res122 Mary Shay'!C39</f>
        <v/>
      </c>
      <c r="H39" s="3" t="str">
        <f>'res122 Mary Shay'!D39</f>
        <v/>
      </c>
      <c r="I39" s="1" t="str">
        <f>IFERROR(__xludf.DUMMYFUNCTION("IFERROR(REGEXEXTRACT(E39, ""res(269|122)""), ""none"")"),"none")</f>
        <v>none</v>
      </c>
      <c r="J39" s="1">
        <v>-17.093997</v>
      </c>
      <c r="K39" s="1">
        <v>10.0</v>
      </c>
      <c r="L39" s="1">
        <v>3.0</v>
      </c>
      <c r="M39" s="1">
        <v>0.3</v>
      </c>
      <c r="N39" s="1">
        <v>2.0</v>
      </c>
      <c r="O39" s="1">
        <v>-0.77841</v>
      </c>
      <c r="P39" s="1">
        <v>100.0</v>
      </c>
      <c r="Q39" s="1">
        <v>0.0</v>
      </c>
      <c r="R39" s="1">
        <v>0.0</v>
      </c>
      <c r="S39" s="1">
        <v>97.427593</v>
      </c>
    </row>
    <row r="40">
      <c r="A40" s="1" t="s">
        <v>250</v>
      </c>
      <c r="B40" s="1" t="s">
        <v>65</v>
      </c>
      <c r="C40" s="3" t="str">
        <f>'res122 Ari'!C40</f>
        <v>yes</v>
      </c>
      <c r="D40" s="3" t="str">
        <f>'res122 Ari'!D40</f>
        <v>I don't really see anything bad about this, it is stabilized with multiple hbonds across the pocket</v>
      </c>
      <c r="E40" s="3" t="str">
        <f>'res122 Summer'!C40</f>
        <v>yes</v>
      </c>
      <c r="F40" s="3" t="str">
        <f>'res122 Summer'!D40</f>
        <v/>
      </c>
      <c r="G40" s="3" t="str">
        <f>'res122 Mary Shay'!C40</f>
        <v/>
      </c>
      <c r="H40" s="3" t="str">
        <f>'res122 Mary Shay'!D40</f>
        <v/>
      </c>
      <c r="I40" s="1" t="str">
        <f>IFERROR(__xludf.DUMMYFUNCTION("IFERROR(REGEXEXTRACT(E40, ""res(269|122)""), ""none"")"),"none")</f>
        <v>none</v>
      </c>
      <c r="J40" s="1">
        <v>-17.086206</v>
      </c>
      <c r="K40" s="1">
        <v>7.0</v>
      </c>
      <c r="L40" s="1">
        <v>4.0</v>
      </c>
      <c r="M40" s="1">
        <v>0.285714</v>
      </c>
      <c r="N40" s="1">
        <v>3.0</v>
      </c>
      <c r="O40" s="1">
        <v>-1.038701</v>
      </c>
      <c r="P40" s="1">
        <v>100.0</v>
      </c>
      <c r="Q40" s="1">
        <v>0.0</v>
      </c>
      <c r="R40" s="1">
        <v>0.0</v>
      </c>
      <c r="S40" s="1">
        <v>96.160807</v>
      </c>
    </row>
    <row r="41">
      <c r="A41" s="1" t="s">
        <v>251</v>
      </c>
      <c r="B41" s="1" t="s">
        <v>69</v>
      </c>
      <c r="C41" s="3" t="str">
        <f>'res122 Ari'!C41</f>
        <v>decent</v>
      </c>
      <c r="D41" s="3" t="str">
        <f>'res122 Ari'!D41</f>
        <v/>
      </c>
      <c r="E41" s="3" t="str">
        <f>'res122 Summer'!C41</f>
        <v>decent</v>
      </c>
      <c r="F41" s="3" t="str">
        <f>'res122 Summer'!D41</f>
        <v>some issues with nitrogen hydrogens, but asn344 could rotate</v>
      </c>
      <c r="G41" s="3" t="str">
        <f>'res122 Mary Shay'!C41</f>
        <v/>
      </c>
      <c r="H41" s="3" t="str">
        <f>'res122 Mary Shay'!D41</f>
        <v/>
      </c>
      <c r="I41" s="1" t="str">
        <f>IFERROR(__xludf.DUMMYFUNCTION("IFERROR(REGEXEXTRACT(E41, ""res(269|122)""), ""none"")"),"none")</f>
        <v>none</v>
      </c>
      <c r="J41" s="1">
        <v>-15.386234</v>
      </c>
      <c r="K41" s="1">
        <v>11.0</v>
      </c>
      <c r="L41" s="1">
        <v>4.0</v>
      </c>
      <c r="M41" s="1">
        <v>0.454545</v>
      </c>
      <c r="N41" s="1">
        <v>2.0</v>
      </c>
      <c r="O41" s="1">
        <v>-0.508212</v>
      </c>
      <c r="P41" s="1">
        <v>100.0</v>
      </c>
      <c r="Q41" s="1">
        <v>0.0</v>
      </c>
      <c r="R41" s="1">
        <v>0.0</v>
      </c>
      <c r="S41" s="1">
        <v>101.560099</v>
      </c>
    </row>
    <row r="42">
      <c r="A42" s="1" t="s">
        <v>252</v>
      </c>
      <c r="B42" s="1" t="s">
        <v>114</v>
      </c>
      <c r="C42" s="3" t="str">
        <f>'res122 Ari'!C42</f>
        <v>decent</v>
      </c>
      <c r="D42" s="3" t="str">
        <f>'res122 Ari'!D42</f>
        <v/>
      </c>
      <c r="E42" s="3" t="str">
        <f>'res122 Summer'!C42</f>
        <v>maybe</v>
      </c>
      <c r="F42" s="3" t="str">
        <f>'res122 Summer'!D42</f>
        <v/>
      </c>
      <c r="G42" s="3" t="str">
        <f>'res122 Mary Shay'!C42</f>
        <v/>
      </c>
      <c r="H42" s="3" t="str">
        <f>'res122 Mary Shay'!D42</f>
        <v/>
      </c>
      <c r="I42" s="1" t="str">
        <f>IFERROR(__xludf.DUMMYFUNCTION("IFERROR(REGEXEXTRACT(E42, ""res(269|122)""), ""none"")"),"none")</f>
        <v>none</v>
      </c>
      <c r="J42" s="1">
        <v>-16.231911</v>
      </c>
      <c r="K42" s="1">
        <v>12.0</v>
      </c>
      <c r="L42" s="1">
        <v>2.0</v>
      </c>
      <c r="M42" s="1">
        <v>0.25</v>
      </c>
      <c r="N42" s="1">
        <v>2.0</v>
      </c>
      <c r="O42" s="1">
        <v>-0.38947</v>
      </c>
      <c r="P42" s="1">
        <v>100.0</v>
      </c>
      <c r="Q42" s="1">
        <v>0.0</v>
      </c>
      <c r="R42" s="1">
        <v>0.0</v>
      </c>
      <c r="S42" s="1">
        <v>99.628619</v>
      </c>
    </row>
    <row r="43">
      <c r="A43" s="1" t="s">
        <v>253</v>
      </c>
      <c r="B43" s="1" t="s">
        <v>254</v>
      </c>
      <c r="C43" s="3" t="str">
        <f>'res122 Ari'!C43</f>
        <v>maybe</v>
      </c>
      <c r="D43" s="3" t="str">
        <f>'res122 Ari'!D43</f>
        <v>if we trust that N ring to hit waters, it's probably fine</v>
      </c>
      <c r="E43" s="3" t="str">
        <f>'res122 Summer'!C43</f>
        <v>no</v>
      </c>
      <c r="F43" s="3" t="str">
        <f>'res122 Summer'!D43</f>
        <v/>
      </c>
      <c r="G43" s="3" t="str">
        <f>'res122 Mary Shay'!C43</f>
        <v/>
      </c>
      <c r="H43" s="3" t="str">
        <f>'res122 Mary Shay'!D43</f>
        <v/>
      </c>
      <c r="I43" s="1" t="str">
        <f>IFERROR(__xludf.DUMMYFUNCTION("IFERROR(REGEXEXTRACT(E43, ""res(269|122)""), ""none"")"),"none")</f>
        <v>none</v>
      </c>
      <c r="J43" s="1">
        <v>-15.527357</v>
      </c>
      <c r="K43" s="1">
        <v>8.0</v>
      </c>
      <c r="L43" s="1">
        <v>3.0</v>
      </c>
      <c r="M43" s="1">
        <v>0.25</v>
      </c>
      <c r="N43" s="1">
        <v>2.0</v>
      </c>
      <c r="O43" s="1">
        <v>-0.966032</v>
      </c>
      <c r="P43" s="1">
        <v>100.0</v>
      </c>
      <c r="Q43" s="1">
        <v>0.0</v>
      </c>
      <c r="R43" s="1">
        <v>0.0</v>
      </c>
      <c r="S43" s="1">
        <v>96.756611</v>
      </c>
    </row>
    <row r="44">
      <c r="A44" s="1" t="s">
        <v>255</v>
      </c>
      <c r="B44" s="1" t="s">
        <v>256</v>
      </c>
      <c r="C44" s="3" t="str">
        <f>'res122 Ari'!C44</f>
        <v>maybe</v>
      </c>
      <c r="D44" s="3" t="str">
        <f>'res122 Ari'!D44</f>
        <v/>
      </c>
      <c r="E44" s="3" t="str">
        <f>'res122 Summer'!C44</f>
        <v>maybe</v>
      </c>
      <c r="F44" s="3" t="str">
        <f>'res122 Summer'!D44</f>
        <v/>
      </c>
      <c r="G44" s="3" t="str">
        <f>'res122 Mary Shay'!C44</f>
        <v/>
      </c>
      <c r="H44" s="3" t="str">
        <f>'res122 Mary Shay'!D44</f>
        <v/>
      </c>
      <c r="I44" s="1" t="str">
        <f>IFERROR(__xludf.DUMMYFUNCTION("IFERROR(REGEXEXTRACT(E44, ""res(269|122)""), ""none"")"),"none")</f>
        <v>none</v>
      </c>
      <c r="J44" s="1">
        <v>-15.777823</v>
      </c>
      <c r="K44" s="1">
        <v>9.0</v>
      </c>
      <c r="L44" s="1">
        <v>4.0</v>
      </c>
      <c r="M44" s="1">
        <v>0.333333</v>
      </c>
      <c r="N44" s="1">
        <v>2.0</v>
      </c>
      <c r="O44" s="1">
        <v>-1.671146</v>
      </c>
      <c r="P44" s="1">
        <v>100.0</v>
      </c>
      <c r="Q44" s="1">
        <v>0.0</v>
      </c>
      <c r="R44" s="1">
        <v>0.0</v>
      </c>
      <c r="S44" s="1">
        <v>97.884364</v>
      </c>
    </row>
    <row r="45">
      <c r="C45" s="3"/>
      <c r="D45" s="3"/>
      <c r="E45" s="3"/>
      <c r="F45" s="3"/>
      <c r="G45" s="3" t="str">
        <f>'res122 Mary Shay'!C45</f>
        <v/>
      </c>
      <c r="H45" s="3" t="str">
        <f>'res122 Mary Shay'!D45</f>
        <v/>
      </c>
    </row>
    <row r="46">
      <c r="C46" s="3"/>
      <c r="D46" s="3"/>
      <c r="E46" s="3"/>
      <c r="F46" s="3"/>
      <c r="G46" s="3" t="str">
        <f>'res122 Mary Shay'!C46</f>
        <v/>
      </c>
      <c r="H46" s="3" t="str">
        <f>'res122 Mary Shay'!D46</f>
        <v/>
      </c>
    </row>
    <row r="47">
      <c r="C47" s="3"/>
      <c r="D47" s="3"/>
      <c r="E47" s="3"/>
      <c r="F47" s="3"/>
      <c r="G47" s="3" t="str">
        <f>'res122 Mary Shay'!C47</f>
        <v/>
      </c>
      <c r="H47" s="3" t="str">
        <f>'res122 Mary Shay'!D47</f>
        <v/>
      </c>
    </row>
    <row r="48">
      <c r="C48" s="3"/>
      <c r="D48" s="3"/>
      <c r="E48" s="3"/>
      <c r="F48" s="3"/>
      <c r="G48" s="3" t="str">
        <f>'res122 Mary Shay'!C48</f>
        <v/>
      </c>
      <c r="H48" s="3" t="str">
        <f>'res122 Mary Shay'!D48</f>
        <v/>
      </c>
    </row>
    <row r="49">
      <c r="C49" s="3"/>
      <c r="D49" s="3"/>
      <c r="E49" s="3"/>
      <c r="F49" s="3"/>
      <c r="G49" s="3" t="str">
        <f>'res122 Mary Shay'!C49</f>
        <v/>
      </c>
      <c r="H49" s="3" t="str">
        <f>'res122 Mary Shay'!D49</f>
        <v/>
      </c>
    </row>
    <row r="50">
      <c r="C50" s="3"/>
      <c r="D50" s="3"/>
      <c r="E50" s="3"/>
      <c r="F50" s="3"/>
      <c r="G50" s="3" t="str">
        <f>'res122 Mary Shay'!C50</f>
        <v/>
      </c>
      <c r="H50" s="3" t="str">
        <f>'res122 Mary Shay'!D50</f>
        <v/>
      </c>
    </row>
    <row r="51">
      <c r="C51" s="3"/>
      <c r="D51" s="3"/>
      <c r="E51" s="3"/>
      <c r="F51" s="3"/>
      <c r="G51" s="3" t="str">
        <f>'res122 Mary Shay'!C51</f>
        <v/>
      </c>
      <c r="H51" s="3" t="str">
        <f>'res122 Mary Shay'!D51</f>
        <v/>
      </c>
    </row>
    <row r="52">
      <c r="C52" s="3"/>
      <c r="D52" s="3"/>
      <c r="E52" s="3"/>
      <c r="F52" s="3"/>
      <c r="G52" s="3" t="str">
        <f>'res122 Mary Shay'!C52</f>
        <v/>
      </c>
      <c r="H52" s="3" t="str">
        <f>'res122 Mary Shay'!D52</f>
        <v/>
      </c>
    </row>
    <row r="53">
      <c r="C53" s="3"/>
      <c r="D53" s="3"/>
      <c r="E53" s="3"/>
      <c r="F53" s="3"/>
      <c r="G53" s="3" t="str">
        <f>'res122 Mary Shay'!C53</f>
        <v/>
      </c>
      <c r="H53" s="3" t="str">
        <f>'res122 Mary Shay'!D53</f>
        <v/>
      </c>
    </row>
    <row r="54">
      <c r="C54" s="3"/>
      <c r="D54" s="3"/>
      <c r="E54" s="3"/>
      <c r="F54" s="3"/>
      <c r="G54" s="3" t="str">
        <f>'res122 Mary Shay'!C54</f>
        <v/>
      </c>
      <c r="H54" s="3" t="str">
        <f>'res122 Mary Shay'!D54</f>
        <v/>
      </c>
    </row>
    <row r="55">
      <c r="C55" s="3"/>
      <c r="D55" s="3"/>
      <c r="E55" s="3"/>
      <c r="F55" s="3"/>
      <c r="G55" s="3" t="str">
        <f>'res122 Mary Shay'!C55</f>
        <v/>
      </c>
      <c r="H55" s="3" t="str">
        <f>'res122 Mary Shay'!D55</f>
        <v/>
      </c>
    </row>
    <row r="56">
      <c r="C56" s="3"/>
      <c r="D56" s="3"/>
      <c r="E56" s="3"/>
      <c r="F56" s="3"/>
      <c r="G56" s="3" t="str">
        <f>'res122 Mary Shay'!C56</f>
        <v/>
      </c>
      <c r="H56" s="3" t="str">
        <f>'res122 Mary Shay'!D56</f>
        <v/>
      </c>
    </row>
    <row r="57">
      <c r="C57" s="3"/>
      <c r="D57" s="3"/>
      <c r="E57" s="3"/>
      <c r="F57" s="3"/>
      <c r="G57" s="3" t="str">
        <f>'res122 Mary Shay'!C57</f>
        <v/>
      </c>
      <c r="H57" s="3" t="str">
        <f>'res122 Mary Shay'!D57</f>
        <v/>
      </c>
    </row>
    <row r="58">
      <c r="C58" s="3"/>
      <c r="D58" s="3"/>
      <c r="E58" s="3"/>
      <c r="F58" s="3"/>
      <c r="G58" s="3" t="str">
        <f>'res122 Mary Shay'!C58</f>
        <v/>
      </c>
      <c r="H58" s="3" t="str">
        <f>'res122 Mary Shay'!D58</f>
        <v/>
      </c>
    </row>
    <row r="59">
      <c r="C59" s="3"/>
      <c r="D59" s="3"/>
      <c r="E59" s="3"/>
      <c r="F59" s="3"/>
      <c r="G59" s="3" t="str">
        <f>'res122 Mary Shay'!C59</f>
        <v/>
      </c>
      <c r="H59" s="3" t="str">
        <f>'res122 Mary Shay'!D59</f>
        <v/>
      </c>
    </row>
    <row r="60">
      <c r="C60" s="3"/>
      <c r="D60" s="3"/>
      <c r="E60" s="3"/>
      <c r="F60" s="3"/>
      <c r="G60" s="3" t="str">
        <f>'res122 Mary Shay'!C60</f>
        <v/>
      </c>
      <c r="H60" s="3" t="str">
        <f>'res122 Mary Shay'!D60</f>
        <v/>
      </c>
    </row>
    <row r="61">
      <c r="C61" s="3"/>
      <c r="D61" s="3"/>
      <c r="E61" s="3"/>
      <c r="F61" s="3"/>
      <c r="G61" s="3" t="str">
        <f>'res122 Mary Shay'!C61</f>
        <v/>
      </c>
      <c r="H61" s="3" t="str">
        <f>'res122 Mary Shay'!D61</f>
        <v/>
      </c>
    </row>
    <row r="62">
      <c r="C62" s="3"/>
      <c r="D62" s="3"/>
      <c r="E62" s="3"/>
      <c r="F62" s="3"/>
      <c r="G62" s="3" t="str">
        <f>'res122 Mary Shay'!C62</f>
        <v/>
      </c>
      <c r="H62" s="3" t="str">
        <f>'res122 Mary Shay'!D62</f>
        <v/>
      </c>
    </row>
    <row r="63">
      <c r="C63" s="3"/>
      <c r="D63" s="3"/>
      <c r="E63" s="3"/>
      <c r="F63" s="3"/>
      <c r="G63" s="3" t="str">
        <f>'res122 Mary Shay'!C63</f>
        <v/>
      </c>
      <c r="H63" s="3" t="str">
        <f>'res122 Mary Shay'!D63</f>
        <v/>
      </c>
    </row>
    <row r="64">
      <c r="C64" s="3"/>
      <c r="D64" s="3"/>
      <c r="E64" s="3"/>
      <c r="F64" s="3"/>
      <c r="G64" s="3" t="str">
        <f>'res122 Mary Shay'!C64</f>
        <v/>
      </c>
      <c r="H64" s="3" t="str">
        <f>'res122 Mary Shay'!D64</f>
        <v/>
      </c>
    </row>
    <row r="65">
      <c r="C65" s="3"/>
      <c r="D65" s="3"/>
      <c r="E65" s="3"/>
      <c r="F65" s="3"/>
      <c r="G65" s="3" t="str">
        <f>'res122 Mary Shay'!C65</f>
        <v/>
      </c>
      <c r="H65" s="3" t="str">
        <f>'res122 Mary Shay'!D65</f>
        <v/>
      </c>
    </row>
    <row r="66">
      <c r="C66" s="3"/>
      <c r="D66" s="3"/>
      <c r="E66" s="3"/>
      <c r="F66" s="3"/>
      <c r="G66" s="3" t="str">
        <f>'res122 Mary Shay'!C66</f>
        <v/>
      </c>
      <c r="H66" s="3" t="str">
        <f>'res122 Mary Shay'!D66</f>
        <v/>
      </c>
    </row>
    <row r="67">
      <c r="C67" s="3"/>
      <c r="D67" s="3"/>
      <c r="E67" s="3"/>
      <c r="F67" s="3"/>
      <c r="G67" s="3" t="str">
        <f>'res122 Mary Shay'!C67</f>
        <v/>
      </c>
      <c r="H67" s="3" t="str">
        <f>'res122 Mary Shay'!D67</f>
        <v/>
      </c>
    </row>
    <row r="68">
      <c r="C68" s="3"/>
      <c r="D68" s="3"/>
      <c r="E68" s="3"/>
      <c r="F68" s="3"/>
      <c r="G68" s="3" t="str">
        <f>'res122 Mary Shay'!C68</f>
        <v/>
      </c>
      <c r="H68" s="3" t="str">
        <f>'res122 Mary Shay'!D68</f>
        <v/>
      </c>
    </row>
    <row r="69">
      <c r="C69" s="3"/>
      <c r="D69" s="3"/>
      <c r="E69" s="3"/>
      <c r="F69" s="3"/>
      <c r="G69" s="3" t="str">
        <f>'res122 Mary Shay'!C69</f>
        <v/>
      </c>
      <c r="H69" s="3" t="str">
        <f>'res122 Mary Shay'!D69</f>
        <v/>
      </c>
    </row>
    <row r="70">
      <c r="C70" s="3"/>
      <c r="D70" s="3"/>
      <c r="E70" s="3"/>
      <c r="F70" s="3"/>
      <c r="G70" s="3" t="str">
        <f>'res122 Mary Shay'!C70</f>
        <v/>
      </c>
      <c r="H70" s="3" t="str">
        <f>'res122 Mary Shay'!D70</f>
        <v/>
      </c>
    </row>
    <row r="71">
      <c r="C71" s="3"/>
      <c r="D71" s="3"/>
      <c r="E71" s="3"/>
      <c r="F71" s="3"/>
      <c r="G71" s="3" t="str">
        <f>'res122 Mary Shay'!C71</f>
        <v/>
      </c>
      <c r="H71" s="3" t="str">
        <f>'res122 Mary Shay'!D71</f>
        <v/>
      </c>
    </row>
    <row r="72">
      <c r="C72" s="3"/>
      <c r="D72" s="3"/>
      <c r="E72" s="3"/>
      <c r="F72" s="3"/>
      <c r="G72" s="3" t="str">
        <f>'res122 Mary Shay'!C72</f>
        <v/>
      </c>
      <c r="H72" s="3" t="str">
        <f>'res122 Mary Shay'!D72</f>
        <v/>
      </c>
    </row>
    <row r="73">
      <c r="C73" s="3"/>
      <c r="D73" s="3"/>
      <c r="E73" s="3"/>
      <c r="F73" s="3"/>
      <c r="G73" s="3" t="str">
        <f>'res122 Mary Shay'!C73</f>
        <v/>
      </c>
      <c r="H73" s="3" t="str">
        <f>'res122 Mary Shay'!D73</f>
        <v/>
      </c>
    </row>
    <row r="74">
      <c r="C74" s="3"/>
      <c r="D74" s="3"/>
      <c r="E74" s="3"/>
      <c r="F74" s="3"/>
      <c r="G74" s="3" t="str">
        <f>'res122 Mary Shay'!C74</f>
        <v/>
      </c>
      <c r="H74" s="3" t="str">
        <f>'res122 Mary Shay'!D74</f>
        <v/>
      </c>
    </row>
    <row r="75">
      <c r="C75" s="3"/>
      <c r="D75" s="3"/>
      <c r="E75" s="3"/>
      <c r="F75" s="3"/>
      <c r="G75" s="3" t="str">
        <f>'res122 Mary Shay'!C75</f>
        <v/>
      </c>
      <c r="H75" s="3" t="str">
        <f>'res122 Mary Shay'!D75</f>
        <v/>
      </c>
    </row>
    <row r="76">
      <c r="C76" s="3"/>
      <c r="D76" s="3"/>
      <c r="E76" s="3"/>
      <c r="F76" s="3"/>
      <c r="G76" s="3" t="str">
        <f>'res122 Mary Shay'!C76</f>
        <v/>
      </c>
      <c r="H76" s="3" t="str">
        <f>'res122 Mary Shay'!D76</f>
        <v/>
      </c>
    </row>
    <row r="77">
      <c r="C77" s="3"/>
      <c r="D77" s="3"/>
      <c r="E77" s="3"/>
      <c r="F77" s="3"/>
      <c r="G77" s="3" t="str">
        <f>'res122 Mary Shay'!C77</f>
        <v/>
      </c>
      <c r="H77" s="3" t="str">
        <f>'res122 Mary Shay'!D77</f>
        <v/>
      </c>
    </row>
    <row r="78">
      <c r="C78" s="3"/>
      <c r="D78" s="3"/>
      <c r="E78" s="3"/>
      <c r="F78" s="3"/>
      <c r="G78" s="3" t="str">
        <f>'res122 Mary Shay'!C78</f>
        <v/>
      </c>
      <c r="H78" s="3" t="str">
        <f>'res122 Mary Shay'!D78</f>
        <v/>
      </c>
    </row>
    <row r="79">
      <c r="C79" s="3"/>
      <c r="D79" s="3"/>
      <c r="E79" s="3"/>
      <c r="F79" s="3"/>
      <c r="G79" s="3" t="str">
        <f>'res122 Mary Shay'!C79</f>
        <v/>
      </c>
      <c r="H79" s="3" t="str">
        <f>'res122 Mary Shay'!D79</f>
        <v/>
      </c>
    </row>
    <row r="80">
      <c r="C80" s="3"/>
      <c r="D80" s="3"/>
      <c r="E80" s="3"/>
      <c r="F80" s="3"/>
      <c r="G80" s="3" t="str">
        <f>'res122 Mary Shay'!C80</f>
        <v/>
      </c>
      <c r="H80" s="3" t="str">
        <f>'res122 Mary Shay'!D80</f>
        <v/>
      </c>
    </row>
    <row r="81">
      <c r="C81" s="3"/>
      <c r="D81" s="3"/>
      <c r="E81" s="3"/>
      <c r="F81" s="3"/>
      <c r="G81" s="3" t="str">
        <f>'res122 Mary Shay'!C81</f>
        <v/>
      </c>
      <c r="H81" s="3" t="str">
        <f>'res122 Mary Shay'!D81</f>
        <v/>
      </c>
    </row>
    <row r="82">
      <c r="C82" s="3"/>
      <c r="D82" s="3"/>
      <c r="E82" s="3"/>
      <c r="F82" s="3"/>
      <c r="G82" s="3" t="str">
        <f>'res122 Mary Shay'!C82</f>
        <v/>
      </c>
      <c r="H82" s="3" t="str">
        <f>'res122 Mary Shay'!D82</f>
        <v/>
      </c>
    </row>
    <row r="83">
      <c r="C83" s="3"/>
      <c r="D83" s="3"/>
      <c r="E83" s="3"/>
      <c r="F83" s="3"/>
      <c r="G83" s="3" t="str">
        <f>'res122 Mary Shay'!C83</f>
        <v/>
      </c>
      <c r="H83" s="3" t="str">
        <f>'res122 Mary Shay'!D83</f>
        <v/>
      </c>
    </row>
    <row r="84">
      <c r="C84" s="3"/>
      <c r="D84" s="3"/>
      <c r="E84" s="3"/>
      <c r="F84" s="3"/>
      <c r="G84" s="3" t="str">
        <f>'res122 Mary Shay'!C84</f>
        <v/>
      </c>
      <c r="H84" s="3" t="str">
        <f>'res122 Mary Shay'!D84</f>
        <v/>
      </c>
    </row>
    <row r="85">
      <c r="C85" s="3"/>
      <c r="D85" s="3"/>
      <c r="E85" s="3"/>
      <c r="F85" s="3"/>
      <c r="G85" s="3" t="str">
        <f>'res122 Mary Shay'!C85</f>
        <v/>
      </c>
      <c r="H85" s="3" t="str">
        <f>'res122 Mary Shay'!D85</f>
        <v/>
      </c>
    </row>
    <row r="86">
      <c r="C86" s="3"/>
      <c r="D86" s="3"/>
      <c r="E86" s="3"/>
      <c r="F86" s="3"/>
      <c r="G86" s="3" t="str">
        <f>'res122 Mary Shay'!C86</f>
        <v/>
      </c>
      <c r="H86" s="3" t="str">
        <f>'res122 Mary Shay'!D86</f>
        <v/>
      </c>
    </row>
    <row r="87">
      <c r="C87" s="3"/>
      <c r="D87" s="3"/>
      <c r="E87" s="3"/>
      <c r="F87" s="3"/>
      <c r="G87" s="3" t="str">
        <f>'res122 Mary Shay'!C87</f>
        <v/>
      </c>
      <c r="H87" s="3" t="str">
        <f>'res122 Mary Shay'!D87</f>
        <v/>
      </c>
    </row>
    <row r="88">
      <c r="C88" s="3"/>
      <c r="D88" s="3"/>
      <c r="E88" s="3"/>
      <c r="F88" s="3"/>
      <c r="G88" s="3" t="str">
        <f>'res122 Mary Shay'!C88</f>
        <v/>
      </c>
      <c r="H88" s="3" t="str">
        <f>'res122 Mary Shay'!D88</f>
        <v/>
      </c>
    </row>
    <row r="89">
      <c r="C89" s="3"/>
      <c r="D89" s="3"/>
      <c r="E89" s="3"/>
      <c r="F89" s="3"/>
      <c r="G89" s="3" t="str">
        <f>'res122 Mary Shay'!C89</f>
        <v/>
      </c>
      <c r="H89" s="3" t="str">
        <f>'res122 Mary Shay'!D89</f>
        <v/>
      </c>
    </row>
    <row r="90">
      <c r="C90" s="3"/>
      <c r="D90" s="3"/>
      <c r="E90" s="3"/>
      <c r="F90" s="3"/>
      <c r="G90" s="3" t="str">
        <f>'res122 Mary Shay'!C90</f>
        <v/>
      </c>
      <c r="H90" s="3" t="str">
        <f>'res122 Mary Shay'!D90</f>
        <v/>
      </c>
    </row>
    <row r="91">
      <c r="C91" s="3"/>
      <c r="D91" s="3"/>
      <c r="E91" s="3"/>
      <c r="F91" s="3"/>
      <c r="G91" s="3" t="str">
        <f>'res122 Mary Shay'!C91</f>
        <v/>
      </c>
      <c r="H91" s="3" t="str">
        <f>'res122 Mary Shay'!D91</f>
        <v/>
      </c>
    </row>
    <row r="92">
      <c r="C92" s="3"/>
      <c r="D92" s="3"/>
      <c r="E92" s="3"/>
      <c r="F92" s="3"/>
      <c r="G92" s="3" t="str">
        <f>'res122 Mary Shay'!C92</f>
        <v/>
      </c>
      <c r="H92" s="3" t="str">
        <f>'res122 Mary Shay'!D92</f>
        <v/>
      </c>
    </row>
    <row r="93">
      <c r="C93" s="3"/>
      <c r="D93" s="3"/>
      <c r="E93" s="3"/>
      <c r="F93" s="3"/>
      <c r="G93" s="3" t="str">
        <f>'res122 Mary Shay'!C93</f>
        <v/>
      </c>
      <c r="H93" s="3" t="str">
        <f>'res122 Mary Shay'!D93</f>
        <v/>
      </c>
    </row>
    <row r="94">
      <c r="C94" s="3"/>
      <c r="D94" s="3"/>
      <c r="E94" s="3"/>
      <c r="F94" s="3"/>
      <c r="G94" s="3" t="str">
        <f>'res122 Mary Shay'!C94</f>
        <v/>
      </c>
      <c r="H94" s="3" t="str">
        <f>'res122 Mary Shay'!D94</f>
        <v/>
      </c>
    </row>
    <row r="95">
      <c r="C95" s="3"/>
      <c r="D95" s="3"/>
      <c r="E95" s="3"/>
      <c r="F95" s="3"/>
      <c r="G95" s="3" t="str">
        <f>'res122 Mary Shay'!C95</f>
        <v/>
      </c>
      <c r="H95" s="3" t="str">
        <f>'res122 Mary Shay'!D95</f>
        <v/>
      </c>
    </row>
    <row r="96">
      <c r="C96" s="3"/>
      <c r="D96" s="3"/>
      <c r="E96" s="3"/>
      <c r="F96" s="3"/>
      <c r="G96" s="3" t="str">
        <f>'res122 Mary Shay'!C96</f>
        <v/>
      </c>
      <c r="H96" s="3" t="str">
        <f>'res122 Mary Shay'!D96</f>
        <v/>
      </c>
    </row>
    <row r="97">
      <c r="C97" s="3"/>
      <c r="D97" s="3"/>
      <c r="E97" s="3"/>
      <c r="F97" s="3"/>
      <c r="G97" s="3" t="str">
        <f>'res122 Mary Shay'!C97</f>
        <v/>
      </c>
      <c r="H97" s="3" t="str">
        <f>'res122 Mary Shay'!D97</f>
        <v/>
      </c>
    </row>
    <row r="98">
      <c r="C98" s="3"/>
      <c r="D98" s="3"/>
      <c r="E98" s="3"/>
      <c r="F98" s="3"/>
      <c r="G98" s="3" t="str">
        <f>'res122 Mary Shay'!C98</f>
        <v/>
      </c>
      <c r="H98" s="3" t="str">
        <f>'res122 Mary Shay'!D98</f>
        <v/>
      </c>
    </row>
    <row r="99">
      <c r="C99" s="3"/>
      <c r="D99" s="3"/>
      <c r="E99" s="3"/>
      <c r="F99" s="3"/>
      <c r="G99" s="3" t="str">
        <f>'res122 Mary Shay'!C99</f>
        <v/>
      </c>
      <c r="H99" s="3" t="str">
        <f>'res122 Mary Shay'!D99</f>
        <v/>
      </c>
    </row>
    <row r="100">
      <c r="C100" s="3"/>
      <c r="D100" s="3"/>
      <c r="E100" s="3"/>
      <c r="F100" s="3"/>
      <c r="G100" s="3" t="str">
        <f>'res122 Mary Shay'!C100</f>
        <v/>
      </c>
      <c r="H100" s="3" t="str">
        <f>'res122 Mary Shay'!D100</f>
        <v/>
      </c>
    </row>
    <row r="101">
      <c r="C101" s="3"/>
      <c r="D101" s="3"/>
      <c r="E101" s="3"/>
      <c r="F101" s="3"/>
      <c r="G101" s="3" t="str">
        <f>'res122 Mary Shay'!C101</f>
        <v/>
      </c>
      <c r="H101" s="3" t="str">
        <f>'res122 Mary Shay'!D101</f>
        <v/>
      </c>
    </row>
    <row r="102">
      <c r="C102" s="3"/>
      <c r="D102" s="3"/>
      <c r="E102" s="3"/>
      <c r="F102" s="3"/>
      <c r="G102" s="3" t="str">
        <f>'res122 Mary Shay'!C102</f>
        <v/>
      </c>
      <c r="H102" s="3" t="str">
        <f>'res122 Mary Shay'!D102</f>
        <v/>
      </c>
    </row>
    <row r="103">
      <c r="C103" s="3"/>
      <c r="D103" s="3"/>
      <c r="E103" s="3"/>
      <c r="F103" s="3"/>
      <c r="G103" s="3" t="str">
        <f>'res122 Mary Shay'!C103</f>
        <v/>
      </c>
      <c r="H103" s="3" t="str">
        <f>'res122 Mary Shay'!D103</f>
        <v/>
      </c>
    </row>
    <row r="104">
      <c r="C104" s="3"/>
      <c r="D104" s="3"/>
      <c r="E104" s="3"/>
      <c r="F104" s="3"/>
      <c r="G104" s="3" t="str">
        <f>'res122 Mary Shay'!C104</f>
        <v/>
      </c>
      <c r="H104" s="3" t="str">
        <f>'res122 Mary Shay'!D104</f>
        <v/>
      </c>
    </row>
    <row r="105">
      <c r="C105" s="3"/>
      <c r="D105" s="3"/>
      <c r="E105" s="3"/>
      <c r="F105" s="3"/>
      <c r="G105" s="3" t="str">
        <f>'res122 Mary Shay'!C105</f>
        <v/>
      </c>
      <c r="H105" s="3" t="str">
        <f>'res122 Mary Shay'!D105</f>
        <v/>
      </c>
    </row>
    <row r="106">
      <c r="C106" s="3"/>
      <c r="D106" s="3"/>
      <c r="E106" s="3"/>
      <c r="F106" s="3"/>
      <c r="G106" s="3" t="str">
        <f>'res122 Mary Shay'!C106</f>
        <v/>
      </c>
      <c r="H106" s="3" t="str">
        <f>'res122 Mary Shay'!D106</f>
        <v/>
      </c>
    </row>
    <row r="107">
      <c r="C107" s="3"/>
      <c r="D107" s="3"/>
      <c r="E107" s="3"/>
      <c r="F107" s="3"/>
      <c r="G107" s="3" t="str">
        <f>'res122 Mary Shay'!C107</f>
        <v/>
      </c>
      <c r="H107" s="3" t="str">
        <f>'res122 Mary Shay'!D107</f>
        <v/>
      </c>
    </row>
    <row r="108">
      <c r="C108" s="3"/>
      <c r="D108" s="3"/>
      <c r="E108" s="3"/>
      <c r="F108" s="3"/>
      <c r="G108" s="3" t="str">
        <f>'res122 Mary Shay'!C108</f>
        <v/>
      </c>
      <c r="H108" s="3" t="str">
        <f>'res122 Mary Shay'!D108</f>
        <v/>
      </c>
    </row>
    <row r="109">
      <c r="C109" s="3"/>
      <c r="D109" s="3"/>
      <c r="E109" s="3"/>
      <c r="F109" s="3"/>
      <c r="G109" s="3" t="str">
        <f>'res122 Mary Shay'!C109</f>
        <v/>
      </c>
      <c r="H109" s="3" t="str">
        <f>'res122 Mary Shay'!D109</f>
        <v/>
      </c>
    </row>
    <row r="110">
      <c r="C110" s="3"/>
      <c r="D110" s="3"/>
      <c r="E110" s="3"/>
      <c r="F110" s="3"/>
      <c r="G110" s="3" t="str">
        <f>'res122 Mary Shay'!C110</f>
        <v/>
      </c>
      <c r="H110" s="3" t="str">
        <f>'res122 Mary Shay'!D110</f>
        <v/>
      </c>
    </row>
    <row r="111">
      <c r="C111" s="3"/>
      <c r="D111" s="3"/>
      <c r="E111" s="3"/>
      <c r="F111" s="3"/>
      <c r="G111" s="3" t="str">
        <f>'res122 Mary Shay'!C111</f>
        <v/>
      </c>
      <c r="H111" s="3" t="str">
        <f>'res122 Mary Shay'!D111</f>
        <v/>
      </c>
    </row>
    <row r="112">
      <c r="C112" s="3"/>
      <c r="D112" s="3"/>
      <c r="E112" s="3"/>
      <c r="F112" s="3"/>
      <c r="G112" s="3" t="str">
        <f>'res122 Mary Shay'!C112</f>
        <v/>
      </c>
      <c r="H112" s="3" t="str">
        <f>'res122 Mary Shay'!D112</f>
        <v/>
      </c>
    </row>
    <row r="113">
      <c r="C113" s="3"/>
      <c r="D113" s="3"/>
      <c r="E113" s="3"/>
      <c r="F113" s="3"/>
      <c r="G113" s="3" t="str">
        <f>'res122 Mary Shay'!C113</f>
        <v/>
      </c>
      <c r="H113" s="3" t="str">
        <f>'res122 Mary Shay'!D113</f>
        <v/>
      </c>
    </row>
    <row r="114">
      <c r="C114" s="3"/>
      <c r="D114" s="3"/>
      <c r="E114" s="3"/>
      <c r="F114" s="3"/>
      <c r="G114" s="3" t="str">
        <f>'res122 Mary Shay'!C114</f>
        <v/>
      </c>
      <c r="H114" s="3" t="str">
        <f>'res122 Mary Shay'!D114</f>
        <v/>
      </c>
    </row>
    <row r="115">
      <c r="C115" s="3"/>
      <c r="D115" s="3"/>
      <c r="E115" s="3"/>
      <c r="F115" s="3"/>
      <c r="G115" s="3" t="str">
        <f>'res122 Mary Shay'!C115</f>
        <v/>
      </c>
      <c r="H115" s="3" t="str">
        <f>'res122 Mary Shay'!D115</f>
        <v/>
      </c>
    </row>
    <row r="116">
      <c r="C116" s="3"/>
      <c r="D116" s="3"/>
      <c r="E116" s="3"/>
      <c r="F116" s="3"/>
      <c r="G116" s="3" t="str">
        <f>'res122 Mary Shay'!C116</f>
        <v/>
      </c>
      <c r="H116" s="3" t="str">
        <f>'res122 Mary Shay'!D116</f>
        <v/>
      </c>
    </row>
    <row r="117">
      <c r="C117" s="3"/>
      <c r="D117" s="3"/>
      <c r="E117" s="3"/>
      <c r="F117" s="3"/>
      <c r="G117" s="3" t="str">
        <f>'res122 Mary Shay'!C117</f>
        <v/>
      </c>
      <c r="H117" s="3" t="str">
        <f>'res122 Mary Shay'!D117</f>
        <v/>
      </c>
    </row>
    <row r="118">
      <c r="C118" s="3"/>
      <c r="D118" s="3"/>
      <c r="E118" s="3"/>
      <c r="F118" s="3"/>
      <c r="G118" s="3" t="str">
        <f>'res122 Mary Shay'!C118</f>
        <v/>
      </c>
      <c r="H118" s="3" t="str">
        <f>'res122 Mary Shay'!D118</f>
        <v/>
      </c>
    </row>
    <row r="119">
      <c r="C119" s="3"/>
      <c r="D119" s="3"/>
      <c r="E119" s="3"/>
      <c r="F119" s="3"/>
      <c r="G119" s="3" t="str">
        <f>'res122 Mary Shay'!C119</f>
        <v/>
      </c>
      <c r="H119" s="3" t="str">
        <f>'res122 Mary Shay'!D119</f>
        <v/>
      </c>
    </row>
    <row r="120">
      <c r="C120" s="3"/>
      <c r="D120" s="3"/>
      <c r="E120" s="3"/>
      <c r="F120" s="3"/>
      <c r="G120" s="3" t="str">
        <f>'res122 Mary Shay'!C120</f>
        <v/>
      </c>
      <c r="H120" s="3" t="str">
        <f>'res122 Mary Shay'!D120</f>
        <v/>
      </c>
    </row>
    <row r="121">
      <c r="C121" s="3"/>
      <c r="D121" s="3"/>
      <c r="E121" s="3"/>
      <c r="F121" s="3"/>
      <c r="G121" s="3" t="str">
        <f>'res122 Mary Shay'!C121</f>
        <v/>
      </c>
      <c r="H121" s="3" t="str">
        <f>'res122 Mary Shay'!D121</f>
        <v/>
      </c>
    </row>
    <row r="122">
      <c r="C122" s="3"/>
      <c r="D122" s="3"/>
      <c r="E122" s="3"/>
      <c r="F122" s="3"/>
      <c r="G122" s="3" t="str">
        <f>'res122 Mary Shay'!C122</f>
        <v/>
      </c>
      <c r="H122" s="3" t="str">
        <f>'res122 Mary Shay'!D122</f>
        <v/>
      </c>
    </row>
    <row r="123">
      <c r="C123" s="3"/>
      <c r="D123" s="3"/>
      <c r="E123" s="3"/>
      <c r="F123" s="3"/>
      <c r="G123" s="3" t="str">
        <f>'res122 Mary Shay'!C123</f>
        <v/>
      </c>
      <c r="H123" s="3" t="str">
        <f>'res122 Mary Shay'!D123</f>
        <v/>
      </c>
    </row>
    <row r="124">
      <c r="C124" s="3"/>
      <c r="D124" s="3"/>
      <c r="E124" s="3"/>
      <c r="F124" s="3"/>
      <c r="G124" s="3" t="str">
        <f>'res122 Mary Shay'!C124</f>
        <v/>
      </c>
      <c r="H124" s="3" t="str">
        <f>'res122 Mary Shay'!D124</f>
        <v/>
      </c>
    </row>
    <row r="125">
      <c r="C125" s="3"/>
      <c r="D125" s="3"/>
      <c r="E125" s="3"/>
      <c r="F125" s="3"/>
      <c r="G125" s="3" t="str">
        <f>'res122 Mary Shay'!C125</f>
        <v/>
      </c>
      <c r="H125" s="3" t="str">
        <f>'res122 Mary Shay'!D125</f>
        <v/>
      </c>
    </row>
    <row r="126">
      <c r="C126" s="3"/>
      <c r="D126" s="3"/>
      <c r="E126" s="3"/>
      <c r="F126" s="3"/>
      <c r="G126" s="3" t="str">
        <f>'res122 Mary Shay'!C126</f>
        <v/>
      </c>
      <c r="H126" s="3" t="str">
        <f>'res122 Mary Shay'!D126</f>
        <v/>
      </c>
    </row>
    <row r="127">
      <c r="C127" s="3"/>
      <c r="D127" s="3"/>
      <c r="E127" s="3"/>
      <c r="F127" s="3"/>
      <c r="G127" s="3" t="str">
        <f>'res122 Mary Shay'!C127</f>
        <v/>
      </c>
      <c r="H127" s="3" t="str">
        <f>'res122 Mary Shay'!D127</f>
        <v/>
      </c>
    </row>
    <row r="128">
      <c r="C128" s="3"/>
      <c r="D128" s="3"/>
      <c r="E128" s="3"/>
      <c r="F128" s="3"/>
      <c r="G128" s="3" t="str">
        <f>'res122 Mary Shay'!C128</f>
        <v/>
      </c>
      <c r="H128" s="3" t="str">
        <f>'res122 Mary Shay'!D128</f>
        <v/>
      </c>
    </row>
    <row r="129">
      <c r="C129" s="3"/>
      <c r="D129" s="3"/>
      <c r="E129" s="3"/>
      <c r="F129" s="3"/>
      <c r="G129" s="3" t="str">
        <f>'res122 Mary Shay'!C129</f>
        <v/>
      </c>
      <c r="H129" s="3" t="str">
        <f>'res122 Mary Shay'!D129</f>
        <v/>
      </c>
    </row>
    <row r="130">
      <c r="C130" s="5"/>
      <c r="D130" s="5"/>
      <c r="E130" s="5"/>
      <c r="F130" s="5"/>
      <c r="G130" s="5"/>
      <c r="H130" s="5"/>
    </row>
    <row r="131">
      <c r="C131" s="5"/>
      <c r="D131" s="5"/>
      <c r="E131" s="5"/>
      <c r="F131" s="5"/>
      <c r="G131" s="5"/>
      <c r="H131" s="5"/>
    </row>
    <row r="132">
      <c r="C132" s="5"/>
      <c r="D132" s="5"/>
      <c r="E132" s="5"/>
      <c r="F132" s="5"/>
      <c r="G132" s="5"/>
      <c r="H132" s="5"/>
    </row>
    <row r="133">
      <c r="C133" s="5"/>
      <c r="D133" s="5"/>
      <c r="E133" s="5"/>
      <c r="F133" s="5"/>
      <c r="G133" s="5"/>
      <c r="H133" s="5"/>
    </row>
    <row r="134">
      <c r="C134" s="5"/>
      <c r="D134" s="5"/>
      <c r="E134" s="5"/>
      <c r="F134" s="5"/>
      <c r="G134" s="5"/>
      <c r="H134" s="5"/>
    </row>
    <row r="135">
      <c r="C135" s="5"/>
      <c r="D135" s="5"/>
      <c r="E135" s="5"/>
      <c r="F135" s="5"/>
      <c r="G135" s="5"/>
      <c r="H135" s="5"/>
    </row>
    <row r="136">
      <c r="C136" s="5"/>
      <c r="D136" s="5"/>
      <c r="E136" s="5"/>
      <c r="F136" s="5"/>
      <c r="G136" s="5"/>
      <c r="H136" s="5"/>
    </row>
    <row r="137">
      <c r="C137" s="5"/>
      <c r="D137" s="5"/>
      <c r="E137" s="5"/>
      <c r="F137" s="5"/>
      <c r="G137" s="5"/>
      <c r="H137" s="5"/>
    </row>
    <row r="138">
      <c r="C138" s="5"/>
      <c r="D138" s="5"/>
      <c r="E138" s="5"/>
      <c r="F138" s="5"/>
      <c r="G138" s="5"/>
      <c r="H138" s="5"/>
    </row>
    <row r="139">
      <c r="C139" s="5"/>
      <c r="D139" s="5"/>
      <c r="E139" s="5"/>
      <c r="F139" s="5"/>
      <c r="G139" s="5"/>
      <c r="H139" s="5"/>
    </row>
    <row r="140">
      <c r="C140" s="5"/>
      <c r="D140" s="5"/>
      <c r="E140" s="5"/>
      <c r="F140" s="5"/>
      <c r="G140" s="5"/>
      <c r="H140" s="5"/>
    </row>
    <row r="141">
      <c r="C141" s="5"/>
      <c r="D141" s="5"/>
      <c r="E141" s="5"/>
      <c r="F141" s="5"/>
      <c r="G141" s="5"/>
      <c r="H141" s="5"/>
    </row>
    <row r="142">
      <c r="C142" s="5"/>
      <c r="D142" s="5"/>
      <c r="E142" s="5"/>
      <c r="F142" s="5"/>
      <c r="G142" s="5"/>
      <c r="H142" s="5"/>
    </row>
    <row r="143">
      <c r="C143" s="5"/>
      <c r="D143" s="5"/>
      <c r="E143" s="5"/>
      <c r="F143" s="5"/>
      <c r="G143" s="5"/>
      <c r="H143" s="5"/>
    </row>
    <row r="144">
      <c r="C144" s="5"/>
      <c r="D144" s="5"/>
      <c r="E144" s="5"/>
      <c r="F144" s="5"/>
      <c r="G144" s="5"/>
      <c r="H144" s="5"/>
    </row>
    <row r="145">
      <c r="C145" s="5"/>
      <c r="D145" s="5"/>
      <c r="E145" s="5"/>
      <c r="F145" s="5"/>
      <c r="G145" s="5"/>
      <c r="H145" s="5"/>
    </row>
    <row r="146">
      <c r="C146" s="5"/>
      <c r="D146" s="5"/>
      <c r="E146" s="5"/>
      <c r="F146" s="5"/>
      <c r="G146" s="5"/>
      <c r="H146" s="5"/>
    </row>
    <row r="147">
      <c r="C147" s="5"/>
      <c r="D147" s="5"/>
      <c r="E147" s="5"/>
      <c r="F147" s="5"/>
      <c r="G147" s="5"/>
      <c r="H147" s="5"/>
    </row>
    <row r="148">
      <c r="C148" s="5"/>
      <c r="D148" s="5"/>
      <c r="E148" s="5"/>
      <c r="F148" s="5"/>
      <c r="G148" s="5"/>
      <c r="H148" s="5"/>
    </row>
    <row r="149">
      <c r="C149" s="5"/>
      <c r="D149" s="5"/>
      <c r="E149" s="5"/>
      <c r="F149" s="5"/>
      <c r="G149" s="5"/>
      <c r="H149" s="5"/>
    </row>
    <row r="150">
      <c r="C150" s="5"/>
      <c r="D150" s="5"/>
      <c r="E150" s="5"/>
      <c r="F150" s="5"/>
      <c r="G150" s="5"/>
      <c r="H150" s="5"/>
    </row>
    <row r="151">
      <c r="C151" s="5"/>
      <c r="D151" s="5"/>
      <c r="E151" s="5"/>
      <c r="F151" s="5"/>
      <c r="G151" s="5"/>
      <c r="H151" s="5"/>
    </row>
    <row r="152">
      <c r="C152" s="5"/>
      <c r="D152" s="5"/>
      <c r="E152" s="5"/>
      <c r="F152" s="5"/>
      <c r="G152" s="5"/>
      <c r="H152" s="5"/>
    </row>
    <row r="153">
      <c r="C153" s="5"/>
      <c r="D153" s="5"/>
      <c r="E153" s="5"/>
      <c r="F153" s="5"/>
      <c r="G153" s="5"/>
      <c r="H153" s="5"/>
    </row>
    <row r="154">
      <c r="C154" s="5"/>
      <c r="D154" s="5"/>
      <c r="E154" s="5"/>
      <c r="F154" s="5"/>
      <c r="G154" s="5"/>
      <c r="H154" s="5"/>
    </row>
    <row r="155">
      <c r="C155" s="5"/>
      <c r="D155" s="5"/>
      <c r="E155" s="5"/>
      <c r="F155" s="5"/>
      <c r="G155" s="5"/>
      <c r="H155" s="5"/>
    </row>
    <row r="156">
      <c r="C156" s="5"/>
      <c r="D156" s="5"/>
      <c r="E156" s="5"/>
      <c r="F156" s="5"/>
      <c r="G156" s="5"/>
      <c r="H156" s="5"/>
    </row>
    <row r="157">
      <c r="C157" s="5"/>
      <c r="D157" s="5"/>
      <c r="E157" s="5"/>
      <c r="F157" s="5"/>
      <c r="G157" s="5"/>
      <c r="H157" s="5"/>
    </row>
    <row r="158">
      <c r="C158" s="5"/>
      <c r="D158" s="5"/>
      <c r="E158" s="5"/>
      <c r="F158" s="5"/>
      <c r="G158" s="5"/>
      <c r="H158" s="5"/>
    </row>
    <row r="159">
      <c r="C159" s="5"/>
      <c r="D159" s="5"/>
      <c r="E159" s="5"/>
      <c r="F159" s="5"/>
      <c r="G159" s="5"/>
      <c r="H159" s="5"/>
    </row>
    <row r="160">
      <c r="C160" s="5"/>
      <c r="D160" s="5"/>
      <c r="E160" s="5"/>
      <c r="F160" s="5"/>
      <c r="G160" s="5"/>
      <c r="H160" s="5"/>
    </row>
    <row r="161">
      <c r="C161" s="5"/>
      <c r="D161" s="5"/>
      <c r="E161" s="5"/>
      <c r="F161" s="5"/>
      <c r="G161" s="5"/>
      <c r="H161" s="5"/>
    </row>
    <row r="162">
      <c r="C162" s="5"/>
      <c r="D162" s="5"/>
      <c r="E162" s="5"/>
      <c r="F162" s="5"/>
      <c r="G162" s="5"/>
      <c r="H162" s="5"/>
    </row>
    <row r="163">
      <c r="C163" s="5"/>
      <c r="D163" s="5"/>
      <c r="E163" s="5"/>
      <c r="F163" s="5"/>
      <c r="G163" s="5"/>
      <c r="H163" s="5"/>
    </row>
    <row r="164">
      <c r="C164" s="5"/>
      <c r="D164" s="5"/>
      <c r="E164" s="5"/>
      <c r="F164" s="5"/>
      <c r="G164" s="5"/>
      <c r="H164" s="5"/>
    </row>
    <row r="165">
      <c r="C165" s="5"/>
      <c r="D165" s="5"/>
      <c r="E165" s="5"/>
      <c r="F165" s="5"/>
      <c r="G165" s="5"/>
      <c r="H165" s="5"/>
    </row>
    <row r="166">
      <c r="C166" s="5"/>
      <c r="D166" s="5"/>
      <c r="E166" s="5"/>
      <c r="F166" s="5"/>
      <c r="G166" s="5"/>
      <c r="H166" s="5"/>
    </row>
    <row r="167">
      <c r="C167" s="5"/>
      <c r="D167" s="5"/>
      <c r="E167" s="5"/>
      <c r="F167" s="5"/>
      <c r="G167" s="5"/>
      <c r="H167" s="5"/>
    </row>
    <row r="168">
      <c r="C168" s="5"/>
      <c r="D168" s="5"/>
      <c r="E168" s="5"/>
      <c r="F168" s="5"/>
      <c r="G168" s="5"/>
      <c r="H168" s="5"/>
    </row>
    <row r="169">
      <c r="C169" s="5"/>
      <c r="D169" s="5"/>
      <c r="E169" s="5"/>
      <c r="F169" s="5"/>
      <c r="G169" s="5"/>
      <c r="H169" s="5"/>
    </row>
    <row r="170">
      <c r="C170" s="5"/>
      <c r="D170" s="5"/>
      <c r="E170" s="5"/>
      <c r="F170" s="5"/>
      <c r="G170" s="5"/>
      <c r="H170" s="5"/>
    </row>
    <row r="171">
      <c r="C171" s="5"/>
      <c r="D171" s="5"/>
      <c r="E171" s="5"/>
      <c r="F171" s="5"/>
      <c r="G171" s="5"/>
      <c r="H171" s="5"/>
    </row>
    <row r="172">
      <c r="C172" s="5"/>
      <c r="D172" s="5"/>
      <c r="E172" s="5"/>
      <c r="F172" s="5"/>
      <c r="G172" s="5"/>
      <c r="H172" s="5"/>
    </row>
    <row r="173">
      <c r="C173" s="5"/>
      <c r="D173" s="5"/>
      <c r="E173" s="5"/>
      <c r="F173" s="5"/>
      <c r="G173" s="5"/>
      <c r="H173" s="5"/>
    </row>
    <row r="174">
      <c r="C174" s="5"/>
      <c r="D174" s="5"/>
      <c r="E174" s="5"/>
      <c r="F174" s="5"/>
      <c r="G174" s="5"/>
      <c r="H174" s="5"/>
    </row>
    <row r="175">
      <c r="C175" s="5"/>
      <c r="D175" s="5"/>
      <c r="E175" s="5"/>
      <c r="F175" s="5"/>
      <c r="G175" s="5"/>
      <c r="H175" s="5"/>
    </row>
    <row r="176">
      <c r="C176" s="5"/>
      <c r="D176" s="5"/>
      <c r="E176" s="5"/>
      <c r="F176" s="5"/>
      <c r="G176" s="5"/>
      <c r="H176" s="5"/>
    </row>
    <row r="177">
      <c r="C177" s="5"/>
      <c r="D177" s="5"/>
      <c r="E177" s="5"/>
      <c r="F177" s="5"/>
      <c r="G177" s="5"/>
      <c r="H177" s="5"/>
    </row>
    <row r="178">
      <c r="C178" s="5"/>
      <c r="D178" s="5"/>
      <c r="E178" s="5"/>
      <c r="F178" s="5"/>
      <c r="G178" s="5"/>
      <c r="H178" s="5"/>
    </row>
    <row r="179">
      <c r="C179" s="5"/>
      <c r="D179" s="5"/>
      <c r="E179" s="5"/>
      <c r="F179" s="5"/>
      <c r="G179" s="5"/>
      <c r="H179" s="5"/>
    </row>
    <row r="180">
      <c r="C180" s="5"/>
      <c r="D180" s="5"/>
      <c r="E180" s="5"/>
      <c r="F180" s="5"/>
      <c r="G180" s="5"/>
      <c r="H180" s="5"/>
    </row>
    <row r="181">
      <c r="C181" s="5"/>
      <c r="D181" s="5"/>
      <c r="E181" s="5"/>
      <c r="F181" s="5"/>
      <c r="G181" s="5"/>
      <c r="H181" s="5"/>
    </row>
    <row r="182">
      <c r="C182" s="5"/>
      <c r="D182" s="5"/>
      <c r="E182" s="5"/>
      <c r="F182" s="5"/>
      <c r="G182" s="5"/>
      <c r="H182" s="5"/>
    </row>
    <row r="183">
      <c r="C183" s="5"/>
      <c r="D183" s="5"/>
      <c r="E183" s="5"/>
      <c r="F183" s="5"/>
      <c r="G183" s="5"/>
      <c r="H183" s="5"/>
    </row>
    <row r="184">
      <c r="C184" s="5"/>
      <c r="D184" s="5"/>
      <c r="E184" s="5"/>
      <c r="F184" s="5"/>
      <c r="G184" s="5"/>
      <c r="H184" s="5"/>
    </row>
    <row r="185">
      <c r="C185" s="5"/>
      <c r="D185" s="5"/>
      <c r="E185" s="5"/>
      <c r="F185" s="5"/>
      <c r="G185" s="5"/>
      <c r="H185" s="5"/>
    </row>
    <row r="186">
      <c r="C186" s="5"/>
      <c r="D186" s="5"/>
      <c r="E186" s="5"/>
      <c r="F186" s="5"/>
      <c r="G186" s="5"/>
      <c r="H186" s="5"/>
    </row>
    <row r="187">
      <c r="C187" s="5"/>
      <c r="D187" s="5"/>
      <c r="E187" s="5"/>
      <c r="F187" s="5"/>
      <c r="G187" s="5"/>
      <c r="H187" s="5"/>
    </row>
    <row r="188">
      <c r="C188" s="5"/>
      <c r="D188" s="5"/>
      <c r="E188" s="5"/>
      <c r="F188" s="5"/>
      <c r="G188" s="5"/>
      <c r="H188" s="5"/>
    </row>
    <row r="189">
      <c r="C189" s="5"/>
      <c r="D189" s="5"/>
      <c r="E189" s="5"/>
      <c r="F189" s="5"/>
      <c r="G189" s="5"/>
      <c r="H189" s="5"/>
    </row>
    <row r="190">
      <c r="C190" s="5"/>
      <c r="D190" s="5"/>
      <c r="E190" s="5"/>
      <c r="F190" s="5"/>
      <c r="G190" s="5"/>
      <c r="H190" s="5"/>
    </row>
    <row r="191">
      <c r="C191" s="5"/>
      <c r="D191" s="5"/>
      <c r="E191" s="5"/>
      <c r="F191" s="5"/>
      <c r="G191" s="5"/>
      <c r="H191" s="5"/>
    </row>
    <row r="192">
      <c r="C192" s="5"/>
      <c r="D192" s="5"/>
      <c r="E192" s="5"/>
      <c r="F192" s="5"/>
      <c r="G192" s="5"/>
      <c r="H192" s="5"/>
    </row>
    <row r="193">
      <c r="C193" s="5"/>
      <c r="D193" s="5"/>
      <c r="E193" s="5"/>
      <c r="F193" s="5"/>
      <c r="G193" s="5"/>
      <c r="H193" s="5"/>
    </row>
    <row r="194">
      <c r="C194" s="5"/>
      <c r="D194" s="5"/>
      <c r="E194" s="5"/>
      <c r="F194" s="5"/>
      <c r="G194" s="5"/>
      <c r="H194" s="5"/>
    </row>
    <row r="195">
      <c r="C195" s="5"/>
      <c r="D195" s="5"/>
      <c r="E195" s="5"/>
      <c r="F195" s="5"/>
      <c r="G195" s="5"/>
      <c r="H195" s="5"/>
    </row>
    <row r="196">
      <c r="C196" s="5"/>
      <c r="D196" s="5"/>
      <c r="E196" s="5"/>
      <c r="F196" s="5"/>
      <c r="G196" s="5"/>
      <c r="H196" s="5"/>
    </row>
    <row r="197">
      <c r="C197" s="5"/>
      <c r="D197" s="5"/>
      <c r="E197" s="5"/>
      <c r="F197" s="5"/>
      <c r="G197" s="5"/>
      <c r="H197" s="5"/>
    </row>
    <row r="198">
      <c r="C198" s="5"/>
      <c r="D198" s="5"/>
      <c r="E198" s="5"/>
      <c r="F198" s="5"/>
      <c r="G198" s="5"/>
      <c r="H198" s="5"/>
    </row>
    <row r="199">
      <c r="C199" s="5"/>
      <c r="D199" s="5"/>
      <c r="E199" s="5"/>
      <c r="F199" s="5"/>
      <c r="G199" s="5"/>
      <c r="H199" s="5"/>
    </row>
    <row r="200">
      <c r="C200" s="5"/>
      <c r="D200" s="5"/>
      <c r="E200" s="5"/>
      <c r="F200" s="5"/>
      <c r="G200" s="5"/>
      <c r="H200" s="5"/>
    </row>
    <row r="201">
      <c r="C201" s="5"/>
      <c r="D201" s="5"/>
      <c r="E201" s="5"/>
      <c r="F201" s="5"/>
      <c r="G201" s="5"/>
      <c r="H201" s="5"/>
    </row>
    <row r="202">
      <c r="C202" s="5"/>
      <c r="D202" s="5"/>
      <c r="E202" s="5"/>
      <c r="F202" s="5"/>
      <c r="G202" s="5"/>
      <c r="H202" s="5"/>
    </row>
    <row r="203">
      <c r="C203" s="5"/>
      <c r="D203" s="5"/>
      <c r="E203" s="5"/>
      <c r="F203" s="5"/>
      <c r="G203" s="5"/>
      <c r="H203" s="5"/>
    </row>
    <row r="204">
      <c r="C204" s="5"/>
      <c r="D204" s="5"/>
      <c r="E204" s="5"/>
      <c r="F204" s="5"/>
      <c r="G204" s="5"/>
      <c r="H204" s="5"/>
    </row>
    <row r="205">
      <c r="C205" s="5"/>
      <c r="D205" s="5"/>
      <c r="E205" s="5"/>
      <c r="F205" s="5"/>
      <c r="G205" s="5"/>
      <c r="H205" s="5"/>
    </row>
    <row r="206">
      <c r="C206" s="5"/>
      <c r="D206" s="5"/>
      <c r="E206" s="5"/>
      <c r="F206" s="5"/>
      <c r="G206" s="5"/>
      <c r="H206" s="5"/>
    </row>
    <row r="207">
      <c r="C207" s="5"/>
      <c r="D207" s="5"/>
      <c r="E207" s="5"/>
      <c r="F207" s="5"/>
      <c r="G207" s="5"/>
      <c r="H207" s="5"/>
    </row>
    <row r="208">
      <c r="C208" s="5"/>
      <c r="D208" s="5"/>
      <c r="E208" s="5"/>
      <c r="F208" s="5"/>
      <c r="G208" s="5"/>
      <c r="H208" s="5"/>
    </row>
    <row r="209">
      <c r="C209" s="5"/>
      <c r="D209" s="5"/>
      <c r="E209" s="5"/>
      <c r="F209" s="5"/>
      <c r="G209" s="5"/>
      <c r="H209" s="5"/>
    </row>
    <row r="210">
      <c r="C210" s="5"/>
      <c r="D210" s="5"/>
      <c r="E210" s="5"/>
      <c r="F210" s="5"/>
      <c r="G210" s="5"/>
      <c r="H210" s="5"/>
    </row>
    <row r="211">
      <c r="C211" s="5"/>
      <c r="D211" s="5"/>
      <c r="E211" s="5"/>
      <c r="F211" s="5"/>
      <c r="G211" s="5"/>
      <c r="H211" s="5"/>
    </row>
    <row r="212">
      <c r="C212" s="5"/>
      <c r="D212" s="5"/>
      <c r="E212" s="5"/>
      <c r="F212" s="5"/>
      <c r="G212" s="5"/>
      <c r="H212" s="5"/>
    </row>
    <row r="213">
      <c r="C213" s="5"/>
      <c r="D213" s="5"/>
      <c r="E213" s="5"/>
      <c r="F213" s="5"/>
      <c r="G213" s="5"/>
      <c r="H213" s="5"/>
    </row>
    <row r="214">
      <c r="C214" s="5"/>
      <c r="D214" s="5"/>
      <c r="E214" s="5"/>
      <c r="F214" s="5"/>
      <c r="G214" s="5"/>
      <c r="H214" s="5"/>
    </row>
    <row r="215">
      <c r="C215" s="5"/>
      <c r="D215" s="5"/>
      <c r="E215" s="5"/>
      <c r="F215" s="5"/>
      <c r="G215" s="5"/>
      <c r="H215" s="5"/>
    </row>
    <row r="216">
      <c r="C216" s="5"/>
      <c r="D216" s="5"/>
      <c r="E216" s="5"/>
      <c r="F216" s="5"/>
      <c r="G216" s="5"/>
      <c r="H216" s="5"/>
    </row>
    <row r="217">
      <c r="C217" s="5"/>
      <c r="D217" s="5"/>
      <c r="E217" s="5"/>
      <c r="F217" s="5"/>
      <c r="G217" s="5"/>
      <c r="H217" s="5"/>
    </row>
    <row r="218">
      <c r="C218" s="5"/>
      <c r="D218" s="5"/>
      <c r="E218" s="5"/>
      <c r="F218" s="5"/>
      <c r="G218" s="5"/>
      <c r="H218" s="5"/>
    </row>
    <row r="219">
      <c r="C219" s="5"/>
      <c r="D219" s="5"/>
      <c r="E219" s="5"/>
      <c r="F219" s="5"/>
      <c r="G219" s="5"/>
      <c r="H219" s="5"/>
    </row>
    <row r="220">
      <c r="C220" s="5"/>
      <c r="D220" s="5"/>
      <c r="E220" s="5"/>
      <c r="F220" s="5"/>
      <c r="G220" s="5"/>
      <c r="H220" s="5"/>
    </row>
    <row r="221">
      <c r="C221" s="5"/>
      <c r="D221" s="5"/>
      <c r="E221" s="5"/>
      <c r="F221" s="5"/>
      <c r="G221" s="5"/>
      <c r="H221" s="5"/>
    </row>
    <row r="222">
      <c r="C222" s="5"/>
      <c r="D222" s="5"/>
      <c r="E222" s="5"/>
      <c r="F222" s="5"/>
      <c r="G222" s="5"/>
      <c r="H222" s="5"/>
    </row>
    <row r="223">
      <c r="C223" s="5"/>
      <c r="D223" s="5"/>
      <c r="E223" s="5"/>
      <c r="F223" s="5"/>
      <c r="G223" s="5"/>
      <c r="H223" s="5"/>
    </row>
    <row r="224">
      <c r="C224" s="5"/>
      <c r="D224" s="5"/>
      <c r="E224" s="5"/>
      <c r="F224" s="5"/>
      <c r="G224" s="5"/>
      <c r="H224" s="5"/>
    </row>
    <row r="225">
      <c r="C225" s="5"/>
      <c r="D225" s="5"/>
      <c r="E225" s="5"/>
      <c r="F225" s="5"/>
      <c r="G225" s="5"/>
      <c r="H225" s="5"/>
    </row>
    <row r="226">
      <c r="C226" s="5"/>
      <c r="D226" s="5"/>
      <c r="E226" s="5"/>
      <c r="F226" s="5"/>
      <c r="G226" s="5"/>
      <c r="H226" s="5"/>
    </row>
    <row r="227">
      <c r="C227" s="5"/>
      <c r="D227" s="5"/>
      <c r="E227" s="5"/>
      <c r="F227" s="5"/>
      <c r="G227" s="5"/>
      <c r="H227" s="5"/>
    </row>
    <row r="228">
      <c r="C228" s="5"/>
      <c r="D228" s="5"/>
      <c r="E228" s="5"/>
      <c r="F228" s="5"/>
      <c r="G228" s="5"/>
      <c r="H228" s="5"/>
    </row>
    <row r="229">
      <c r="C229" s="5"/>
      <c r="D229" s="5"/>
      <c r="E229" s="5"/>
      <c r="F229" s="5"/>
      <c r="G229" s="5"/>
      <c r="H229" s="5"/>
    </row>
    <row r="230">
      <c r="C230" s="5"/>
      <c r="D230" s="5"/>
      <c r="E230" s="5"/>
      <c r="F230" s="5"/>
      <c r="G230" s="5"/>
      <c r="H230" s="5"/>
    </row>
    <row r="231">
      <c r="C231" s="5"/>
      <c r="D231" s="5"/>
      <c r="E231" s="5"/>
      <c r="F231" s="5"/>
      <c r="G231" s="5"/>
      <c r="H231" s="5"/>
    </row>
    <row r="232">
      <c r="C232" s="5"/>
      <c r="D232" s="5"/>
      <c r="E232" s="5"/>
      <c r="F232" s="5"/>
      <c r="G232" s="5"/>
      <c r="H232" s="5"/>
    </row>
    <row r="233">
      <c r="C233" s="5"/>
      <c r="D233" s="5"/>
      <c r="E233" s="5"/>
      <c r="F233" s="5"/>
      <c r="G233" s="5"/>
      <c r="H233" s="5"/>
    </row>
    <row r="234">
      <c r="C234" s="5"/>
      <c r="D234" s="5"/>
      <c r="E234" s="5"/>
      <c r="F234" s="5"/>
      <c r="G234" s="5"/>
      <c r="H234" s="5"/>
    </row>
    <row r="235">
      <c r="C235" s="5"/>
      <c r="D235" s="5"/>
      <c r="E235" s="5"/>
      <c r="F235" s="5"/>
      <c r="G235" s="5"/>
      <c r="H235" s="5"/>
    </row>
    <row r="236">
      <c r="C236" s="5"/>
      <c r="D236" s="5"/>
      <c r="E236" s="5"/>
      <c r="F236" s="5"/>
      <c r="G236" s="5"/>
      <c r="H236" s="5"/>
    </row>
    <row r="237">
      <c r="C237" s="5"/>
      <c r="D237" s="5"/>
      <c r="E237" s="5"/>
      <c r="F237" s="5"/>
      <c r="G237" s="5"/>
      <c r="H237" s="5"/>
    </row>
    <row r="238">
      <c r="C238" s="5"/>
      <c r="D238" s="5"/>
      <c r="E238" s="5"/>
      <c r="F238" s="5"/>
      <c r="G238" s="5"/>
      <c r="H238" s="5"/>
    </row>
    <row r="239">
      <c r="C239" s="5"/>
      <c r="D239" s="5"/>
      <c r="E239" s="5"/>
      <c r="F239" s="5"/>
      <c r="G239" s="5"/>
      <c r="H239" s="5"/>
    </row>
    <row r="240">
      <c r="C240" s="5"/>
      <c r="D240" s="5"/>
      <c r="E240" s="5"/>
      <c r="F240" s="5"/>
      <c r="G240" s="5"/>
      <c r="H240" s="5"/>
    </row>
    <row r="241">
      <c r="C241" s="5"/>
      <c r="D241" s="5"/>
      <c r="E241" s="5"/>
      <c r="F241" s="5"/>
      <c r="G241" s="5"/>
      <c r="H241" s="5"/>
    </row>
    <row r="242">
      <c r="C242" s="5"/>
      <c r="D242" s="5"/>
      <c r="E242" s="5"/>
      <c r="F242" s="5"/>
      <c r="G242" s="5"/>
      <c r="H242" s="5"/>
    </row>
    <row r="243">
      <c r="C243" s="5"/>
      <c r="D243" s="5"/>
      <c r="E243" s="5"/>
      <c r="F243" s="5"/>
      <c r="G243" s="5"/>
      <c r="H243" s="5"/>
    </row>
    <row r="244">
      <c r="C244" s="5"/>
      <c r="D244" s="5"/>
      <c r="E244" s="5"/>
      <c r="F244" s="5"/>
      <c r="G244" s="5"/>
      <c r="H244" s="5"/>
    </row>
    <row r="245">
      <c r="C245" s="5"/>
      <c r="D245" s="5"/>
      <c r="E245" s="5"/>
      <c r="F245" s="5"/>
      <c r="G245" s="5"/>
      <c r="H245" s="5"/>
    </row>
    <row r="246">
      <c r="C246" s="5"/>
      <c r="D246" s="5"/>
      <c r="E246" s="5"/>
      <c r="F246" s="5"/>
      <c r="G246" s="5"/>
      <c r="H246" s="5"/>
    </row>
    <row r="247">
      <c r="C247" s="5"/>
      <c r="D247" s="5"/>
      <c r="E247" s="5"/>
      <c r="F247" s="5"/>
      <c r="G247" s="5"/>
      <c r="H247" s="5"/>
    </row>
    <row r="248">
      <c r="C248" s="5"/>
      <c r="D248" s="5"/>
      <c r="E248" s="5"/>
      <c r="F248" s="5"/>
      <c r="G248" s="5"/>
      <c r="H248" s="5"/>
    </row>
    <row r="249">
      <c r="C249" s="5"/>
      <c r="D249" s="5"/>
      <c r="E249" s="5"/>
      <c r="F249" s="5"/>
      <c r="G249" s="5"/>
      <c r="H249" s="5"/>
    </row>
    <row r="250">
      <c r="C250" s="5"/>
      <c r="D250" s="5"/>
      <c r="E250" s="5"/>
      <c r="F250" s="5"/>
      <c r="G250" s="5"/>
      <c r="H250" s="5"/>
    </row>
    <row r="251">
      <c r="C251" s="5"/>
      <c r="D251" s="5"/>
      <c r="E251" s="5"/>
      <c r="F251" s="5"/>
      <c r="G251" s="5"/>
      <c r="H251" s="5"/>
    </row>
    <row r="252">
      <c r="C252" s="5"/>
      <c r="D252" s="5"/>
      <c r="E252" s="5"/>
      <c r="F252" s="5"/>
      <c r="G252" s="5"/>
      <c r="H252" s="5"/>
    </row>
    <row r="253">
      <c r="C253" s="5"/>
      <c r="D253" s="5"/>
      <c r="E253" s="5"/>
      <c r="F253" s="5"/>
      <c r="G253" s="5"/>
      <c r="H253" s="5"/>
    </row>
    <row r="254">
      <c r="C254" s="5"/>
      <c r="D254" s="5"/>
      <c r="E254" s="5"/>
      <c r="F254" s="5"/>
      <c r="G254" s="5"/>
      <c r="H254" s="5"/>
    </row>
    <row r="255">
      <c r="C255" s="5"/>
      <c r="D255" s="5"/>
      <c r="E255" s="5"/>
      <c r="F255" s="5"/>
      <c r="G255" s="5"/>
      <c r="H255" s="5"/>
    </row>
    <row r="256">
      <c r="C256" s="5"/>
      <c r="D256" s="5"/>
      <c r="E256" s="5"/>
      <c r="F256" s="5"/>
      <c r="G256" s="5"/>
      <c r="H256" s="5"/>
    </row>
    <row r="257">
      <c r="C257" s="5"/>
      <c r="D257" s="5"/>
      <c r="E257" s="5"/>
      <c r="F257" s="5"/>
      <c r="G257" s="5"/>
      <c r="H257" s="5"/>
    </row>
    <row r="258">
      <c r="C258" s="5"/>
      <c r="D258" s="5"/>
      <c r="E258" s="5"/>
      <c r="F258" s="5"/>
      <c r="G258" s="5"/>
      <c r="H258" s="5"/>
    </row>
    <row r="259">
      <c r="C259" s="5"/>
      <c r="D259" s="5"/>
      <c r="E259" s="5"/>
      <c r="F259" s="5"/>
      <c r="G259" s="5"/>
      <c r="H259" s="5"/>
    </row>
    <row r="260">
      <c r="C260" s="5"/>
      <c r="D260" s="5"/>
      <c r="E260" s="5"/>
      <c r="F260" s="5"/>
      <c r="G260" s="5"/>
      <c r="H260" s="5"/>
    </row>
    <row r="261">
      <c r="C261" s="5"/>
      <c r="D261" s="5"/>
      <c r="E261" s="5"/>
      <c r="F261" s="5"/>
      <c r="G261" s="5"/>
      <c r="H261" s="5"/>
    </row>
    <row r="262">
      <c r="C262" s="5"/>
      <c r="D262" s="5"/>
      <c r="E262" s="5"/>
      <c r="F262" s="5"/>
      <c r="G262" s="5"/>
      <c r="H262" s="5"/>
    </row>
    <row r="263">
      <c r="C263" s="5"/>
      <c r="D263" s="5"/>
      <c r="E263" s="5"/>
      <c r="F263" s="5"/>
      <c r="G263" s="5"/>
      <c r="H263" s="5"/>
    </row>
    <row r="264">
      <c r="C264" s="5"/>
      <c r="D264" s="5"/>
      <c r="E264" s="5"/>
      <c r="F264" s="5"/>
      <c r="G264" s="5"/>
      <c r="H264" s="5"/>
    </row>
    <row r="265">
      <c r="C265" s="5"/>
      <c r="D265" s="5"/>
      <c r="E265" s="5"/>
      <c r="F265" s="5"/>
      <c r="G265" s="5"/>
      <c r="H265" s="5"/>
    </row>
    <row r="266">
      <c r="C266" s="5"/>
      <c r="D266" s="5"/>
      <c r="E266" s="5"/>
      <c r="F266" s="5"/>
      <c r="G266" s="5"/>
      <c r="H266" s="5"/>
    </row>
    <row r="267">
      <c r="C267" s="5"/>
      <c r="D267" s="5"/>
      <c r="E267" s="5"/>
      <c r="F267" s="5"/>
      <c r="G267" s="5"/>
      <c r="H267" s="5"/>
    </row>
    <row r="268">
      <c r="C268" s="5"/>
      <c r="D268" s="5"/>
      <c r="E268" s="5"/>
      <c r="F268" s="5"/>
      <c r="G268" s="5"/>
      <c r="H268" s="5"/>
    </row>
    <row r="269">
      <c r="C269" s="5"/>
      <c r="D269" s="5"/>
      <c r="E269" s="5"/>
      <c r="F269" s="5"/>
      <c r="G269" s="5"/>
      <c r="H269" s="5"/>
    </row>
    <row r="270">
      <c r="C270" s="5"/>
      <c r="D270" s="5"/>
      <c r="E270" s="5"/>
      <c r="F270" s="5"/>
      <c r="G270" s="5"/>
      <c r="H270" s="5"/>
    </row>
    <row r="271">
      <c r="C271" s="5"/>
      <c r="D271" s="5"/>
      <c r="E271" s="5"/>
      <c r="F271" s="5"/>
      <c r="G271" s="5"/>
      <c r="H271" s="5"/>
    </row>
    <row r="272">
      <c r="C272" s="5"/>
      <c r="D272" s="5"/>
      <c r="E272" s="5"/>
      <c r="F272" s="5"/>
      <c r="G272" s="5"/>
      <c r="H272" s="5"/>
    </row>
    <row r="273">
      <c r="C273" s="5"/>
      <c r="D273" s="5"/>
      <c r="E273" s="5"/>
      <c r="F273" s="5"/>
      <c r="G273" s="5"/>
      <c r="H273" s="5"/>
    </row>
    <row r="274">
      <c r="C274" s="5"/>
      <c r="D274" s="5"/>
      <c r="E274" s="5"/>
      <c r="F274" s="5"/>
      <c r="G274" s="5"/>
      <c r="H274" s="5"/>
    </row>
    <row r="275">
      <c r="C275" s="5"/>
      <c r="D275" s="5"/>
      <c r="E275" s="5"/>
      <c r="F275" s="5"/>
      <c r="G275" s="5"/>
      <c r="H275" s="5"/>
    </row>
    <row r="276">
      <c r="C276" s="5"/>
      <c r="D276" s="5"/>
      <c r="E276" s="5"/>
      <c r="F276" s="5"/>
      <c r="G276" s="5"/>
      <c r="H276" s="5"/>
    </row>
    <row r="277">
      <c r="C277" s="5"/>
      <c r="D277" s="5"/>
      <c r="E277" s="5"/>
      <c r="F277" s="5"/>
      <c r="G277" s="5"/>
      <c r="H277" s="5"/>
    </row>
    <row r="278">
      <c r="C278" s="5"/>
      <c r="D278" s="5"/>
      <c r="E278" s="5"/>
      <c r="F278" s="5"/>
      <c r="G278" s="5"/>
      <c r="H278" s="5"/>
    </row>
    <row r="279">
      <c r="C279" s="5"/>
      <c r="D279" s="5"/>
      <c r="E279" s="5"/>
      <c r="F279" s="5"/>
      <c r="G279" s="5"/>
      <c r="H279" s="5"/>
    </row>
    <row r="280">
      <c r="C280" s="5"/>
      <c r="D280" s="5"/>
      <c r="E280" s="5"/>
      <c r="F280" s="5"/>
      <c r="G280" s="5"/>
      <c r="H280" s="5"/>
    </row>
    <row r="281">
      <c r="C281" s="5"/>
      <c r="D281" s="5"/>
      <c r="E281" s="5"/>
      <c r="F281" s="5"/>
      <c r="G281" s="5"/>
      <c r="H281" s="5"/>
    </row>
    <row r="282">
      <c r="C282" s="5"/>
      <c r="D282" s="5"/>
      <c r="E282" s="5"/>
      <c r="F282" s="5"/>
      <c r="G282" s="5"/>
      <c r="H282" s="5"/>
    </row>
    <row r="283">
      <c r="C283" s="5"/>
      <c r="D283" s="5"/>
      <c r="E283" s="5"/>
      <c r="F283" s="5"/>
      <c r="G283" s="5"/>
      <c r="H283" s="5"/>
    </row>
    <row r="284">
      <c r="C284" s="5"/>
      <c r="D284" s="5"/>
      <c r="E284" s="5"/>
      <c r="F284" s="5"/>
      <c r="G284" s="5"/>
      <c r="H284" s="5"/>
    </row>
    <row r="285">
      <c r="C285" s="5"/>
      <c r="D285" s="5"/>
      <c r="E285" s="5"/>
      <c r="F285" s="5"/>
      <c r="G285" s="5"/>
      <c r="H285" s="5"/>
    </row>
    <row r="286">
      <c r="C286" s="5"/>
      <c r="D286" s="5"/>
      <c r="E286" s="5"/>
      <c r="F286" s="5"/>
      <c r="G286" s="5"/>
      <c r="H286" s="5"/>
    </row>
    <row r="287">
      <c r="C287" s="5"/>
      <c r="D287" s="5"/>
      <c r="E287" s="5"/>
      <c r="F287" s="5"/>
      <c r="G287" s="5"/>
      <c r="H287" s="5"/>
    </row>
    <row r="288">
      <c r="C288" s="5"/>
      <c r="D288" s="5"/>
      <c r="E288" s="5"/>
      <c r="F288" s="5"/>
      <c r="G288" s="5"/>
      <c r="H288" s="5"/>
    </row>
    <row r="289">
      <c r="C289" s="5"/>
      <c r="D289" s="5"/>
      <c r="E289" s="5"/>
      <c r="F289" s="5"/>
      <c r="G289" s="5"/>
      <c r="H289" s="5"/>
    </row>
    <row r="290">
      <c r="C290" s="5"/>
      <c r="D290" s="5"/>
      <c r="E290" s="5"/>
      <c r="F290" s="5"/>
      <c r="G290" s="5"/>
      <c r="H290" s="5"/>
    </row>
    <row r="291">
      <c r="C291" s="5"/>
      <c r="D291" s="5"/>
      <c r="E291" s="5"/>
      <c r="F291" s="5"/>
      <c r="G291" s="5"/>
      <c r="H291" s="5"/>
    </row>
    <row r="292">
      <c r="C292" s="5"/>
      <c r="D292" s="5"/>
      <c r="E292" s="5"/>
      <c r="F292" s="5"/>
      <c r="G292" s="5"/>
      <c r="H292" s="5"/>
    </row>
    <row r="293">
      <c r="C293" s="5"/>
      <c r="D293" s="5"/>
      <c r="E293" s="5"/>
      <c r="F293" s="5"/>
      <c r="G293" s="5"/>
      <c r="H293" s="5"/>
    </row>
    <row r="294">
      <c r="C294" s="5"/>
      <c r="D294" s="5"/>
      <c r="E294" s="5"/>
      <c r="F294" s="5"/>
      <c r="G294" s="5"/>
      <c r="H294" s="5"/>
    </row>
    <row r="295">
      <c r="C295" s="5"/>
      <c r="D295" s="5"/>
      <c r="E295" s="5"/>
      <c r="F295" s="5"/>
      <c r="G295" s="5"/>
      <c r="H295" s="5"/>
    </row>
    <row r="296">
      <c r="C296" s="5"/>
      <c r="D296" s="5"/>
      <c r="E296" s="5"/>
      <c r="F296" s="5"/>
      <c r="G296" s="5"/>
      <c r="H296" s="5"/>
    </row>
    <row r="297">
      <c r="C297" s="5"/>
      <c r="D297" s="5"/>
      <c r="E297" s="5"/>
      <c r="F297" s="5"/>
      <c r="G297" s="5"/>
      <c r="H297" s="5"/>
    </row>
    <row r="298">
      <c r="C298" s="5"/>
      <c r="D298" s="5"/>
      <c r="E298" s="5"/>
      <c r="F298" s="5"/>
      <c r="G298" s="5"/>
      <c r="H298" s="5"/>
    </row>
    <row r="299">
      <c r="C299" s="5"/>
      <c r="D299" s="5"/>
      <c r="E299" s="5"/>
      <c r="F299" s="5"/>
      <c r="G299" s="5"/>
      <c r="H299" s="5"/>
    </row>
    <row r="300">
      <c r="C300" s="5"/>
      <c r="D300" s="5"/>
      <c r="E300" s="5"/>
      <c r="F300" s="5"/>
      <c r="G300" s="5"/>
      <c r="H300" s="5"/>
    </row>
    <row r="301">
      <c r="C301" s="5"/>
      <c r="D301" s="5"/>
      <c r="E301" s="5"/>
      <c r="F301" s="5"/>
      <c r="G301" s="5"/>
      <c r="H301" s="5"/>
    </row>
    <row r="302">
      <c r="C302" s="5"/>
      <c r="D302" s="5"/>
      <c r="E302" s="5"/>
      <c r="F302" s="5"/>
      <c r="G302" s="5"/>
      <c r="H302" s="5"/>
    </row>
    <row r="303">
      <c r="C303" s="5"/>
      <c r="D303" s="5"/>
      <c r="E303" s="5"/>
      <c r="F303" s="5"/>
      <c r="G303" s="5"/>
      <c r="H303" s="5"/>
    </row>
    <row r="304">
      <c r="C304" s="5"/>
      <c r="D304" s="5"/>
      <c r="E304" s="5"/>
      <c r="F304" s="5"/>
      <c r="G304" s="5"/>
      <c r="H304" s="5"/>
    </row>
    <row r="305">
      <c r="C305" s="5"/>
      <c r="D305" s="5"/>
      <c r="E305" s="5"/>
      <c r="F305" s="5"/>
      <c r="G305" s="5"/>
      <c r="H305" s="5"/>
    </row>
    <row r="306">
      <c r="C306" s="5"/>
      <c r="D306" s="5"/>
      <c r="E306" s="5"/>
      <c r="F306" s="5"/>
      <c r="G306" s="5"/>
      <c r="H306" s="5"/>
    </row>
    <row r="307">
      <c r="C307" s="5"/>
      <c r="D307" s="5"/>
      <c r="E307" s="5"/>
      <c r="F307" s="5"/>
      <c r="G307" s="5"/>
      <c r="H307" s="5"/>
    </row>
    <row r="308">
      <c r="C308" s="5"/>
      <c r="D308" s="5"/>
      <c r="E308" s="5"/>
      <c r="F308" s="5"/>
      <c r="G308" s="5"/>
      <c r="H308" s="5"/>
    </row>
    <row r="309">
      <c r="C309" s="5"/>
      <c r="D309" s="5"/>
      <c r="E309" s="5"/>
      <c r="F309" s="5"/>
      <c r="G309" s="5"/>
      <c r="H309" s="5"/>
    </row>
    <row r="310">
      <c r="C310" s="5"/>
      <c r="D310" s="5"/>
      <c r="E310" s="5"/>
      <c r="F310" s="5"/>
      <c r="G310" s="5"/>
      <c r="H310" s="5"/>
    </row>
    <row r="311">
      <c r="C311" s="5"/>
      <c r="D311" s="5"/>
      <c r="E311" s="5"/>
      <c r="F311" s="5"/>
      <c r="G311" s="5"/>
      <c r="H311" s="5"/>
    </row>
    <row r="312">
      <c r="C312" s="5"/>
      <c r="D312" s="5"/>
      <c r="E312" s="5"/>
      <c r="F312" s="5"/>
      <c r="G312" s="5"/>
      <c r="H312" s="5"/>
    </row>
    <row r="313">
      <c r="C313" s="5"/>
      <c r="D313" s="5"/>
      <c r="E313" s="5"/>
      <c r="F313" s="5"/>
      <c r="G313" s="5"/>
      <c r="H313" s="5"/>
    </row>
    <row r="314">
      <c r="C314" s="5"/>
      <c r="D314" s="5"/>
      <c r="E314" s="5"/>
      <c r="F314" s="5"/>
      <c r="G314" s="5"/>
      <c r="H314" s="5"/>
    </row>
    <row r="315">
      <c r="C315" s="5"/>
      <c r="D315" s="5"/>
      <c r="E315" s="5"/>
      <c r="F315" s="5"/>
      <c r="G315" s="5"/>
      <c r="H315" s="5"/>
    </row>
    <row r="316">
      <c r="C316" s="5"/>
      <c r="D316" s="5"/>
      <c r="E316" s="5"/>
      <c r="F316" s="5"/>
      <c r="G316" s="5"/>
      <c r="H316" s="5"/>
    </row>
    <row r="317">
      <c r="C317" s="5"/>
      <c r="D317" s="5"/>
      <c r="E317" s="5"/>
      <c r="F317" s="5"/>
      <c r="G317" s="5"/>
      <c r="H317" s="5"/>
    </row>
    <row r="318">
      <c r="C318" s="5"/>
      <c r="D318" s="5"/>
      <c r="E318" s="5"/>
      <c r="F318" s="5"/>
      <c r="G318" s="5"/>
      <c r="H318" s="5"/>
    </row>
    <row r="319">
      <c r="C319" s="5"/>
      <c r="D319" s="5"/>
      <c r="E319" s="5"/>
      <c r="F319" s="5"/>
      <c r="G319" s="5"/>
      <c r="H319" s="5"/>
    </row>
    <row r="320">
      <c r="C320" s="5"/>
      <c r="D320" s="5"/>
      <c r="E320" s="5"/>
      <c r="F320" s="5"/>
      <c r="G320" s="5"/>
      <c r="H320" s="5"/>
    </row>
    <row r="321">
      <c r="C321" s="5"/>
      <c r="D321" s="5"/>
      <c r="E321" s="5"/>
      <c r="F321" s="5"/>
      <c r="G321" s="5"/>
      <c r="H321" s="5"/>
    </row>
    <row r="322">
      <c r="C322" s="5"/>
      <c r="D322" s="5"/>
      <c r="E322" s="5"/>
      <c r="F322" s="5"/>
      <c r="G322" s="5"/>
      <c r="H322" s="5"/>
    </row>
    <row r="323">
      <c r="C323" s="5"/>
      <c r="D323" s="5"/>
      <c r="E323" s="5"/>
      <c r="F323" s="5"/>
      <c r="G323" s="5"/>
      <c r="H323" s="5"/>
    </row>
    <row r="324">
      <c r="C324" s="5"/>
      <c r="D324" s="5"/>
      <c r="E324" s="5"/>
      <c r="F324" s="5"/>
      <c r="G324" s="5"/>
      <c r="H324" s="5"/>
    </row>
    <row r="325">
      <c r="C325" s="5"/>
      <c r="D325" s="5"/>
      <c r="E325" s="5"/>
      <c r="F325" s="5"/>
      <c r="G325" s="5"/>
      <c r="H325" s="5"/>
    </row>
    <row r="326">
      <c r="C326" s="5"/>
      <c r="D326" s="5"/>
      <c r="E326" s="5"/>
      <c r="F326" s="5"/>
      <c r="G326" s="5"/>
      <c r="H326" s="5"/>
    </row>
    <row r="327">
      <c r="C327" s="5"/>
      <c r="D327" s="5"/>
      <c r="E327" s="5"/>
      <c r="F327" s="5"/>
      <c r="G327" s="5"/>
      <c r="H327" s="5"/>
    </row>
    <row r="328">
      <c r="C328" s="5"/>
      <c r="D328" s="5"/>
      <c r="E328" s="5"/>
      <c r="F328" s="5"/>
      <c r="G328" s="5"/>
      <c r="H328" s="5"/>
    </row>
    <row r="329">
      <c r="C329" s="5"/>
      <c r="D329" s="5"/>
      <c r="E329" s="5"/>
      <c r="F329" s="5"/>
      <c r="G329" s="5"/>
      <c r="H329" s="5"/>
    </row>
    <row r="330">
      <c r="C330" s="5"/>
      <c r="D330" s="5"/>
      <c r="E330" s="5"/>
      <c r="F330" s="5"/>
      <c r="G330" s="5"/>
      <c r="H330" s="5"/>
    </row>
    <row r="331">
      <c r="C331" s="5"/>
      <c r="D331" s="5"/>
      <c r="E331" s="5"/>
      <c r="F331" s="5"/>
      <c r="G331" s="5"/>
      <c r="H331" s="5"/>
    </row>
    <row r="332">
      <c r="C332" s="5"/>
      <c r="D332" s="5"/>
      <c r="E332" s="5"/>
      <c r="F332" s="5"/>
      <c r="G332" s="5"/>
      <c r="H332" s="5"/>
    </row>
    <row r="333">
      <c r="C333" s="5"/>
      <c r="D333" s="5"/>
      <c r="E333" s="5"/>
      <c r="F333" s="5"/>
      <c r="G333" s="5"/>
      <c r="H333" s="5"/>
    </row>
    <row r="334">
      <c r="C334" s="5"/>
      <c r="D334" s="5"/>
      <c r="E334" s="5"/>
      <c r="F334" s="5"/>
      <c r="G334" s="5"/>
      <c r="H334" s="5"/>
    </row>
    <row r="335">
      <c r="C335" s="5"/>
      <c r="D335" s="5"/>
      <c r="E335" s="5"/>
      <c r="F335" s="5"/>
      <c r="G335" s="5"/>
      <c r="H335" s="5"/>
    </row>
    <row r="336">
      <c r="C336" s="5"/>
      <c r="D336" s="5"/>
      <c r="E336" s="5"/>
      <c r="F336" s="5"/>
      <c r="G336" s="5"/>
      <c r="H336" s="5"/>
    </row>
    <row r="337">
      <c r="C337" s="5"/>
      <c r="D337" s="5"/>
      <c r="E337" s="5"/>
      <c r="F337" s="5"/>
      <c r="G337" s="5"/>
      <c r="H337" s="5"/>
    </row>
    <row r="338">
      <c r="C338" s="5"/>
      <c r="D338" s="5"/>
      <c r="E338" s="5"/>
      <c r="F338" s="5"/>
      <c r="G338" s="5"/>
      <c r="H338" s="5"/>
    </row>
    <row r="339">
      <c r="C339" s="5"/>
      <c r="D339" s="5"/>
      <c r="E339" s="5"/>
      <c r="F339" s="5"/>
      <c r="G339" s="5"/>
      <c r="H339" s="5"/>
    </row>
    <row r="340">
      <c r="C340" s="5"/>
      <c r="D340" s="5"/>
      <c r="E340" s="5"/>
      <c r="F340" s="5"/>
      <c r="G340" s="5"/>
      <c r="H340" s="5"/>
    </row>
    <row r="341">
      <c r="C341" s="5"/>
      <c r="D341" s="5"/>
      <c r="E341" s="5"/>
      <c r="F341" s="5"/>
      <c r="G341" s="5"/>
      <c r="H341" s="5"/>
    </row>
    <row r="342">
      <c r="C342" s="5"/>
      <c r="D342" s="5"/>
      <c r="E342" s="5"/>
      <c r="F342" s="5"/>
      <c r="G342" s="5"/>
      <c r="H342" s="5"/>
    </row>
    <row r="343">
      <c r="C343" s="5"/>
      <c r="D343" s="5"/>
      <c r="E343" s="5"/>
      <c r="F343" s="5"/>
      <c r="G343" s="5"/>
      <c r="H343" s="5"/>
    </row>
    <row r="344">
      <c r="C344" s="5"/>
      <c r="D344" s="5"/>
      <c r="E344" s="5"/>
      <c r="F344" s="5"/>
      <c r="G344" s="5"/>
      <c r="H344" s="5"/>
    </row>
    <row r="345">
      <c r="C345" s="5"/>
      <c r="D345" s="5"/>
      <c r="E345" s="5"/>
      <c r="F345" s="5"/>
      <c r="G345" s="5"/>
      <c r="H345" s="5"/>
    </row>
    <row r="346">
      <c r="C346" s="5"/>
      <c r="D346" s="5"/>
      <c r="E346" s="5"/>
      <c r="F346" s="5"/>
      <c r="G346" s="5"/>
      <c r="H346" s="5"/>
    </row>
    <row r="347">
      <c r="C347" s="5"/>
      <c r="D347" s="5"/>
      <c r="E347" s="5"/>
      <c r="F347" s="5"/>
      <c r="G347" s="5"/>
      <c r="H347" s="5"/>
    </row>
    <row r="348">
      <c r="C348" s="5"/>
      <c r="D348" s="5"/>
      <c r="E348" s="5"/>
      <c r="F348" s="5"/>
      <c r="G348" s="5"/>
      <c r="H348" s="5"/>
    </row>
    <row r="349">
      <c r="C349" s="5"/>
      <c r="D349" s="5"/>
      <c r="E349" s="5"/>
      <c r="F349" s="5"/>
      <c r="G349" s="5"/>
      <c r="H349" s="5"/>
    </row>
    <row r="350">
      <c r="C350" s="5"/>
      <c r="D350" s="5"/>
      <c r="E350" s="5"/>
      <c r="F350" s="5"/>
      <c r="G350" s="5"/>
      <c r="H350" s="5"/>
    </row>
    <row r="351">
      <c r="C351" s="5"/>
      <c r="D351" s="5"/>
      <c r="E351" s="5"/>
      <c r="F351" s="5"/>
      <c r="G351" s="5"/>
      <c r="H351" s="5"/>
    </row>
    <row r="352">
      <c r="C352" s="5"/>
      <c r="D352" s="5"/>
      <c r="E352" s="5"/>
      <c r="F352" s="5"/>
      <c r="G352" s="5"/>
      <c r="H352" s="5"/>
    </row>
    <row r="353">
      <c r="C353" s="5"/>
      <c r="D353" s="5"/>
      <c r="E353" s="5"/>
      <c r="F353" s="5"/>
      <c r="G353" s="5"/>
      <c r="H353" s="5"/>
    </row>
    <row r="354">
      <c r="C354" s="5"/>
      <c r="D354" s="5"/>
      <c r="E354" s="5"/>
      <c r="F354" s="5"/>
      <c r="G354" s="5"/>
      <c r="H354" s="5"/>
    </row>
    <row r="355">
      <c r="C355" s="5"/>
      <c r="D355" s="5"/>
      <c r="E355" s="5"/>
      <c r="F355" s="5"/>
      <c r="G355" s="5"/>
      <c r="H355" s="5"/>
    </row>
    <row r="356">
      <c r="C356" s="5"/>
      <c r="D356" s="5"/>
      <c r="E356" s="5"/>
      <c r="F356" s="5"/>
      <c r="G356" s="5"/>
      <c r="H356" s="5"/>
    </row>
    <row r="357">
      <c r="C357" s="5"/>
      <c r="D357" s="5"/>
      <c r="E357" s="5"/>
      <c r="F357" s="5"/>
      <c r="G357" s="5"/>
      <c r="H357" s="5"/>
    </row>
    <row r="358">
      <c r="C358" s="5"/>
      <c r="D358" s="5"/>
      <c r="E358" s="5"/>
      <c r="F358" s="5"/>
      <c r="G358" s="5"/>
      <c r="H358" s="5"/>
    </row>
    <row r="359">
      <c r="C359" s="5"/>
      <c r="D359" s="5"/>
      <c r="E359" s="5"/>
      <c r="F359" s="5"/>
      <c r="G359" s="5"/>
      <c r="H359" s="5"/>
    </row>
    <row r="360">
      <c r="C360" s="5"/>
      <c r="D360" s="5"/>
      <c r="E360" s="5"/>
      <c r="F360" s="5"/>
      <c r="G360" s="5"/>
      <c r="H360" s="5"/>
    </row>
    <row r="361">
      <c r="C361" s="5"/>
      <c r="D361" s="5"/>
      <c r="E361" s="5"/>
      <c r="F361" s="5"/>
      <c r="G361" s="5"/>
      <c r="H361" s="5"/>
    </row>
    <row r="362">
      <c r="C362" s="5"/>
      <c r="D362" s="5"/>
      <c r="E362" s="5"/>
      <c r="F362" s="5"/>
      <c r="G362" s="5"/>
      <c r="H362" s="5"/>
    </row>
    <row r="363">
      <c r="C363" s="5"/>
      <c r="D363" s="5"/>
      <c r="E363" s="5"/>
      <c r="F363" s="5"/>
      <c r="G363" s="5"/>
      <c r="H363" s="5"/>
    </row>
    <row r="364">
      <c r="C364" s="5"/>
      <c r="D364" s="5"/>
      <c r="E364" s="5"/>
      <c r="F364" s="5"/>
      <c r="G364" s="5"/>
      <c r="H364" s="5"/>
    </row>
    <row r="365">
      <c r="C365" s="5"/>
      <c r="D365" s="5"/>
      <c r="E365" s="5"/>
      <c r="F365" s="5"/>
      <c r="G365" s="5"/>
      <c r="H365" s="5"/>
    </row>
    <row r="366">
      <c r="C366" s="5"/>
      <c r="D366" s="5"/>
      <c r="E366" s="5"/>
      <c r="F366" s="5"/>
      <c r="G366" s="5"/>
      <c r="H366" s="5"/>
    </row>
    <row r="367">
      <c r="C367" s="5"/>
      <c r="D367" s="5"/>
      <c r="E367" s="5"/>
      <c r="F367" s="5"/>
      <c r="G367" s="5"/>
      <c r="H367" s="5"/>
    </row>
    <row r="368">
      <c r="C368" s="5"/>
      <c r="D368" s="5"/>
      <c r="E368" s="5"/>
      <c r="F368" s="5"/>
      <c r="G368" s="5"/>
      <c r="H368" s="5"/>
    </row>
    <row r="369">
      <c r="C369" s="5"/>
      <c r="D369" s="5"/>
      <c r="E369" s="5"/>
      <c r="F369" s="5"/>
      <c r="G369" s="5"/>
      <c r="H369" s="5"/>
    </row>
    <row r="370">
      <c r="C370" s="5"/>
      <c r="D370" s="5"/>
      <c r="E370" s="5"/>
      <c r="F370" s="5"/>
      <c r="G370" s="5"/>
      <c r="H370" s="5"/>
    </row>
    <row r="371">
      <c r="C371" s="5"/>
      <c r="D371" s="5"/>
      <c r="E371" s="5"/>
      <c r="F371" s="5"/>
      <c r="G371" s="5"/>
      <c r="H371" s="5"/>
    </row>
    <row r="372">
      <c r="C372" s="5"/>
      <c r="D372" s="5"/>
      <c r="E372" s="5"/>
      <c r="F372" s="5"/>
      <c r="G372" s="5"/>
      <c r="H372" s="5"/>
    </row>
    <row r="373">
      <c r="C373" s="5"/>
      <c r="D373" s="5"/>
      <c r="E373" s="5"/>
      <c r="F373" s="5"/>
      <c r="G373" s="5"/>
      <c r="H373" s="5"/>
    </row>
    <row r="374">
      <c r="C374" s="5"/>
      <c r="D374" s="5"/>
      <c r="E374" s="5"/>
      <c r="F374" s="5"/>
      <c r="G374" s="5"/>
      <c r="H374" s="5"/>
    </row>
    <row r="375">
      <c r="C375" s="5"/>
      <c r="D375" s="5"/>
      <c r="E375" s="5"/>
      <c r="F375" s="5"/>
      <c r="G375" s="5"/>
      <c r="H375" s="5"/>
    </row>
    <row r="376">
      <c r="C376" s="5"/>
      <c r="D376" s="5"/>
      <c r="E376" s="5"/>
      <c r="F376" s="5"/>
      <c r="G376" s="5"/>
      <c r="H376" s="5"/>
    </row>
    <row r="377">
      <c r="C377" s="5"/>
      <c r="D377" s="5"/>
      <c r="E377" s="5"/>
      <c r="F377" s="5"/>
      <c r="G377" s="5"/>
      <c r="H377" s="5"/>
    </row>
    <row r="378">
      <c r="C378" s="5"/>
      <c r="D378" s="5"/>
      <c r="E378" s="5"/>
      <c r="F378" s="5"/>
      <c r="G378" s="5"/>
      <c r="H378" s="5"/>
    </row>
    <row r="379">
      <c r="C379" s="5"/>
      <c r="D379" s="5"/>
      <c r="E379" s="5"/>
      <c r="F379" s="5"/>
      <c r="G379" s="5"/>
      <c r="H379" s="5"/>
    </row>
    <row r="380">
      <c r="C380" s="5"/>
      <c r="D380" s="5"/>
      <c r="E380" s="5"/>
      <c r="F380" s="5"/>
      <c r="G380" s="5"/>
      <c r="H380" s="5"/>
    </row>
    <row r="381">
      <c r="C381" s="5"/>
      <c r="D381" s="5"/>
      <c r="E381" s="5"/>
      <c r="F381" s="5"/>
      <c r="G381" s="5"/>
      <c r="H381" s="5"/>
    </row>
    <row r="382">
      <c r="C382" s="5"/>
      <c r="D382" s="5"/>
      <c r="E382" s="5"/>
      <c r="F382" s="5"/>
      <c r="G382" s="5"/>
      <c r="H382" s="5"/>
    </row>
    <row r="383">
      <c r="C383" s="5"/>
      <c r="D383" s="5"/>
      <c r="E383" s="5"/>
      <c r="F383" s="5"/>
      <c r="G383" s="5"/>
      <c r="H383" s="5"/>
    </row>
    <row r="384">
      <c r="C384" s="5"/>
      <c r="D384" s="5"/>
      <c r="E384" s="5"/>
      <c r="F384" s="5"/>
      <c r="G384" s="5"/>
      <c r="H384" s="5"/>
    </row>
    <row r="385">
      <c r="C385" s="5"/>
      <c r="D385" s="5"/>
      <c r="E385" s="5"/>
      <c r="F385" s="5"/>
      <c r="G385" s="5"/>
      <c r="H385" s="5"/>
    </row>
    <row r="386">
      <c r="C386" s="5"/>
      <c r="D386" s="5"/>
      <c r="E386" s="5"/>
      <c r="F386" s="5"/>
      <c r="G386" s="5"/>
      <c r="H386" s="5"/>
    </row>
    <row r="387">
      <c r="C387" s="5"/>
      <c r="D387" s="5"/>
      <c r="E387" s="5"/>
      <c r="F387" s="5"/>
      <c r="G387" s="5"/>
      <c r="H387" s="5"/>
    </row>
    <row r="388">
      <c r="C388" s="5"/>
      <c r="D388" s="5"/>
      <c r="E388" s="5"/>
      <c r="F388" s="5"/>
      <c r="G388" s="5"/>
      <c r="H388" s="5"/>
    </row>
    <row r="389">
      <c r="C389" s="5"/>
      <c r="D389" s="5"/>
      <c r="E389" s="5"/>
      <c r="F389" s="5"/>
      <c r="G389" s="5"/>
      <c r="H389" s="5"/>
    </row>
    <row r="390">
      <c r="C390" s="5"/>
      <c r="D390" s="5"/>
      <c r="E390" s="5"/>
      <c r="F390" s="5"/>
      <c r="G390" s="5"/>
      <c r="H390" s="5"/>
    </row>
    <row r="391">
      <c r="C391" s="5"/>
      <c r="D391" s="5"/>
      <c r="E391" s="5"/>
      <c r="F391" s="5"/>
      <c r="G391" s="5"/>
      <c r="H391" s="5"/>
    </row>
    <row r="392">
      <c r="C392" s="5"/>
      <c r="D392" s="5"/>
      <c r="E392" s="5"/>
      <c r="F392" s="5"/>
      <c r="G392" s="5"/>
      <c r="H392" s="5"/>
    </row>
    <row r="393">
      <c r="C393" s="5"/>
      <c r="D393" s="5"/>
      <c r="E393" s="5"/>
      <c r="F393" s="5"/>
      <c r="G393" s="5"/>
      <c r="H393" s="5"/>
    </row>
    <row r="394">
      <c r="C394" s="5"/>
      <c r="D394" s="5"/>
      <c r="E394" s="5"/>
      <c r="F394" s="5"/>
      <c r="G394" s="5"/>
      <c r="H394" s="5"/>
    </row>
    <row r="395">
      <c r="C395" s="5"/>
      <c r="D395" s="5"/>
      <c r="E395" s="5"/>
      <c r="F395" s="5"/>
      <c r="G395" s="5"/>
      <c r="H395" s="5"/>
    </row>
    <row r="396">
      <c r="C396" s="5"/>
      <c r="D396" s="5"/>
      <c r="E396" s="5"/>
      <c r="F396" s="5"/>
      <c r="G396" s="5"/>
      <c r="H396" s="5"/>
    </row>
    <row r="397">
      <c r="C397" s="5"/>
      <c r="D397" s="5"/>
      <c r="E397" s="5"/>
      <c r="F397" s="5"/>
      <c r="G397" s="5"/>
      <c r="H397" s="5"/>
    </row>
    <row r="398">
      <c r="C398" s="5"/>
      <c r="D398" s="5"/>
      <c r="E398" s="5"/>
      <c r="F398" s="5"/>
      <c r="G398" s="5"/>
      <c r="H398" s="5"/>
    </row>
    <row r="399">
      <c r="C399" s="5"/>
      <c r="D399" s="5"/>
      <c r="E399" s="5"/>
      <c r="F399" s="5"/>
      <c r="G399" s="5"/>
      <c r="H399" s="5"/>
    </row>
    <row r="400">
      <c r="C400" s="5"/>
      <c r="D400" s="5"/>
      <c r="E400" s="5"/>
      <c r="F400" s="5"/>
      <c r="G400" s="5"/>
      <c r="H400" s="5"/>
    </row>
    <row r="401">
      <c r="C401" s="5"/>
      <c r="D401" s="5"/>
      <c r="E401" s="5"/>
      <c r="F401" s="5"/>
      <c r="G401" s="5"/>
      <c r="H401" s="5"/>
    </row>
    <row r="402">
      <c r="C402" s="5"/>
      <c r="D402" s="5"/>
      <c r="E402" s="5"/>
      <c r="F402" s="5"/>
      <c r="G402" s="5"/>
      <c r="H402" s="5"/>
    </row>
    <row r="403">
      <c r="C403" s="5"/>
      <c r="D403" s="5"/>
      <c r="E403" s="5"/>
      <c r="F403" s="5"/>
      <c r="G403" s="5"/>
      <c r="H403" s="5"/>
    </row>
    <row r="404">
      <c r="C404" s="5"/>
      <c r="D404" s="5"/>
      <c r="E404" s="5"/>
      <c r="F404" s="5"/>
      <c r="G404" s="5"/>
      <c r="H404" s="5"/>
    </row>
    <row r="405">
      <c r="C405" s="5"/>
      <c r="D405" s="5"/>
      <c r="E405" s="5"/>
      <c r="F405" s="5"/>
      <c r="G405" s="5"/>
      <c r="H405" s="5"/>
    </row>
    <row r="406">
      <c r="C406" s="5"/>
      <c r="D406" s="5"/>
      <c r="E406" s="5"/>
      <c r="F406" s="5"/>
      <c r="G406" s="5"/>
      <c r="H406" s="5"/>
    </row>
    <row r="407">
      <c r="C407" s="5"/>
      <c r="D407" s="5"/>
      <c r="E407" s="5"/>
      <c r="F407" s="5"/>
      <c r="G407" s="5"/>
      <c r="H407" s="5"/>
    </row>
    <row r="408">
      <c r="C408" s="5"/>
      <c r="D408" s="5"/>
      <c r="E408" s="5"/>
      <c r="F408" s="5"/>
      <c r="G408" s="5"/>
      <c r="H408" s="5"/>
    </row>
    <row r="409">
      <c r="C409" s="5"/>
      <c r="D409" s="5"/>
      <c r="E409" s="5"/>
      <c r="F409" s="5"/>
      <c r="G409" s="5"/>
      <c r="H409" s="5"/>
    </row>
    <row r="410">
      <c r="C410" s="5"/>
      <c r="D410" s="5"/>
      <c r="E410" s="5"/>
      <c r="F410" s="5"/>
      <c r="G410" s="5"/>
      <c r="H410" s="5"/>
    </row>
    <row r="411">
      <c r="C411" s="5"/>
      <c r="D411" s="5"/>
      <c r="E411" s="5"/>
      <c r="F411" s="5"/>
      <c r="G411" s="5"/>
      <c r="H411" s="5"/>
    </row>
    <row r="412">
      <c r="C412" s="5"/>
      <c r="D412" s="5"/>
      <c r="E412" s="5"/>
      <c r="F412" s="5"/>
      <c r="G412" s="5"/>
      <c r="H412" s="5"/>
    </row>
    <row r="413">
      <c r="C413" s="5"/>
      <c r="D413" s="5"/>
      <c r="E413" s="5"/>
      <c r="F413" s="5"/>
      <c r="G413" s="5"/>
      <c r="H413" s="5"/>
    </row>
    <row r="414">
      <c r="C414" s="5"/>
      <c r="D414" s="5"/>
      <c r="E414" s="5"/>
      <c r="F414" s="5"/>
      <c r="G414" s="5"/>
      <c r="H414" s="5"/>
    </row>
    <row r="415">
      <c r="C415" s="5"/>
      <c r="D415" s="5"/>
      <c r="E415" s="5"/>
      <c r="F415" s="5"/>
      <c r="G415" s="5"/>
      <c r="H415" s="5"/>
    </row>
    <row r="416">
      <c r="C416" s="5"/>
      <c r="D416" s="5"/>
      <c r="E416" s="5"/>
      <c r="F416" s="5"/>
      <c r="G416" s="5"/>
      <c r="H416" s="5"/>
    </row>
    <row r="417">
      <c r="C417" s="5"/>
      <c r="D417" s="5"/>
      <c r="E417" s="5"/>
      <c r="F417" s="5"/>
      <c r="G417" s="5"/>
      <c r="H417" s="5"/>
    </row>
    <row r="418">
      <c r="C418" s="5"/>
      <c r="D418" s="5"/>
      <c r="E418" s="5"/>
      <c r="F418" s="5"/>
      <c r="G418" s="5"/>
      <c r="H418" s="5"/>
    </row>
    <row r="419">
      <c r="C419" s="5"/>
      <c r="D419" s="5"/>
      <c r="E419" s="5"/>
      <c r="F419" s="5"/>
      <c r="G419" s="5"/>
      <c r="H419" s="5"/>
    </row>
    <row r="420">
      <c r="C420" s="5"/>
      <c r="D420" s="5"/>
      <c r="E420" s="5"/>
      <c r="F420" s="5"/>
      <c r="G420" s="5"/>
      <c r="H420" s="5"/>
    </row>
    <row r="421">
      <c r="C421" s="5"/>
      <c r="D421" s="5"/>
      <c r="E421" s="5"/>
      <c r="F421" s="5"/>
      <c r="G421" s="5"/>
      <c r="H421" s="5"/>
    </row>
    <row r="422">
      <c r="C422" s="5"/>
      <c r="D422" s="5"/>
      <c r="E422" s="5"/>
      <c r="F422" s="5"/>
      <c r="G422" s="5"/>
      <c r="H422" s="5"/>
    </row>
    <row r="423">
      <c r="C423" s="5"/>
      <c r="D423" s="5"/>
      <c r="E423" s="5"/>
      <c r="F423" s="5"/>
      <c r="G423" s="5"/>
      <c r="H423" s="5"/>
    </row>
    <row r="424">
      <c r="C424" s="5"/>
      <c r="D424" s="5"/>
      <c r="E424" s="5"/>
      <c r="F424" s="5"/>
      <c r="G424" s="5"/>
      <c r="H424" s="5"/>
    </row>
    <row r="425">
      <c r="C425" s="5"/>
      <c r="D425" s="5"/>
      <c r="E425" s="5"/>
      <c r="F425" s="5"/>
      <c r="G425" s="5"/>
      <c r="H425" s="5"/>
    </row>
    <row r="426">
      <c r="C426" s="5"/>
      <c r="D426" s="5"/>
      <c r="E426" s="5"/>
      <c r="F426" s="5"/>
      <c r="G426" s="5"/>
      <c r="H426" s="5"/>
    </row>
    <row r="427">
      <c r="C427" s="5"/>
      <c r="D427" s="5"/>
      <c r="E427" s="5"/>
      <c r="F427" s="5"/>
      <c r="G427" s="5"/>
      <c r="H427" s="5"/>
    </row>
    <row r="428">
      <c r="C428" s="5"/>
      <c r="D428" s="5"/>
      <c r="E428" s="5"/>
      <c r="F428" s="5"/>
      <c r="G428" s="5"/>
      <c r="H428" s="5"/>
    </row>
    <row r="429">
      <c r="C429" s="5"/>
      <c r="D429" s="5"/>
      <c r="E429" s="5"/>
      <c r="F429" s="5"/>
      <c r="G429" s="5"/>
      <c r="H429" s="5"/>
    </row>
    <row r="430">
      <c r="C430" s="5"/>
      <c r="D430" s="5"/>
      <c r="E430" s="5"/>
      <c r="F430" s="5"/>
      <c r="G430" s="5"/>
      <c r="H430" s="5"/>
    </row>
    <row r="431">
      <c r="C431" s="5"/>
      <c r="D431" s="5"/>
      <c r="E431" s="5"/>
      <c r="F431" s="5"/>
      <c r="G431" s="5"/>
      <c r="H431" s="5"/>
    </row>
    <row r="432">
      <c r="C432" s="5"/>
      <c r="D432" s="5"/>
      <c r="E432" s="5"/>
      <c r="F432" s="5"/>
      <c r="G432" s="5"/>
      <c r="H432" s="5"/>
    </row>
    <row r="433">
      <c r="C433" s="5"/>
      <c r="D433" s="5"/>
      <c r="E433" s="5"/>
      <c r="F433" s="5"/>
      <c r="G433" s="5"/>
      <c r="H433" s="5"/>
    </row>
    <row r="434">
      <c r="C434" s="5"/>
      <c r="D434" s="5"/>
      <c r="E434" s="5"/>
      <c r="F434" s="5"/>
      <c r="G434" s="5"/>
      <c r="H434" s="5"/>
    </row>
    <row r="435">
      <c r="C435" s="5"/>
      <c r="D435" s="5"/>
      <c r="E435" s="5"/>
      <c r="F435" s="5"/>
      <c r="G435" s="5"/>
      <c r="H435" s="5"/>
    </row>
    <row r="436">
      <c r="C436" s="5"/>
      <c r="D436" s="5"/>
      <c r="E436" s="5"/>
      <c r="F436" s="5"/>
      <c r="G436" s="5"/>
      <c r="H436" s="5"/>
    </row>
    <row r="437">
      <c r="C437" s="5"/>
      <c r="D437" s="5"/>
      <c r="E437" s="5"/>
      <c r="F437" s="5"/>
      <c r="G437" s="5"/>
      <c r="H437" s="5"/>
    </row>
    <row r="438">
      <c r="C438" s="5"/>
      <c r="D438" s="5"/>
      <c r="E438" s="5"/>
      <c r="F438" s="5"/>
      <c r="G438" s="5"/>
      <c r="H438" s="5"/>
    </row>
    <row r="439">
      <c r="C439" s="5"/>
      <c r="D439" s="5"/>
      <c r="E439" s="5"/>
      <c r="F439" s="5"/>
      <c r="G439" s="5"/>
      <c r="H439" s="5"/>
    </row>
    <row r="440">
      <c r="C440" s="5"/>
      <c r="D440" s="5"/>
      <c r="E440" s="5"/>
      <c r="F440" s="5"/>
      <c r="G440" s="5"/>
      <c r="H440" s="5"/>
    </row>
    <row r="441">
      <c r="C441" s="5"/>
      <c r="D441" s="5"/>
      <c r="E441" s="5"/>
      <c r="F441" s="5"/>
      <c r="G441" s="5"/>
      <c r="H441" s="5"/>
    </row>
    <row r="442">
      <c r="C442" s="5"/>
      <c r="D442" s="5"/>
      <c r="E442" s="5"/>
      <c r="F442" s="5"/>
      <c r="G442" s="5"/>
      <c r="H442" s="5"/>
    </row>
    <row r="443">
      <c r="C443" s="5"/>
      <c r="D443" s="5"/>
      <c r="E443" s="5"/>
      <c r="F443" s="5"/>
      <c r="G443" s="5"/>
      <c r="H443" s="5"/>
    </row>
    <row r="444">
      <c r="C444" s="5"/>
      <c r="D444" s="5"/>
      <c r="E444" s="5"/>
      <c r="F444" s="5"/>
      <c r="G444" s="5"/>
      <c r="H444" s="5"/>
    </row>
    <row r="445">
      <c r="C445" s="5"/>
      <c r="D445" s="5"/>
      <c r="E445" s="5"/>
      <c r="F445" s="5"/>
      <c r="G445" s="5"/>
      <c r="H445" s="5"/>
    </row>
    <row r="446">
      <c r="C446" s="5"/>
      <c r="D446" s="5"/>
      <c r="E446" s="5"/>
      <c r="F446" s="5"/>
      <c r="G446" s="5"/>
      <c r="H446" s="5"/>
    </row>
    <row r="447">
      <c r="C447" s="5"/>
      <c r="D447" s="5"/>
      <c r="E447" s="5"/>
      <c r="F447" s="5"/>
      <c r="G447" s="5"/>
      <c r="H447" s="5"/>
    </row>
    <row r="448">
      <c r="C448" s="5"/>
      <c r="D448" s="5"/>
      <c r="E448" s="5"/>
      <c r="F448" s="5"/>
      <c r="G448" s="5"/>
      <c r="H448" s="5"/>
    </row>
    <row r="449">
      <c r="C449" s="5"/>
      <c r="D449" s="5"/>
      <c r="E449" s="5"/>
      <c r="F449" s="5"/>
      <c r="G449" s="5"/>
      <c r="H449" s="5"/>
    </row>
    <row r="450">
      <c r="C450" s="5"/>
      <c r="D450" s="5"/>
      <c r="E450" s="5"/>
      <c r="F450" s="5"/>
      <c r="G450" s="5"/>
      <c r="H450" s="5"/>
    </row>
    <row r="451">
      <c r="C451" s="5"/>
      <c r="D451" s="5"/>
      <c r="E451" s="5"/>
      <c r="F451" s="5"/>
      <c r="G451" s="5"/>
      <c r="H451" s="5"/>
    </row>
    <row r="452">
      <c r="C452" s="5"/>
      <c r="D452" s="5"/>
      <c r="E452" s="5"/>
      <c r="F452" s="5"/>
      <c r="G452" s="5"/>
      <c r="H452" s="5"/>
    </row>
    <row r="453">
      <c r="C453" s="5"/>
      <c r="D453" s="5"/>
      <c r="E453" s="5"/>
      <c r="F453" s="5"/>
      <c r="G453" s="5"/>
      <c r="H453" s="5"/>
    </row>
    <row r="454">
      <c r="C454" s="5"/>
      <c r="D454" s="5"/>
      <c r="E454" s="5"/>
      <c r="F454" s="5"/>
      <c r="G454" s="5"/>
      <c r="H454" s="5"/>
    </row>
    <row r="455">
      <c r="C455" s="5"/>
      <c r="D455" s="5"/>
      <c r="E455" s="5"/>
      <c r="F455" s="5"/>
      <c r="G455" s="5"/>
      <c r="H455" s="5"/>
    </row>
    <row r="456">
      <c r="C456" s="5"/>
      <c r="D456" s="5"/>
      <c r="E456" s="5"/>
      <c r="F456" s="5"/>
      <c r="G456" s="5"/>
      <c r="H456" s="5"/>
    </row>
    <row r="457">
      <c r="C457" s="5"/>
      <c r="D457" s="5"/>
      <c r="E457" s="5"/>
      <c r="F457" s="5"/>
      <c r="G457" s="5"/>
      <c r="H457" s="5"/>
    </row>
    <row r="458">
      <c r="C458" s="5"/>
      <c r="D458" s="5"/>
      <c r="E458" s="5"/>
      <c r="F458" s="5"/>
      <c r="G458" s="5"/>
      <c r="H458" s="5"/>
    </row>
    <row r="459">
      <c r="C459" s="5"/>
      <c r="D459" s="5"/>
      <c r="E459" s="5"/>
      <c r="F459" s="5"/>
      <c r="G459" s="5"/>
      <c r="H459" s="5"/>
    </row>
    <row r="460">
      <c r="C460" s="5"/>
      <c r="D460" s="5"/>
      <c r="E460" s="5"/>
      <c r="F460" s="5"/>
      <c r="G460" s="5"/>
      <c r="H460" s="5"/>
    </row>
    <row r="461">
      <c r="C461" s="5"/>
      <c r="D461" s="5"/>
      <c r="E461" s="5"/>
      <c r="F461" s="5"/>
      <c r="G461" s="5"/>
      <c r="H461" s="5"/>
    </row>
    <row r="462">
      <c r="C462" s="5"/>
      <c r="D462" s="5"/>
      <c r="E462" s="5"/>
      <c r="F462" s="5"/>
      <c r="G462" s="5"/>
      <c r="H462" s="5"/>
    </row>
    <row r="463">
      <c r="C463" s="5"/>
      <c r="D463" s="5"/>
      <c r="E463" s="5"/>
      <c r="F463" s="5"/>
      <c r="G463" s="5"/>
      <c r="H463" s="5"/>
    </row>
    <row r="464">
      <c r="C464" s="5"/>
      <c r="D464" s="5"/>
      <c r="E464" s="5"/>
      <c r="F464" s="5"/>
      <c r="G464" s="5"/>
      <c r="H464" s="5"/>
    </row>
    <row r="465">
      <c r="C465" s="5"/>
      <c r="D465" s="5"/>
      <c r="E465" s="5"/>
      <c r="F465" s="5"/>
      <c r="G465" s="5"/>
      <c r="H465" s="5"/>
    </row>
    <row r="466">
      <c r="C466" s="5"/>
      <c r="D466" s="5"/>
      <c r="E466" s="5"/>
      <c r="F466" s="5"/>
      <c r="G466" s="5"/>
      <c r="H466" s="5"/>
    </row>
    <row r="467">
      <c r="C467" s="5"/>
      <c r="D467" s="5"/>
      <c r="E467" s="5"/>
      <c r="F467" s="5"/>
      <c r="G467" s="5"/>
      <c r="H467" s="5"/>
    </row>
    <row r="468">
      <c r="C468" s="5"/>
      <c r="D468" s="5"/>
      <c r="E468" s="5"/>
      <c r="F468" s="5"/>
      <c r="G468" s="5"/>
      <c r="H468" s="5"/>
    </row>
    <row r="469">
      <c r="C469" s="5"/>
      <c r="D469" s="5"/>
      <c r="E469" s="5"/>
      <c r="F469" s="5"/>
      <c r="G469" s="5"/>
      <c r="H469" s="5"/>
    </row>
    <row r="470">
      <c r="C470" s="5"/>
      <c r="D470" s="5"/>
      <c r="E470" s="5"/>
      <c r="F470" s="5"/>
      <c r="G470" s="5"/>
      <c r="H470" s="5"/>
    </row>
    <row r="471">
      <c r="C471" s="5"/>
      <c r="D471" s="5"/>
      <c r="E471" s="5"/>
      <c r="F471" s="5"/>
      <c r="G471" s="5"/>
      <c r="H471" s="5"/>
    </row>
    <row r="472">
      <c r="C472" s="5"/>
      <c r="D472" s="5"/>
      <c r="E472" s="5"/>
      <c r="F472" s="5"/>
      <c r="G472" s="5"/>
      <c r="H472" s="5"/>
    </row>
    <row r="473">
      <c r="C473" s="5"/>
      <c r="D473" s="5"/>
      <c r="E473" s="5"/>
      <c r="F473" s="5"/>
      <c r="G473" s="5"/>
      <c r="H473" s="5"/>
    </row>
    <row r="474">
      <c r="C474" s="5"/>
      <c r="D474" s="5"/>
      <c r="E474" s="5"/>
      <c r="F474" s="5"/>
      <c r="G474" s="5"/>
      <c r="H474" s="5"/>
    </row>
    <row r="475">
      <c r="C475" s="5"/>
      <c r="D475" s="5"/>
      <c r="E475" s="5"/>
      <c r="F475" s="5"/>
      <c r="G475" s="5"/>
      <c r="H475" s="5"/>
    </row>
    <row r="476">
      <c r="C476" s="5"/>
      <c r="D476" s="5"/>
      <c r="E476" s="5"/>
      <c r="F476" s="5"/>
      <c r="G476" s="5"/>
      <c r="H476" s="5"/>
    </row>
    <row r="477">
      <c r="C477" s="5"/>
      <c r="D477" s="5"/>
      <c r="E477" s="5"/>
      <c r="F477" s="5"/>
      <c r="G477" s="5"/>
      <c r="H477" s="5"/>
    </row>
    <row r="478">
      <c r="C478" s="5"/>
      <c r="D478" s="5"/>
      <c r="E478" s="5"/>
      <c r="F478" s="5"/>
      <c r="G478" s="5"/>
      <c r="H478" s="5"/>
    </row>
    <row r="479">
      <c r="C479" s="5"/>
      <c r="D479" s="5"/>
      <c r="E479" s="5"/>
      <c r="F479" s="5"/>
      <c r="G479" s="5"/>
      <c r="H479" s="5"/>
    </row>
    <row r="480">
      <c r="C480" s="5"/>
      <c r="D480" s="5"/>
      <c r="E480" s="5"/>
      <c r="F480" s="5"/>
      <c r="G480" s="5"/>
      <c r="H480" s="5"/>
    </row>
    <row r="481">
      <c r="C481" s="5"/>
      <c r="D481" s="5"/>
      <c r="E481" s="5"/>
      <c r="F481" s="5"/>
      <c r="G481" s="5"/>
      <c r="H481" s="5"/>
    </row>
    <row r="482">
      <c r="C482" s="5"/>
      <c r="D482" s="5"/>
      <c r="E482" s="5"/>
      <c r="F482" s="5"/>
      <c r="G482" s="5"/>
      <c r="H482" s="5"/>
    </row>
    <row r="483">
      <c r="C483" s="5"/>
      <c r="D483" s="5"/>
      <c r="E483" s="5"/>
      <c r="F483" s="5"/>
      <c r="G483" s="5"/>
      <c r="H483" s="5"/>
    </row>
    <row r="484">
      <c r="C484" s="5"/>
      <c r="D484" s="5"/>
      <c r="E484" s="5"/>
      <c r="F484" s="5"/>
      <c r="G484" s="5"/>
      <c r="H484" s="5"/>
    </row>
    <row r="485">
      <c r="C485" s="5"/>
      <c r="D485" s="5"/>
      <c r="E485" s="5"/>
      <c r="F485" s="5"/>
      <c r="G485" s="5"/>
      <c r="H485" s="5"/>
    </row>
    <row r="486">
      <c r="C486" s="5"/>
      <c r="D486" s="5"/>
      <c r="E486" s="5"/>
      <c r="F486" s="5"/>
      <c r="G486" s="5"/>
      <c r="H486" s="5"/>
    </row>
    <row r="487">
      <c r="C487" s="5"/>
      <c r="D487" s="5"/>
      <c r="E487" s="5"/>
      <c r="F487" s="5"/>
      <c r="G487" s="5"/>
      <c r="H487" s="5"/>
    </row>
    <row r="488">
      <c r="C488" s="5"/>
      <c r="D488" s="5"/>
      <c r="E488" s="5"/>
      <c r="F488" s="5"/>
      <c r="G488" s="5"/>
      <c r="H488" s="5"/>
    </row>
    <row r="489">
      <c r="C489" s="5"/>
      <c r="D489" s="5"/>
      <c r="E489" s="5"/>
      <c r="F489" s="5"/>
      <c r="G489" s="5"/>
      <c r="H489" s="5"/>
    </row>
    <row r="490">
      <c r="C490" s="5"/>
      <c r="D490" s="5"/>
      <c r="E490" s="5"/>
      <c r="F490" s="5"/>
      <c r="G490" s="5"/>
      <c r="H490" s="5"/>
    </row>
    <row r="491">
      <c r="C491" s="5"/>
      <c r="D491" s="5"/>
      <c r="E491" s="5"/>
      <c r="F491" s="5"/>
      <c r="G491" s="5"/>
      <c r="H491" s="5"/>
    </row>
    <row r="492">
      <c r="C492" s="5"/>
      <c r="D492" s="5"/>
      <c r="E492" s="5"/>
      <c r="F492" s="5"/>
      <c r="G492" s="5"/>
      <c r="H492" s="5"/>
    </row>
    <row r="493">
      <c r="C493" s="5"/>
      <c r="D493" s="5"/>
      <c r="E493" s="5"/>
      <c r="F493" s="5"/>
      <c r="G493" s="5"/>
      <c r="H493" s="5"/>
    </row>
    <row r="494">
      <c r="C494" s="5"/>
      <c r="D494" s="5"/>
      <c r="E494" s="5"/>
      <c r="F494" s="5"/>
      <c r="G494" s="5"/>
      <c r="H494" s="5"/>
    </row>
    <row r="495">
      <c r="C495" s="5"/>
      <c r="D495" s="5"/>
      <c r="E495" s="5"/>
      <c r="F495" s="5"/>
      <c r="G495" s="5"/>
      <c r="H495" s="5"/>
    </row>
    <row r="496">
      <c r="C496" s="5"/>
      <c r="D496" s="5"/>
      <c r="E496" s="5"/>
      <c r="F496" s="5"/>
      <c r="G496" s="5"/>
      <c r="H496" s="5"/>
    </row>
    <row r="497">
      <c r="C497" s="5"/>
      <c r="D497" s="5"/>
      <c r="E497" s="5"/>
      <c r="F497" s="5"/>
      <c r="G497" s="5"/>
      <c r="H497" s="5"/>
    </row>
    <row r="498">
      <c r="C498" s="5"/>
      <c r="D498" s="5"/>
      <c r="E498" s="5"/>
      <c r="F498" s="5"/>
      <c r="G498" s="5"/>
      <c r="H498" s="5"/>
    </row>
    <row r="499">
      <c r="C499" s="5"/>
      <c r="D499" s="5"/>
      <c r="E499" s="5"/>
      <c r="F499" s="5"/>
      <c r="G499" s="5"/>
      <c r="H499" s="5"/>
    </row>
    <row r="500">
      <c r="C500" s="5"/>
      <c r="D500" s="5"/>
      <c r="E500" s="5"/>
      <c r="F500" s="5"/>
      <c r="G500" s="5"/>
      <c r="H500" s="5"/>
    </row>
    <row r="501">
      <c r="C501" s="5"/>
      <c r="D501" s="5"/>
      <c r="E501" s="5"/>
      <c r="F501" s="5"/>
      <c r="G501" s="5"/>
      <c r="H501" s="5"/>
    </row>
    <row r="502">
      <c r="C502" s="5"/>
      <c r="D502" s="5"/>
      <c r="E502" s="5"/>
      <c r="F502" s="5"/>
      <c r="G502" s="5"/>
      <c r="H502" s="5"/>
    </row>
    <row r="503">
      <c r="C503" s="5"/>
      <c r="D503" s="5"/>
      <c r="E503" s="5"/>
      <c r="F503" s="5"/>
      <c r="G503" s="5"/>
      <c r="H503" s="5"/>
    </row>
    <row r="504">
      <c r="C504" s="5"/>
      <c r="D504" s="5"/>
      <c r="E504" s="5"/>
      <c r="F504" s="5"/>
      <c r="G504" s="5"/>
      <c r="H504" s="5"/>
    </row>
    <row r="505">
      <c r="C505" s="5"/>
      <c r="D505" s="5"/>
      <c r="E505" s="5"/>
      <c r="F505" s="5"/>
      <c r="G505" s="5"/>
      <c r="H505" s="5"/>
    </row>
    <row r="506">
      <c r="C506" s="5"/>
      <c r="D506" s="5"/>
      <c r="E506" s="5"/>
      <c r="F506" s="5"/>
      <c r="G506" s="5"/>
      <c r="H506" s="5"/>
    </row>
    <row r="507">
      <c r="C507" s="5"/>
      <c r="D507" s="5"/>
      <c r="E507" s="5"/>
      <c r="F507" s="5"/>
      <c r="G507" s="5"/>
      <c r="H507" s="5"/>
    </row>
    <row r="508">
      <c r="C508" s="5"/>
      <c r="D508" s="5"/>
      <c r="E508" s="5"/>
      <c r="F508" s="5"/>
      <c r="G508" s="5"/>
      <c r="H508" s="5"/>
    </row>
    <row r="509">
      <c r="C509" s="5"/>
      <c r="D509" s="5"/>
      <c r="E509" s="5"/>
      <c r="F509" s="5"/>
      <c r="G509" s="5"/>
      <c r="H509" s="5"/>
    </row>
    <row r="510">
      <c r="C510" s="5"/>
      <c r="D510" s="5"/>
      <c r="E510" s="5"/>
      <c r="F510" s="5"/>
      <c r="G510" s="5"/>
      <c r="H510" s="5"/>
    </row>
    <row r="511">
      <c r="C511" s="5"/>
      <c r="D511" s="5"/>
      <c r="E511" s="5"/>
      <c r="F511" s="5"/>
      <c r="G511" s="5"/>
      <c r="H511" s="5"/>
    </row>
    <row r="512">
      <c r="C512" s="5"/>
      <c r="D512" s="5"/>
      <c r="E512" s="5"/>
      <c r="F512" s="5"/>
      <c r="G512" s="5"/>
      <c r="H512" s="5"/>
    </row>
    <row r="513">
      <c r="C513" s="5"/>
      <c r="D513" s="5"/>
      <c r="E513" s="5"/>
      <c r="F513" s="5"/>
      <c r="G513" s="5"/>
      <c r="H513" s="5"/>
    </row>
    <row r="514">
      <c r="C514" s="5"/>
      <c r="D514" s="5"/>
      <c r="E514" s="5"/>
      <c r="F514" s="5"/>
      <c r="G514" s="5"/>
      <c r="H514" s="5"/>
    </row>
    <row r="515">
      <c r="C515" s="5"/>
      <c r="D515" s="5"/>
      <c r="E515" s="5"/>
      <c r="F515" s="5"/>
      <c r="G515" s="5"/>
      <c r="H515" s="5"/>
    </row>
    <row r="516">
      <c r="C516" s="5"/>
      <c r="D516" s="5"/>
      <c r="E516" s="5"/>
      <c r="F516" s="5"/>
      <c r="G516" s="5"/>
      <c r="H516" s="5"/>
    </row>
    <row r="517">
      <c r="C517" s="5"/>
      <c r="D517" s="5"/>
      <c r="E517" s="5"/>
      <c r="F517" s="5"/>
      <c r="G517" s="5"/>
      <c r="H517" s="5"/>
    </row>
    <row r="518">
      <c r="C518" s="5"/>
      <c r="D518" s="5"/>
      <c r="E518" s="5"/>
      <c r="F518" s="5"/>
      <c r="G518" s="5"/>
      <c r="H518" s="5"/>
    </row>
    <row r="519">
      <c r="C519" s="5"/>
      <c r="D519" s="5"/>
      <c r="E519" s="5"/>
      <c r="F519" s="5"/>
      <c r="G519" s="5"/>
      <c r="H519" s="5"/>
    </row>
    <row r="520">
      <c r="C520" s="5"/>
      <c r="D520" s="5"/>
      <c r="E520" s="5"/>
      <c r="F520" s="5"/>
      <c r="G520" s="5"/>
      <c r="H520" s="5"/>
    </row>
    <row r="521">
      <c r="C521" s="5"/>
      <c r="D521" s="5"/>
      <c r="E521" s="5"/>
      <c r="F521" s="5"/>
      <c r="G521" s="5"/>
      <c r="H521" s="5"/>
    </row>
    <row r="522">
      <c r="C522" s="5"/>
      <c r="D522" s="5"/>
      <c r="E522" s="5"/>
      <c r="F522" s="5"/>
      <c r="G522" s="5"/>
      <c r="H522" s="5"/>
    </row>
    <row r="523">
      <c r="C523" s="5"/>
      <c r="D523" s="5"/>
      <c r="E523" s="5"/>
      <c r="F523" s="5"/>
      <c r="G523" s="5"/>
      <c r="H523" s="5"/>
    </row>
    <row r="524">
      <c r="C524" s="5"/>
      <c r="D524" s="5"/>
      <c r="E524" s="5"/>
      <c r="F524" s="5"/>
      <c r="G524" s="5"/>
      <c r="H524" s="5"/>
    </row>
    <row r="525">
      <c r="C525" s="5"/>
      <c r="D525" s="5"/>
      <c r="E525" s="5"/>
      <c r="F525" s="5"/>
      <c r="G525" s="5"/>
      <c r="H525" s="5"/>
    </row>
    <row r="526">
      <c r="C526" s="5"/>
      <c r="D526" s="5"/>
      <c r="E526" s="5"/>
      <c r="F526" s="5"/>
      <c r="G526" s="5"/>
      <c r="H526" s="5"/>
    </row>
    <row r="527">
      <c r="C527" s="5"/>
      <c r="D527" s="5"/>
      <c r="E527" s="5"/>
      <c r="F527" s="5"/>
      <c r="G527" s="5"/>
      <c r="H527" s="5"/>
    </row>
    <row r="528">
      <c r="C528" s="5"/>
      <c r="D528" s="5"/>
      <c r="E528" s="5"/>
      <c r="F528" s="5"/>
      <c r="G528" s="5"/>
      <c r="H528" s="5"/>
    </row>
    <row r="529">
      <c r="C529" s="5"/>
      <c r="D529" s="5"/>
      <c r="E529" s="5"/>
      <c r="F529" s="5"/>
      <c r="G529" s="5"/>
      <c r="H529" s="5"/>
    </row>
    <row r="530">
      <c r="C530" s="5"/>
      <c r="D530" s="5"/>
      <c r="E530" s="5"/>
      <c r="F530" s="5"/>
      <c r="G530" s="5"/>
      <c r="H530" s="5"/>
    </row>
    <row r="531">
      <c r="C531" s="5"/>
      <c r="D531" s="5"/>
      <c r="E531" s="5"/>
      <c r="F531" s="5"/>
      <c r="G531" s="5"/>
      <c r="H531" s="5"/>
    </row>
    <row r="532">
      <c r="C532" s="5"/>
      <c r="D532" s="5"/>
      <c r="E532" s="5"/>
      <c r="F532" s="5"/>
      <c r="G532" s="5"/>
      <c r="H532" s="5"/>
    </row>
    <row r="533">
      <c r="C533" s="5"/>
      <c r="D533" s="5"/>
      <c r="E533" s="5"/>
      <c r="F533" s="5"/>
      <c r="G533" s="5"/>
      <c r="H533" s="5"/>
    </row>
    <row r="534">
      <c r="C534" s="5"/>
      <c r="D534" s="5"/>
      <c r="E534" s="5"/>
      <c r="F534" s="5"/>
      <c r="G534" s="5"/>
      <c r="H534" s="5"/>
    </row>
    <row r="535">
      <c r="C535" s="5"/>
      <c r="D535" s="5"/>
      <c r="E535" s="5"/>
      <c r="F535" s="5"/>
      <c r="G535" s="5"/>
      <c r="H535" s="5"/>
    </row>
    <row r="536">
      <c r="C536" s="5"/>
      <c r="D536" s="5"/>
      <c r="E536" s="5"/>
      <c r="F536" s="5"/>
      <c r="G536" s="5"/>
      <c r="H536" s="5"/>
    </row>
    <row r="537">
      <c r="C537" s="5"/>
      <c r="D537" s="5"/>
      <c r="E537" s="5"/>
      <c r="F537" s="5"/>
      <c r="G537" s="5"/>
      <c r="H537" s="5"/>
    </row>
    <row r="538">
      <c r="C538" s="5"/>
      <c r="D538" s="5"/>
      <c r="E538" s="5"/>
      <c r="F538" s="5"/>
      <c r="G538" s="5"/>
      <c r="H538" s="5"/>
    </row>
    <row r="539">
      <c r="C539" s="5"/>
      <c r="D539" s="5"/>
      <c r="E539" s="5"/>
      <c r="F539" s="5"/>
      <c r="G539" s="5"/>
      <c r="H539" s="5"/>
    </row>
    <row r="540">
      <c r="C540" s="5"/>
      <c r="D540" s="5"/>
      <c r="E540" s="5"/>
      <c r="F540" s="5"/>
      <c r="G540" s="5"/>
      <c r="H540" s="5"/>
    </row>
    <row r="541">
      <c r="C541" s="5"/>
      <c r="D541" s="5"/>
      <c r="E541" s="5"/>
      <c r="F541" s="5"/>
      <c r="G541" s="5"/>
      <c r="H541" s="5"/>
    </row>
    <row r="542">
      <c r="C542" s="5"/>
      <c r="D542" s="5"/>
      <c r="E542" s="5"/>
      <c r="F542" s="5"/>
      <c r="G542" s="5"/>
      <c r="H542" s="5"/>
    </row>
    <row r="543">
      <c r="C543" s="5"/>
      <c r="D543" s="5"/>
      <c r="E543" s="5"/>
      <c r="F543" s="5"/>
      <c r="G543" s="5"/>
      <c r="H543" s="5"/>
    </row>
    <row r="544">
      <c r="C544" s="5"/>
      <c r="D544" s="5"/>
      <c r="E544" s="5"/>
      <c r="F544" s="5"/>
      <c r="G544" s="5"/>
      <c r="H544" s="5"/>
    </row>
    <row r="545">
      <c r="C545" s="5"/>
      <c r="D545" s="5"/>
      <c r="E545" s="5"/>
      <c r="F545" s="5"/>
      <c r="G545" s="5"/>
      <c r="H545" s="5"/>
    </row>
    <row r="546">
      <c r="C546" s="5"/>
      <c r="D546" s="5"/>
      <c r="E546" s="5"/>
      <c r="F546" s="5"/>
      <c r="G546" s="5"/>
      <c r="H546" s="5"/>
    </row>
    <row r="547">
      <c r="C547" s="5"/>
      <c r="D547" s="5"/>
      <c r="E547" s="5"/>
      <c r="F547" s="5"/>
      <c r="G547" s="5"/>
      <c r="H547" s="5"/>
    </row>
    <row r="548">
      <c r="C548" s="5"/>
      <c r="D548" s="5"/>
      <c r="E548" s="5"/>
      <c r="F548" s="5"/>
      <c r="G548" s="5"/>
      <c r="H548" s="5"/>
    </row>
    <row r="549">
      <c r="C549" s="5"/>
      <c r="D549" s="5"/>
      <c r="E549" s="5"/>
      <c r="F549" s="5"/>
      <c r="G549" s="5"/>
      <c r="H549" s="5"/>
    </row>
    <row r="550">
      <c r="C550" s="5"/>
      <c r="D550" s="5"/>
      <c r="E550" s="5"/>
      <c r="F550" s="5"/>
      <c r="G550" s="5"/>
      <c r="H550" s="5"/>
    </row>
    <row r="551">
      <c r="C551" s="5"/>
      <c r="D551" s="5"/>
      <c r="E551" s="5"/>
      <c r="F551" s="5"/>
      <c r="G551" s="5"/>
      <c r="H551" s="5"/>
    </row>
    <row r="552">
      <c r="C552" s="5"/>
      <c r="D552" s="5"/>
      <c r="E552" s="5"/>
      <c r="F552" s="5"/>
      <c r="G552" s="5"/>
      <c r="H552" s="5"/>
    </row>
    <row r="553">
      <c r="C553" s="5"/>
      <c r="D553" s="5"/>
      <c r="E553" s="5"/>
      <c r="F553" s="5"/>
      <c r="G553" s="5"/>
      <c r="H553" s="5"/>
    </row>
    <row r="554">
      <c r="C554" s="5"/>
      <c r="D554" s="5"/>
      <c r="E554" s="5"/>
      <c r="F554" s="5"/>
      <c r="G554" s="5"/>
      <c r="H554" s="5"/>
    </row>
    <row r="555">
      <c r="C555" s="5"/>
      <c r="D555" s="5"/>
      <c r="E555" s="5"/>
      <c r="F555" s="5"/>
      <c r="G555" s="5"/>
      <c r="H555" s="5"/>
    </row>
    <row r="556">
      <c r="C556" s="5"/>
      <c r="D556" s="5"/>
      <c r="E556" s="5"/>
      <c r="F556" s="5"/>
      <c r="G556" s="5"/>
      <c r="H556" s="5"/>
    </row>
    <row r="557">
      <c r="C557" s="5"/>
      <c r="D557" s="5"/>
      <c r="E557" s="5"/>
      <c r="F557" s="5"/>
      <c r="G557" s="5"/>
      <c r="H557" s="5"/>
    </row>
    <row r="558">
      <c r="C558" s="5"/>
      <c r="D558" s="5"/>
      <c r="E558" s="5"/>
      <c r="F558" s="5"/>
      <c r="G558" s="5"/>
      <c r="H558" s="5"/>
    </row>
    <row r="559">
      <c r="C559" s="5"/>
      <c r="D559" s="5"/>
      <c r="E559" s="5"/>
      <c r="F559" s="5"/>
      <c r="G559" s="5"/>
      <c r="H559" s="5"/>
    </row>
    <row r="560">
      <c r="C560" s="5"/>
      <c r="D560" s="5"/>
      <c r="E560" s="5"/>
      <c r="F560" s="5"/>
      <c r="G560" s="5"/>
      <c r="H560" s="5"/>
    </row>
    <row r="561">
      <c r="C561" s="5"/>
      <c r="D561" s="5"/>
      <c r="E561" s="5"/>
      <c r="F561" s="5"/>
      <c r="G561" s="5"/>
      <c r="H561" s="5"/>
    </row>
    <row r="562">
      <c r="C562" s="5"/>
      <c r="D562" s="5"/>
      <c r="E562" s="5"/>
      <c r="F562" s="5"/>
      <c r="G562" s="5"/>
      <c r="H562" s="5"/>
    </row>
    <row r="563">
      <c r="C563" s="5"/>
      <c r="D563" s="5"/>
      <c r="E563" s="5"/>
      <c r="F563" s="5"/>
      <c r="G563" s="5"/>
      <c r="H563" s="5"/>
    </row>
    <row r="564">
      <c r="C564" s="5"/>
      <c r="D564" s="5"/>
      <c r="E564" s="5"/>
      <c r="F564" s="5"/>
      <c r="G564" s="5"/>
      <c r="H564" s="5"/>
    </row>
    <row r="565">
      <c r="C565" s="5"/>
      <c r="D565" s="5"/>
      <c r="E565" s="5"/>
      <c r="F565" s="5"/>
      <c r="G565" s="5"/>
      <c r="H565" s="5"/>
    </row>
    <row r="566">
      <c r="C566" s="5"/>
      <c r="D566" s="5"/>
      <c r="E566" s="5"/>
      <c r="F566" s="5"/>
      <c r="G566" s="5"/>
      <c r="H566" s="5"/>
    </row>
    <row r="567">
      <c r="C567" s="5"/>
      <c r="D567" s="5"/>
      <c r="E567" s="5"/>
      <c r="F567" s="5"/>
      <c r="G567" s="5"/>
      <c r="H567" s="5"/>
    </row>
    <row r="568">
      <c r="C568" s="5"/>
      <c r="D568" s="5"/>
      <c r="E568" s="5"/>
      <c r="F568" s="5"/>
      <c r="G568" s="5"/>
      <c r="H568" s="5"/>
    </row>
    <row r="569">
      <c r="C569" s="5"/>
      <c r="D569" s="5"/>
      <c r="E569" s="5"/>
      <c r="F569" s="5"/>
      <c r="G569" s="5"/>
      <c r="H569" s="5"/>
    </row>
    <row r="570">
      <c r="C570" s="5"/>
      <c r="D570" s="5"/>
      <c r="E570" s="5"/>
      <c r="F570" s="5"/>
      <c r="G570" s="5"/>
      <c r="H570" s="5"/>
    </row>
    <row r="571">
      <c r="C571" s="5"/>
      <c r="D571" s="5"/>
      <c r="E571" s="5"/>
      <c r="F571" s="5"/>
      <c r="G571" s="5"/>
      <c r="H571" s="5"/>
    </row>
    <row r="572">
      <c r="C572" s="5"/>
      <c r="D572" s="5"/>
      <c r="E572" s="5"/>
      <c r="F572" s="5"/>
      <c r="G572" s="5"/>
      <c r="H572" s="5"/>
    </row>
    <row r="573">
      <c r="C573" s="5"/>
      <c r="D573" s="5"/>
      <c r="E573" s="5"/>
      <c r="F573" s="5"/>
      <c r="G573" s="5"/>
      <c r="H573" s="5"/>
    </row>
    <row r="574">
      <c r="C574" s="5"/>
      <c r="D574" s="5"/>
      <c r="E574" s="5"/>
      <c r="F574" s="5"/>
      <c r="G574" s="5"/>
      <c r="H574" s="5"/>
    </row>
    <row r="575">
      <c r="C575" s="5"/>
      <c r="D575" s="5"/>
      <c r="E575" s="5"/>
      <c r="F575" s="5"/>
      <c r="G575" s="5"/>
      <c r="H575" s="5"/>
    </row>
    <row r="576">
      <c r="C576" s="5"/>
      <c r="D576" s="5"/>
      <c r="E576" s="5"/>
      <c r="F576" s="5"/>
      <c r="G576" s="5"/>
      <c r="H576" s="5"/>
    </row>
    <row r="577">
      <c r="C577" s="5"/>
      <c r="D577" s="5"/>
      <c r="E577" s="5"/>
      <c r="F577" s="5"/>
      <c r="G577" s="5"/>
      <c r="H577" s="5"/>
    </row>
    <row r="578">
      <c r="C578" s="5"/>
      <c r="D578" s="5"/>
      <c r="E578" s="5"/>
      <c r="F578" s="5"/>
      <c r="G578" s="5"/>
      <c r="H578" s="5"/>
    </row>
    <row r="579">
      <c r="C579" s="5"/>
      <c r="D579" s="5"/>
      <c r="E579" s="5"/>
      <c r="F579" s="5"/>
      <c r="G579" s="5"/>
      <c r="H579" s="5"/>
    </row>
    <row r="580">
      <c r="C580" s="5"/>
      <c r="D580" s="5"/>
      <c r="E580" s="5"/>
      <c r="F580" s="5"/>
      <c r="G580" s="5"/>
      <c r="H580" s="5"/>
    </row>
    <row r="581">
      <c r="C581" s="5"/>
      <c r="D581" s="5"/>
      <c r="E581" s="5"/>
      <c r="F581" s="5"/>
      <c r="G581" s="5"/>
      <c r="H581" s="5"/>
    </row>
    <row r="582">
      <c r="C582" s="5"/>
      <c r="D582" s="5"/>
      <c r="E582" s="5"/>
      <c r="F582" s="5"/>
      <c r="G582" s="5"/>
      <c r="H582" s="5"/>
    </row>
    <row r="583">
      <c r="C583" s="5"/>
      <c r="D583" s="5"/>
      <c r="E583" s="5"/>
      <c r="F583" s="5"/>
      <c r="G583" s="5"/>
      <c r="H583" s="5"/>
    </row>
    <row r="584">
      <c r="C584" s="5"/>
      <c r="D584" s="5"/>
      <c r="E584" s="5"/>
      <c r="F584" s="5"/>
      <c r="G584" s="5"/>
      <c r="H584" s="5"/>
    </row>
    <row r="585">
      <c r="C585" s="5"/>
      <c r="D585" s="5"/>
      <c r="E585" s="5"/>
      <c r="F585" s="5"/>
      <c r="G585" s="5"/>
      <c r="H585" s="5"/>
    </row>
    <row r="586">
      <c r="C586" s="5"/>
      <c r="D586" s="5"/>
      <c r="E586" s="5"/>
      <c r="F586" s="5"/>
      <c r="G586" s="5"/>
      <c r="H586" s="5"/>
    </row>
    <row r="587">
      <c r="C587" s="5"/>
      <c r="D587" s="5"/>
      <c r="E587" s="5"/>
      <c r="F587" s="5"/>
      <c r="G587" s="5"/>
      <c r="H587" s="5"/>
    </row>
    <row r="588">
      <c r="C588" s="5"/>
      <c r="D588" s="5"/>
      <c r="E588" s="5"/>
      <c r="F588" s="5"/>
      <c r="G588" s="5"/>
      <c r="H588" s="5"/>
    </row>
    <row r="589">
      <c r="C589" s="5"/>
      <c r="D589" s="5"/>
      <c r="E589" s="5"/>
      <c r="F589" s="5"/>
      <c r="G589" s="5"/>
      <c r="H589" s="5"/>
    </row>
    <row r="590">
      <c r="C590" s="5"/>
      <c r="D590" s="5"/>
      <c r="E590" s="5"/>
      <c r="F590" s="5"/>
      <c r="G590" s="5"/>
      <c r="H590" s="5"/>
    </row>
    <row r="591">
      <c r="C591" s="5"/>
      <c r="D591" s="5"/>
      <c r="E591" s="5"/>
      <c r="F591" s="5"/>
      <c r="G591" s="5"/>
      <c r="H591" s="5"/>
    </row>
    <row r="592">
      <c r="C592" s="5"/>
      <c r="D592" s="5"/>
      <c r="E592" s="5"/>
      <c r="F592" s="5"/>
      <c r="G592" s="5"/>
      <c r="H592" s="5"/>
    </row>
    <row r="593">
      <c r="C593" s="5"/>
      <c r="D593" s="5"/>
      <c r="E593" s="5"/>
      <c r="F593" s="5"/>
      <c r="G593" s="5"/>
      <c r="H593" s="5"/>
    </row>
    <row r="594">
      <c r="C594" s="5"/>
      <c r="D594" s="5"/>
      <c r="E594" s="5"/>
      <c r="F594" s="5"/>
      <c r="G594" s="5"/>
      <c r="H594" s="5"/>
    </row>
    <row r="595">
      <c r="C595" s="5"/>
      <c r="D595" s="5"/>
      <c r="E595" s="5"/>
      <c r="F595" s="5"/>
      <c r="G595" s="5"/>
      <c r="H595" s="5"/>
    </row>
    <row r="596">
      <c r="C596" s="5"/>
      <c r="D596" s="5"/>
      <c r="E596" s="5"/>
      <c r="F596" s="5"/>
      <c r="G596" s="5"/>
      <c r="H596" s="5"/>
    </row>
    <row r="597">
      <c r="C597" s="5"/>
      <c r="D597" s="5"/>
      <c r="E597" s="5"/>
      <c r="F597" s="5"/>
      <c r="G597" s="5"/>
      <c r="H597" s="5"/>
    </row>
    <row r="598">
      <c r="C598" s="5"/>
      <c r="D598" s="5"/>
      <c r="E598" s="5"/>
      <c r="F598" s="5"/>
      <c r="G598" s="5"/>
      <c r="H598" s="5"/>
    </row>
    <row r="599">
      <c r="C599" s="5"/>
      <c r="D599" s="5"/>
      <c r="E599" s="5"/>
      <c r="F599" s="5"/>
      <c r="G599" s="5"/>
      <c r="H599" s="5"/>
    </row>
    <row r="600">
      <c r="C600" s="5"/>
      <c r="D600" s="5"/>
      <c r="E600" s="5"/>
      <c r="F600" s="5"/>
      <c r="G600" s="5"/>
      <c r="H600" s="5"/>
    </row>
    <row r="601">
      <c r="C601" s="5"/>
      <c r="D601" s="5"/>
      <c r="E601" s="5"/>
      <c r="F601" s="5"/>
      <c r="G601" s="5"/>
      <c r="H601" s="5"/>
    </row>
    <row r="602">
      <c r="C602" s="5"/>
      <c r="D602" s="5"/>
      <c r="E602" s="5"/>
      <c r="F602" s="5"/>
      <c r="G602" s="5"/>
      <c r="H602" s="5"/>
    </row>
    <row r="603">
      <c r="C603" s="5"/>
      <c r="D603" s="5"/>
      <c r="E603" s="5"/>
      <c r="F603" s="5"/>
      <c r="G603" s="5"/>
      <c r="H603" s="5"/>
    </row>
    <row r="604">
      <c r="C604" s="5"/>
      <c r="D604" s="5"/>
      <c r="E604" s="5"/>
      <c r="F604" s="5"/>
      <c r="G604" s="5"/>
      <c r="H604" s="5"/>
    </row>
    <row r="605">
      <c r="C605" s="5"/>
      <c r="D605" s="5"/>
      <c r="E605" s="5"/>
      <c r="F605" s="5"/>
      <c r="G605" s="5"/>
      <c r="H605" s="5"/>
    </row>
    <row r="606">
      <c r="C606" s="5"/>
      <c r="D606" s="5"/>
      <c r="E606" s="5"/>
      <c r="F606" s="5"/>
      <c r="G606" s="5"/>
      <c r="H606" s="5"/>
    </row>
    <row r="607">
      <c r="C607" s="5"/>
      <c r="D607" s="5"/>
      <c r="E607" s="5"/>
      <c r="F607" s="5"/>
      <c r="G607" s="5"/>
      <c r="H607" s="5"/>
    </row>
    <row r="608">
      <c r="C608" s="5"/>
      <c r="D608" s="5"/>
      <c r="E608" s="5"/>
      <c r="F608" s="5"/>
      <c r="G608" s="5"/>
      <c r="H608" s="5"/>
    </row>
    <row r="609">
      <c r="C609" s="5"/>
      <c r="D609" s="5"/>
      <c r="E609" s="5"/>
      <c r="F609" s="5"/>
      <c r="G609" s="5"/>
      <c r="H609" s="5"/>
    </row>
    <row r="610">
      <c r="C610" s="5"/>
      <c r="D610" s="5"/>
      <c r="E610" s="5"/>
      <c r="F610" s="5"/>
      <c r="G610" s="5"/>
      <c r="H610" s="5"/>
    </row>
    <row r="611">
      <c r="C611" s="5"/>
      <c r="D611" s="5"/>
      <c r="E611" s="5"/>
      <c r="F611" s="5"/>
      <c r="G611" s="5"/>
      <c r="H611" s="5"/>
    </row>
    <row r="612">
      <c r="C612" s="5"/>
      <c r="D612" s="5"/>
      <c r="E612" s="5"/>
      <c r="F612" s="5"/>
      <c r="G612" s="5"/>
      <c r="H612" s="5"/>
    </row>
    <row r="613">
      <c r="C613" s="5"/>
      <c r="D613" s="5"/>
      <c r="E613" s="5"/>
      <c r="F613" s="5"/>
      <c r="G613" s="5"/>
      <c r="H613" s="5"/>
    </row>
    <row r="614">
      <c r="C614" s="5"/>
      <c r="D614" s="5"/>
      <c r="E614" s="5"/>
      <c r="F614" s="5"/>
      <c r="G614" s="5"/>
      <c r="H614" s="5"/>
    </row>
    <row r="615">
      <c r="C615" s="5"/>
      <c r="D615" s="5"/>
      <c r="E615" s="5"/>
      <c r="F615" s="5"/>
      <c r="G615" s="5"/>
      <c r="H615" s="5"/>
    </row>
    <row r="616">
      <c r="C616" s="5"/>
      <c r="D616" s="5"/>
      <c r="E616" s="5"/>
      <c r="F616" s="5"/>
      <c r="G616" s="5"/>
      <c r="H616" s="5"/>
    </row>
    <row r="617">
      <c r="C617" s="5"/>
      <c r="D617" s="5"/>
      <c r="E617" s="5"/>
      <c r="F617" s="5"/>
      <c r="G617" s="5"/>
      <c r="H617" s="5"/>
    </row>
    <row r="618">
      <c r="C618" s="5"/>
      <c r="D618" s="5"/>
      <c r="E618" s="5"/>
      <c r="F618" s="5"/>
      <c r="G618" s="5"/>
      <c r="H618" s="5"/>
    </row>
    <row r="619">
      <c r="C619" s="5"/>
      <c r="D619" s="5"/>
      <c r="E619" s="5"/>
      <c r="F619" s="5"/>
      <c r="G619" s="5"/>
      <c r="H619" s="5"/>
    </row>
    <row r="620">
      <c r="C620" s="5"/>
      <c r="D620" s="5"/>
      <c r="E620" s="5"/>
      <c r="F620" s="5"/>
      <c r="G620" s="5"/>
      <c r="H620" s="5"/>
    </row>
    <row r="621">
      <c r="C621" s="5"/>
      <c r="D621" s="5"/>
      <c r="E621" s="5"/>
      <c r="F621" s="5"/>
      <c r="G621" s="5"/>
      <c r="H621" s="5"/>
    </row>
    <row r="622">
      <c r="C622" s="5"/>
      <c r="D622" s="5"/>
      <c r="E622" s="5"/>
      <c r="F622" s="5"/>
      <c r="G622" s="5"/>
      <c r="H622" s="5"/>
    </row>
    <row r="623">
      <c r="C623" s="5"/>
      <c r="D623" s="5"/>
      <c r="E623" s="5"/>
      <c r="F623" s="5"/>
      <c r="G623" s="5"/>
      <c r="H623" s="5"/>
    </row>
    <row r="624">
      <c r="C624" s="5"/>
      <c r="D624" s="5"/>
      <c r="E624" s="5"/>
      <c r="F624" s="5"/>
      <c r="G624" s="5"/>
      <c r="H624" s="5"/>
    </row>
    <row r="625">
      <c r="C625" s="5"/>
      <c r="D625" s="5"/>
      <c r="E625" s="5"/>
      <c r="F625" s="5"/>
      <c r="G625" s="5"/>
      <c r="H625" s="5"/>
    </row>
    <row r="626">
      <c r="C626" s="5"/>
      <c r="D626" s="5"/>
      <c r="E626" s="5"/>
      <c r="F626" s="5"/>
      <c r="G626" s="5"/>
      <c r="H626" s="5"/>
    </row>
    <row r="627">
      <c r="C627" s="5"/>
      <c r="D627" s="5"/>
      <c r="E627" s="5"/>
      <c r="F627" s="5"/>
      <c r="G627" s="5"/>
      <c r="H627" s="5"/>
    </row>
    <row r="628">
      <c r="C628" s="5"/>
      <c r="D628" s="5"/>
      <c r="E628" s="5"/>
      <c r="F628" s="5"/>
      <c r="G628" s="5"/>
      <c r="H628" s="5"/>
    </row>
    <row r="629">
      <c r="C629" s="5"/>
      <c r="D629" s="5"/>
      <c r="E629" s="5"/>
      <c r="F629" s="5"/>
      <c r="G629" s="5"/>
      <c r="H629" s="5"/>
    </row>
    <row r="630">
      <c r="C630" s="5"/>
      <c r="D630" s="5"/>
      <c r="E630" s="5"/>
      <c r="F630" s="5"/>
      <c r="G630" s="5"/>
      <c r="H630" s="5"/>
    </row>
    <row r="631">
      <c r="C631" s="5"/>
      <c r="D631" s="5"/>
      <c r="E631" s="5"/>
      <c r="F631" s="5"/>
      <c r="G631" s="5"/>
      <c r="H631" s="5"/>
    </row>
    <row r="632">
      <c r="C632" s="5"/>
      <c r="D632" s="5"/>
      <c r="E632" s="5"/>
      <c r="F632" s="5"/>
      <c r="G632" s="5"/>
      <c r="H632" s="5"/>
    </row>
    <row r="633">
      <c r="C633" s="5"/>
      <c r="D633" s="5"/>
      <c r="E633" s="5"/>
      <c r="F633" s="5"/>
      <c r="G633" s="5"/>
      <c r="H633" s="5"/>
    </row>
    <row r="634">
      <c r="C634" s="5"/>
      <c r="D634" s="5"/>
      <c r="E634" s="5"/>
      <c r="F634" s="5"/>
      <c r="G634" s="5"/>
      <c r="H634" s="5"/>
    </row>
    <row r="635">
      <c r="C635" s="5"/>
      <c r="D635" s="5"/>
      <c r="E635" s="5"/>
      <c r="F635" s="5"/>
      <c r="G635" s="5"/>
      <c r="H635" s="5"/>
    </row>
    <row r="636">
      <c r="C636" s="5"/>
      <c r="D636" s="5"/>
      <c r="E636" s="5"/>
      <c r="F636" s="5"/>
      <c r="G636" s="5"/>
      <c r="H636" s="5"/>
    </row>
    <row r="637">
      <c r="C637" s="5"/>
      <c r="D637" s="5"/>
      <c r="E637" s="5"/>
      <c r="F637" s="5"/>
      <c r="G637" s="5"/>
      <c r="H637" s="5"/>
    </row>
    <row r="638">
      <c r="C638" s="5"/>
      <c r="D638" s="5"/>
      <c r="E638" s="5"/>
      <c r="F638" s="5"/>
      <c r="G638" s="5"/>
      <c r="H638" s="5"/>
    </row>
    <row r="639">
      <c r="C639" s="5"/>
      <c r="D639" s="5"/>
      <c r="E639" s="5"/>
      <c r="F639" s="5"/>
      <c r="G639" s="5"/>
      <c r="H639" s="5"/>
    </row>
    <row r="640">
      <c r="C640" s="5"/>
      <c r="D640" s="5"/>
      <c r="E640" s="5"/>
      <c r="F640" s="5"/>
      <c r="G640" s="5"/>
      <c r="H640" s="5"/>
    </row>
    <row r="641">
      <c r="C641" s="5"/>
      <c r="D641" s="5"/>
      <c r="E641" s="5"/>
      <c r="F641" s="5"/>
      <c r="G641" s="5"/>
      <c r="H641" s="5"/>
    </row>
    <row r="642">
      <c r="C642" s="5"/>
      <c r="D642" s="5"/>
      <c r="E642" s="5"/>
      <c r="F642" s="5"/>
      <c r="G642" s="5"/>
      <c r="H642" s="5"/>
    </row>
    <row r="643">
      <c r="C643" s="5"/>
      <c r="D643" s="5"/>
      <c r="E643" s="5"/>
      <c r="F643" s="5"/>
      <c r="G643" s="5"/>
      <c r="H643" s="5"/>
    </row>
    <row r="644">
      <c r="C644" s="5"/>
      <c r="D644" s="5"/>
      <c r="E644" s="5"/>
      <c r="F644" s="5"/>
      <c r="G644" s="5"/>
      <c r="H644" s="5"/>
    </row>
    <row r="645">
      <c r="C645" s="5"/>
      <c r="D645" s="5"/>
      <c r="E645" s="5"/>
      <c r="F645" s="5"/>
      <c r="G645" s="5"/>
      <c r="H645" s="5"/>
    </row>
    <row r="646">
      <c r="C646" s="5"/>
      <c r="D646" s="5"/>
      <c r="E646" s="5"/>
      <c r="F646" s="5"/>
      <c r="G646" s="5"/>
      <c r="H646" s="5"/>
    </row>
    <row r="647">
      <c r="C647" s="5"/>
      <c r="D647" s="5"/>
      <c r="E647" s="5"/>
      <c r="F647" s="5"/>
      <c r="G647" s="5"/>
      <c r="H647" s="5"/>
    </row>
    <row r="648">
      <c r="C648" s="5"/>
      <c r="D648" s="5"/>
      <c r="E648" s="5"/>
      <c r="F648" s="5"/>
      <c r="G648" s="5"/>
      <c r="H648" s="5"/>
    </row>
    <row r="649">
      <c r="C649" s="5"/>
      <c r="D649" s="5"/>
      <c r="E649" s="5"/>
      <c r="F649" s="5"/>
      <c r="G649" s="5"/>
      <c r="H649" s="5"/>
    </row>
    <row r="650">
      <c r="C650" s="5"/>
      <c r="D650" s="5"/>
      <c r="E650" s="5"/>
      <c r="F650" s="5"/>
      <c r="G650" s="5"/>
      <c r="H650" s="5"/>
    </row>
    <row r="651">
      <c r="C651" s="5"/>
      <c r="D651" s="5"/>
      <c r="E651" s="5"/>
      <c r="F651" s="5"/>
      <c r="G651" s="5"/>
      <c r="H651" s="5"/>
    </row>
    <row r="652">
      <c r="C652" s="5"/>
      <c r="D652" s="5"/>
      <c r="E652" s="5"/>
      <c r="F652" s="5"/>
      <c r="G652" s="5"/>
      <c r="H652" s="5"/>
    </row>
    <row r="653">
      <c r="C653" s="5"/>
      <c r="D653" s="5"/>
      <c r="E653" s="5"/>
      <c r="F653" s="5"/>
      <c r="G653" s="5"/>
      <c r="H653" s="5"/>
    </row>
    <row r="654">
      <c r="C654" s="5"/>
      <c r="D654" s="5"/>
      <c r="E654" s="5"/>
      <c r="F654" s="5"/>
      <c r="G654" s="5"/>
      <c r="H654" s="5"/>
    </row>
    <row r="655">
      <c r="C655" s="5"/>
      <c r="D655" s="5"/>
      <c r="E655" s="5"/>
      <c r="F655" s="5"/>
      <c r="G655" s="5"/>
      <c r="H655" s="5"/>
    </row>
    <row r="656">
      <c r="C656" s="5"/>
      <c r="D656" s="5"/>
      <c r="E656" s="5"/>
      <c r="F656" s="5"/>
      <c r="G656" s="5"/>
      <c r="H656" s="5"/>
    </row>
    <row r="657">
      <c r="C657" s="5"/>
      <c r="D657" s="5"/>
      <c r="E657" s="5"/>
      <c r="F657" s="5"/>
      <c r="G657" s="5"/>
      <c r="H657" s="5"/>
    </row>
    <row r="658">
      <c r="C658" s="5"/>
      <c r="D658" s="5"/>
      <c r="E658" s="5"/>
      <c r="F658" s="5"/>
      <c r="G658" s="5"/>
      <c r="H658" s="5"/>
    </row>
    <row r="659">
      <c r="C659" s="5"/>
      <c r="D659" s="5"/>
      <c r="E659" s="5"/>
      <c r="F659" s="5"/>
      <c r="G659" s="5"/>
      <c r="H659" s="5"/>
    </row>
    <row r="660">
      <c r="C660" s="5"/>
      <c r="D660" s="5"/>
      <c r="E660" s="5"/>
      <c r="F660" s="5"/>
      <c r="G660" s="5"/>
      <c r="H660" s="5"/>
    </row>
    <row r="661">
      <c r="C661" s="5"/>
      <c r="D661" s="5"/>
      <c r="E661" s="5"/>
      <c r="F661" s="5"/>
      <c r="G661" s="5"/>
      <c r="H661" s="5"/>
    </row>
    <row r="662">
      <c r="C662" s="5"/>
      <c r="D662" s="5"/>
      <c r="E662" s="5"/>
      <c r="F662" s="5"/>
      <c r="G662" s="5"/>
      <c r="H662" s="5"/>
    </row>
    <row r="663">
      <c r="C663" s="5"/>
      <c r="D663" s="5"/>
      <c r="E663" s="5"/>
      <c r="F663" s="5"/>
      <c r="G663" s="5"/>
      <c r="H663" s="5"/>
    </row>
    <row r="664">
      <c r="C664" s="5"/>
      <c r="D664" s="5"/>
      <c r="E664" s="5"/>
      <c r="F664" s="5"/>
      <c r="G664" s="5"/>
      <c r="H664" s="5"/>
    </row>
    <row r="665">
      <c r="C665" s="5"/>
      <c r="D665" s="5"/>
      <c r="E665" s="5"/>
      <c r="F665" s="5"/>
      <c r="G665" s="5"/>
      <c r="H665" s="5"/>
    </row>
    <row r="666">
      <c r="C666" s="5"/>
      <c r="D666" s="5"/>
      <c r="E666" s="5"/>
      <c r="F666" s="5"/>
      <c r="G666" s="5"/>
      <c r="H666" s="5"/>
    </row>
    <row r="667">
      <c r="C667" s="5"/>
      <c r="D667" s="5"/>
      <c r="E667" s="5"/>
      <c r="F667" s="5"/>
      <c r="G667" s="5"/>
      <c r="H667" s="5"/>
    </row>
    <row r="668">
      <c r="C668" s="5"/>
      <c r="D668" s="5"/>
      <c r="E668" s="5"/>
      <c r="F668" s="5"/>
      <c r="G668" s="5"/>
      <c r="H668" s="5"/>
    </row>
    <row r="669">
      <c r="C669" s="5"/>
      <c r="D669" s="5"/>
      <c r="E669" s="5"/>
      <c r="F669" s="5"/>
      <c r="G669" s="5"/>
      <c r="H669" s="5"/>
    </row>
    <row r="670">
      <c r="C670" s="5"/>
      <c r="D670" s="5"/>
      <c r="E670" s="5"/>
      <c r="F670" s="5"/>
      <c r="G670" s="5"/>
      <c r="H670" s="5"/>
    </row>
    <row r="671">
      <c r="C671" s="5"/>
      <c r="D671" s="5"/>
      <c r="E671" s="5"/>
      <c r="F671" s="5"/>
      <c r="G671" s="5"/>
      <c r="H671" s="5"/>
    </row>
    <row r="672">
      <c r="C672" s="5"/>
      <c r="D672" s="5"/>
      <c r="E672" s="5"/>
      <c r="F672" s="5"/>
      <c r="G672" s="5"/>
      <c r="H672" s="5"/>
    </row>
    <row r="673">
      <c r="C673" s="5"/>
      <c r="D673" s="5"/>
      <c r="E673" s="5"/>
      <c r="F673" s="5"/>
      <c r="G673" s="5"/>
      <c r="H673" s="5"/>
    </row>
    <row r="674">
      <c r="C674" s="5"/>
      <c r="D674" s="5"/>
      <c r="E674" s="5"/>
      <c r="F674" s="5"/>
      <c r="G674" s="5"/>
      <c r="H674" s="5"/>
    </row>
    <row r="675">
      <c r="C675" s="5"/>
      <c r="D675" s="5"/>
      <c r="E675" s="5"/>
      <c r="F675" s="5"/>
      <c r="G675" s="5"/>
      <c r="H675" s="5"/>
    </row>
    <row r="676">
      <c r="C676" s="5"/>
      <c r="D676" s="5"/>
      <c r="E676" s="5"/>
      <c r="F676" s="5"/>
      <c r="G676" s="5"/>
      <c r="H676" s="5"/>
    </row>
    <row r="677">
      <c r="C677" s="5"/>
      <c r="D677" s="5"/>
      <c r="E677" s="5"/>
      <c r="F677" s="5"/>
      <c r="G677" s="5"/>
      <c r="H677" s="5"/>
    </row>
    <row r="678">
      <c r="C678" s="5"/>
      <c r="D678" s="5"/>
      <c r="E678" s="5"/>
      <c r="F678" s="5"/>
      <c r="G678" s="5"/>
      <c r="H678" s="5"/>
    </row>
    <row r="679">
      <c r="C679" s="5"/>
      <c r="D679" s="5"/>
      <c r="E679" s="5"/>
      <c r="F679" s="5"/>
      <c r="G679" s="5"/>
      <c r="H679" s="5"/>
    </row>
    <row r="680">
      <c r="C680" s="5"/>
      <c r="D680" s="5"/>
      <c r="E680" s="5"/>
      <c r="F680" s="5"/>
      <c r="G680" s="5"/>
      <c r="H680" s="5"/>
    </row>
    <row r="681">
      <c r="C681" s="5"/>
      <c r="D681" s="5"/>
      <c r="E681" s="5"/>
      <c r="F681" s="5"/>
      <c r="G681" s="5"/>
      <c r="H681" s="5"/>
    </row>
    <row r="682">
      <c r="C682" s="5"/>
      <c r="D682" s="5"/>
      <c r="E682" s="5"/>
      <c r="F682" s="5"/>
      <c r="G682" s="5"/>
      <c r="H682" s="5"/>
    </row>
    <row r="683">
      <c r="C683" s="5"/>
      <c r="D683" s="5"/>
      <c r="E683" s="5"/>
      <c r="F683" s="5"/>
      <c r="G683" s="5"/>
      <c r="H683" s="5"/>
    </row>
    <row r="684">
      <c r="C684" s="5"/>
      <c r="D684" s="5"/>
      <c r="E684" s="5"/>
      <c r="F684" s="5"/>
      <c r="G684" s="5"/>
      <c r="H684" s="5"/>
    </row>
    <row r="685">
      <c r="C685" s="5"/>
      <c r="D685" s="5"/>
      <c r="E685" s="5"/>
      <c r="F685" s="5"/>
      <c r="G685" s="5"/>
      <c r="H685" s="5"/>
    </row>
    <row r="686">
      <c r="C686" s="5"/>
      <c r="D686" s="5"/>
      <c r="E686" s="5"/>
      <c r="F686" s="5"/>
      <c r="G686" s="5"/>
      <c r="H686" s="5"/>
    </row>
    <row r="687">
      <c r="C687" s="5"/>
      <c r="D687" s="5"/>
      <c r="E687" s="5"/>
      <c r="F687" s="5"/>
      <c r="G687" s="5"/>
      <c r="H687" s="5"/>
    </row>
    <row r="688">
      <c r="C688" s="5"/>
      <c r="D688" s="5"/>
      <c r="E688" s="5"/>
      <c r="F688" s="5"/>
      <c r="G688" s="5"/>
      <c r="H688" s="5"/>
    </row>
    <row r="689">
      <c r="C689" s="5"/>
      <c r="D689" s="5"/>
      <c r="E689" s="5"/>
      <c r="F689" s="5"/>
      <c r="G689" s="5"/>
      <c r="H689" s="5"/>
    </row>
    <row r="690">
      <c r="C690" s="5"/>
      <c r="D690" s="5"/>
      <c r="E690" s="5"/>
      <c r="F690" s="5"/>
      <c r="G690" s="5"/>
      <c r="H690" s="5"/>
    </row>
  </sheetData>
  <conditionalFormatting sqref="C1:C690 E1:E690 G1:G690 D2:D129 F2:F129 H2:H129">
    <cfRule type="containsText" dxfId="0" priority="1" operator="containsText" text="yes">
      <formula>NOT(ISERROR(SEARCH(("yes"),(C1))))</formula>
    </cfRule>
  </conditionalFormatting>
  <conditionalFormatting sqref="C1:C690 E1:E690 G1:G690 D2:D129 F2:F129 H2:H129">
    <cfRule type="containsText" dxfId="1" priority="2" operator="containsText" text="decent">
      <formula>NOT(ISERROR(SEARCH(("decent"),(C1))))</formula>
    </cfRule>
  </conditionalFormatting>
  <conditionalFormatting sqref="D123">
    <cfRule type="containsText" dxfId="6" priority="3" operator="containsText" text="probably not">
      <formula>NOT(ISERROR(SEARCH(("probably not"),(D123))))</formula>
    </cfRule>
  </conditionalFormatting>
  <conditionalFormatting sqref="D123">
    <cfRule type="containsText" dxfId="1" priority="4" operator="containsText" text="probably">
      <formula>NOT(ISERROR(SEARCH(("probably"),(D123))))</formula>
    </cfRule>
  </conditionalFormatting>
  <conditionalFormatting sqref="C1:C690 E1:E690 G1:G690 D2:D129 F2:F129 H2:H129">
    <cfRule type="containsText" dxfId="2" priority="5" operator="containsText" text="maybe">
      <formula>NOT(ISERROR(SEARCH(("maybe"),(C1))))</formula>
    </cfRule>
  </conditionalFormatting>
  <conditionalFormatting sqref="C1:C690 E1:E690 G1:G690 D2:D129 F2:F129 H2:H129">
    <cfRule type="containsText" dxfId="3" priority="6" operator="containsText" text="no">
      <formula>NOT(ISERROR(SEARCH(("no"),(C1))))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2" max="2" width="17.25"/>
    <col customWidth="1" min="3" max="3" width="12.5"/>
    <col customWidth="1" min="4" max="4" width="20.88"/>
    <col customWidth="1" min="5" max="5" width="9.75"/>
    <col customWidth="1" min="6" max="6" width="20.88"/>
    <col customWidth="1" min="7" max="7" width="9.88"/>
    <col customWidth="1" min="8" max="8" width="20.88"/>
  </cols>
  <sheetData>
    <row r="1">
      <c r="A1" s="1" t="s">
        <v>0</v>
      </c>
      <c r="B1" s="1" t="s">
        <v>1</v>
      </c>
      <c r="C1" s="3" t="s">
        <v>3</v>
      </c>
      <c r="D1" s="3" t="s">
        <v>4</v>
      </c>
      <c r="E1" s="3" t="s">
        <v>5</v>
      </c>
      <c r="F1" s="3" t="s">
        <v>4</v>
      </c>
      <c r="G1" s="3" t="s">
        <v>187</v>
      </c>
      <c r="H1" s="3" t="s">
        <v>4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257</v>
      </c>
      <c r="B2" s="1" t="s">
        <v>117</v>
      </c>
      <c r="C2" s="3" t="str">
        <f>'res269 Ari'!C2</f>
        <v>maybe</v>
      </c>
      <c r="D2" s="3" t="str">
        <f>'res269 Ari'!D2</f>
        <v/>
      </c>
      <c r="E2" s="3" t="str">
        <f>'res269 Summer'!C2</f>
        <v>decent</v>
      </c>
      <c r="F2" s="3" t="str">
        <f>'res269 Summer'!D2</f>
        <v/>
      </c>
      <c r="G2" s="3" t="str">
        <f>'res269 Mary Shay'!C2</f>
        <v/>
      </c>
      <c r="H2" s="3" t="str">
        <f>'res269 Mary Shay'!D2</f>
        <v/>
      </c>
      <c r="I2" s="1" t="str">
        <f>IFERROR(__xludf.DUMMYFUNCTION("IFERROR(REGEXEXTRACT(E2, ""res(269|122)""), ""none"")"),"none")</f>
        <v>none</v>
      </c>
      <c r="J2" s="1">
        <v>-16.620105</v>
      </c>
      <c r="K2" s="1">
        <v>12.0</v>
      </c>
      <c r="L2" s="1">
        <v>3.0</v>
      </c>
      <c r="M2" s="1">
        <v>0.416667</v>
      </c>
      <c r="N2" s="1">
        <v>2.0</v>
      </c>
      <c r="O2" s="1">
        <v>-0.664324</v>
      </c>
      <c r="P2" s="1">
        <v>100.0</v>
      </c>
      <c r="Q2" s="1">
        <v>0.0</v>
      </c>
      <c r="R2" s="1">
        <v>0.0</v>
      </c>
      <c r="S2" s="1">
        <v>100.132238</v>
      </c>
    </row>
    <row r="3">
      <c r="A3" s="1" t="s">
        <v>258</v>
      </c>
      <c r="B3" s="1" t="s">
        <v>259</v>
      </c>
      <c r="C3" s="3" t="str">
        <f>'res269 Ari'!C3</f>
        <v>maybe</v>
      </c>
      <c r="D3" s="3" t="str">
        <f>'res269 Ari'!D3</f>
        <v>very similar to PV-000431376370 with different terminal ring</v>
      </c>
      <c r="E3" s="3" t="str">
        <f>'res269 Summer'!C3</f>
        <v>no</v>
      </c>
      <c r="F3" s="3" t="str">
        <f>'res269 Summer'!D3</f>
        <v/>
      </c>
      <c r="G3" s="3" t="str">
        <f>'res269 Mary Shay'!C3</f>
        <v/>
      </c>
      <c r="H3" s="3" t="str">
        <f>'res269 Mary Shay'!D3</f>
        <v/>
      </c>
      <c r="I3" s="1" t="str">
        <f>IFERROR(__xludf.DUMMYFUNCTION("IFERROR(REGEXEXTRACT(E3, ""res(269|122)""), ""none"")"),"none")</f>
        <v>none</v>
      </c>
      <c r="J3" s="1">
        <v>-16.020646</v>
      </c>
      <c r="K3" s="1">
        <v>9.0</v>
      </c>
      <c r="L3" s="1">
        <v>1.0</v>
      </c>
      <c r="M3" s="1">
        <v>0.333333</v>
      </c>
      <c r="N3" s="1">
        <v>3.0</v>
      </c>
      <c r="O3" s="1">
        <v>-2.057194</v>
      </c>
      <c r="P3" s="1">
        <v>100.0</v>
      </c>
      <c r="Q3" s="1">
        <v>0.0</v>
      </c>
      <c r="R3" s="1">
        <v>0.0</v>
      </c>
      <c r="S3" s="1">
        <v>95.255493</v>
      </c>
    </row>
    <row r="4">
      <c r="A4" s="1" t="s">
        <v>260</v>
      </c>
      <c r="B4" s="1" t="s">
        <v>261</v>
      </c>
      <c r="C4" s="3" t="str">
        <f>'res269 Ari'!C4</f>
        <v>maybe</v>
      </c>
      <c r="D4" s="3" t="str">
        <f>'res269 Ari'!D4</f>
        <v>very similar to PV-000431210683 with different terminal ring</v>
      </c>
      <c r="E4" s="3" t="str">
        <f>'res269 Summer'!C4</f>
        <v>no</v>
      </c>
      <c r="F4" s="3" t="str">
        <f>'res269 Summer'!D4</f>
        <v/>
      </c>
      <c r="G4" s="3" t="str">
        <f>'res269 Mary Shay'!C4</f>
        <v/>
      </c>
      <c r="H4" s="3" t="str">
        <f>'res269 Mary Shay'!D4</f>
        <v/>
      </c>
      <c r="I4" s="1" t="str">
        <f>IFERROR(__xludf.DUMMYFUNCTION("IFERROR(REGEXEXTRACT(E4, ""res(269|122)""), ""none"")"),"none")</f>
        <v>none</v>
      </c>
      <c r="J4" s="1">
        <v>-16.416697</v>
      </c>
      <c r="K4" s="1">
        <v>9.0</v>
      </c>
      <c r="L4" s="1">
        <v>1.0</v>
      </c>
      <c r="M4" s="1">
        <v>0.333333</v>
      </c>
      <c r="N4" s="1">
        <v>3.0</v>
      </c>
      <c r="O4" s="1">
        <v>-2.107731</v>
      </c>
      <c r="P4" s="1">
        <v>100.0</v>
      </c>
      <c r="Q4" s="1">
        <v>0.0</v>
      </c>
      <c r="R4" s="1">
        <v>0.0</v>
      </c>
      <c r="S4" s="1">
        <v>94.808905</v>
      </c>
    </row>
    <row r="5">
      <c r="A5" s="1" t="s">
        <v>262</v>
      </c>
      <c r="B5" s="1" t="s">
        <v>74</v>
      </c>
      <c r="C5" s="3" t="str">
        <f>'res269 Ari'!C5</f>
        <v>decent</v>
      </c>
      <c r="D5" s="3" t="str">
        <f>'res269 Ari'!D5</f>
        <v/>
      </c>
      <c r="E5" s="3" t="str">
        <f>'res269 Summer'!C5</f>
        <v>decent</v>
      </c>
      <c r="F5" s="3" t="str">
        <f>'res269 Summer'!D5</f>
        <v/>
      </c>
      <c r="G5" s="3" t="str">
        <f>'res269 Mary Shay'!C5</f>
        <v/>
      </c>
      <c r="H5" s="3" t="str">
        <f>'res269 Mary Shay'!D5</f>
        <v/>
      </c>
      <c r="I5" s="1" t="str">
        <f>IFERROR(__xludf.DUMMYFUNCTION("IFERROR(REGEXEXTRACT(E5, ""res(269|122)""), ""none"")"),"none")</f>
        <v>none</v>
      </c>
      <c r="J5" s="1">
        <v>-15.124595</v>
      </c>
      <c r="K5" s="1">
        <v>8.0</v>
      </c>
      <c r="L5" s="1">
        <v>5.0</v>
      </c>
      <c r="M5" s="1">
        <v>0.375</v>
      </c>
      <c r="N5" s="1">
        <v>2.0</v>
      </c>
      <c r="O5" s="1">
        <v>-0.84012</v>
      </c>
      <c r="P5" s="1">
        <v>100.0</v>
      </c>
      <c r="Q5" s="1">
        <v>0.0</v>
      </c>
      <c r="R5" s="1">
        <v>0.0</v>
      </c>
      <c r="S5" s="1">
        <v>99.410285</v>
      </c>
    </row>
    <row r="6">
      <c r="A6" s="1" t="s">
        <v>263</v>
      </c>
      <c r="B6" s="1" t="s">
        <v>264</v>
      </c>
      <c r="C6" s="3" t="str">
        <f>'res269 Ari'!C6</f>
        <v>maybe</v>
      </c>
      <c r="D6" s="3" t="str">
        <f>'res269 Ari'!D6</f>
        <v/>
      </c>
      <c r="E6" s="3" t="str">
        <f>'res269 Summer'!C6</f>
        <v>no</v>
      </c>
      <c r="F6" s="3" t="str">
        <f>'res269 Summer'!D6</f>
        <v/>
      </c>
      <c r="G6" s="3" t="str">
        <f>'res269 Mary Shay'!C6</f>
        <v/>
      </c>
      <c r="H6" s="3" t="str">
        <f>'res269 Mary Shay'!D6</f>
        <v/>
      </c>
      <c r="I6" s="1" t="str">
        <f>IFERROR(__xludf.DUMMYFUNCTION("IFERROR(REGEXEXTRACT(E6, ""res(269|122)""), ""none"")"),"none")</f>
        <v>none</v>
      </c>
      <c r="J6" s="1">
        <v>-15.247766</v>
      </c>
      <c r="K6" s="1">
        <v>6.0</v>
      </c>
      <c r="L6" s="1">
        <v>2.0</v>
      </c>
      <c r="M6" s="1">
        <v>0.333333</v>
      </c>
      <c r="N6" s="1">
        <v>3.0</v>
      </c>
      <c r="O6" s="1">
        <v>-1.003179</v>
      </c>
      <c r="P6" s="1">
        <v>100.0</v>
      </c>
      <c r="Q6" s="1">
        <v>0.0</v>
      </c>
      <c r="R6" s="1">
        <v>0.0</v>
      </c>
      <c r="S6" s="1">
        <v>95.082388</v>
      </c>
    </row>
    <row r="7">
      <c r="A7" s="1" t="s">
        <v>265</v>
      </c>
      <c r="B7" s="1" t="s">
        <v>120</v>
      </c>
      <c r="C7" s="3" t="str">
        <f>'res269 Ari'!C7</f>
        <v>maybe</v>
      </c>
      <c r="D7" s="3" t="str">
        <f>'res269 Ari'!D7</f>
        <v/>
      </c>
      <c r="E7" s="3" t="str">
        <f>'res269 Summer'!C7</f>
        <v>decent</v>
      </c>
      <c r="F7" s="3" t="str">
        <f>'res269 Summer'!D7</f>
        <v/>
      </c>
      <c r="G7" s="3" t="str">
        <f>'res269 Mary Shay'!C7</f>
        <v/>
      </c>
      <c r="H7" s="3" t="str">
        <f>'res269 Mary Shay'!D7</f>
        <v/>
      </c>
      <c r="I7" s="1" t="str">
        <f>IFERROR(__xludf.DUMMYFUNCTION("IFERROR(REGEXEXTRACT(E7, ""res(269|122)""), ""none"")"),"none")</f>
        <v>none</v>
      </c>
      <c r="J7" s="1">
        <v>-15.234041</v>
      </c>
      <c r="K7" s="1">
        <v>8.0</v>
      </c>
      <c r="L7" s="1">
        <v>3.0</v>
      </c>
      <c r="M7" s="1">
        <v>0.25</v>
      </c>
      <c r="N7" s="1">
        <v>3.0</v>
      </c>
      <c r="O7" s="1">
        <v>-0.552818</v>
      </c>
      <c r="P7" s="1">
        <v>100.0</v>
      </c>
      <c r="Q7" s="1">
        <v>0.0</v>
      </c>
      <c r="R7" s="1">
        <v>0.0</v>
      </c>
      <c r="S7" s="1">
        <v>98.463141</v>
      </c>
    </row>
    <row r="8">
      <c r="A8" s="1" t="s">
        <v>266</v>
      </c>
      <c r="B8" s="1" t="s">
        <v>77</v>
      </c>
      <c r="C8" s="3" t="str">
        <f>'res269 Ari'!C8</f>
        <v>decent</v>
      </c>
      <c r="D8" s="3" t="str">
        <f>'res269 Ari'!D8</f>
        <v/>
      </c>
      <c r="E8" s="3" t="str">
        <f>'res269 Summer'!C8</f>
        <v>decent</v>
      </c>
      <c r="F8" s="3" t="str">
        <f>'res269 Summer'!D8</f>
        <v/>
      </c>
      <c r="G8" s="3" t="str">
        <f>'res269 Mary Shay'!C8</f>
        <v/>
      </c>
      <c r="H8" s="3" t="str">
        <f>'res269 Mary Shay'!D8</f>
        <v/>
      </c>
      <c r="I8" s="1" t="str">
        <f>IFERROR(__xludf.DUMMYFUNCTION("IFERROR(REGEXEXTRACT(E8, ""res(269|122)""), ""none"")"),"none")</f>
        <v>none</v>
      </c>
      <c r="J8" s="1">
        <v>-15.196061</v>
      </c>
      <c r="K8" s="1">
        <v>7.0</v>
      </c>
      <c r="L8" s="1">
        <v>2.0</v>
      </c>
      <c r="M8" s="1">
        <v>0.285714</v>
      </c>
      <c r="N8" s="1">
        <v>2.0</v>
      </c>
      <c r="O8" s="1">
        <v>-1.471521</v>
      </c>
      <c r="P8" s="1">
        <v>100.0</v>
      </c>
      <c r="Q8" s="1">
        <v>0.0</v>
      </c>
      <c r="R8" s="1">
        <v>0.0</v>
      </c>
      <c r="S8" s="1">
        <v>94.618132</v>
      </c>
    </row>
    <row r="9">
      <c r="A9" s="1" t="s">
        <v>267</v>
      </c>
      <c r="B9" s="1" t="s">
        <v>268</v>
      </c>
      <c r="C9" s="3" t="str">
        <f>'res269 Ari'!C9</f>
        <v>maybe</v>
      </c>
      <c r="D9" s="3" t="str">
        <f>'res269 Ari'!D9</f>
        <v/>
      </c>
      <c r="E9" s="3" t="str">
        <f>'res269 Summer'!C9</f>
        <v>no</v>
      </c>
      <c r="F9" s="3" t="str">
        <f>'res269 Summer'!D9</f>
        <v/>
      </c>
      <c r="G9" s="3" t="str">
        <f>'res269 Mary Shay'!C9</f>
        <v/>
      </c>
      <c r="H9" s="3" t="str">
        <f>'res269 Mary Shay'!D9</f>
        <v/>
      </c>
      <c r="I9" s="1" t="str">
        <f>IFERROR(__xludf.DUMMYFUNCTION("IFERROR(REGEXEXTRACT(E9, ""res(269|122)""), ""none"")"),"none")</f>
        <v>none</v>
      </c>
      <c r="J9" s="1">
        <v>-15.475748</v>
      </c>
      <c r="K9" s="1">
        <v>11.0</v>
      </c>
      <c r="L9" s="1">
        <v>1.0</v>
      </c>
      <c r="M9" s="1">
        <v>0.272727</v>
      </c>
      <c r="N9" s="1">
        <v>2.0</v>
      </c>
      <c r="O9" s="1">
        <v>-0.318571</v>
      </c>
      <c r="P9" s="1">
        <v>100.0</v>
      </c>
      <c r="Q9" s="1">
        <v>0.0</v>
      </c>
      <c r="R9" s="1">
        <v>0.0</v>
      </c>
      <c r="S9" s="1">
        <v>98.478408</v>
      </c>
    </row>
    <row r="10">
      <c r="A10" s="1" t="s">
        <v>269</v>
      </c>
      <c r="B10" s="1" t="s">
        <v>270</v>
      </c>
      <c r="C10" s="3" t="str">
        <f>'res269 Ari'!C10</f>
        <v>maybe</v>
      </c>
      <c r="D10" s="3" t="str">
        <f>'res269 Ari'!D10</f>
        <v/>
      </c>
      <c r="E10" s="3" t="str">
        <f>'res269 Summer'!C10</f>
        <v>no</v>
      </c>
      <c r="F10" s="3" t="str">
        <f>'res269 Summer'!D10</f>
        <v/>
      </c>
      <c r="G10" s="3" t="str">
        <f>'res269 Mary Shay'!C10</f>
        <v/>
      </c>
      <c r="H10" s="3" t="str">
        <f>'res269 Mary Shay'!D10</f>
        <v/>
      </c>
      <c r="I10" s="1" t="str">
        <f>IFERROR(__xludf.DUMMYFUNCTION("IFERROR(REGEXEXTRACT(E10, ""res(269|122)""), ""none"")"),"none")</f>
        <v>none</v>
      </c>
      <c r="J10" s="1">
        <v>-15.217109</v>
      </c>
      <c r="K10" s="1">
        <v>8.0</v>
      </c>
      <c r="L10" s="1">
        <v>2.0</v>
      </c>
      <c r="M10" s="1">
        <v>0.25</v>
      </c>
      <c r="N10" s="1">
        <v>3.0</v>
      </c>
      <c r="O10" s="1">
        <v>-1.096035</v>
      </c>
      <c r="P10" s="1">
        <v>100.0</v>
      </c>
      <c r="Q10" s="1">
        <v>0.0</v>
      </c>
      <c r="R10" s="1">
        <v>0.0</v>
      </c>
      <c r="S10" s="1">
        <v>96.936856</v>
      </c>
    </row>
    <row r="11">
      <c r="A11" s="1" t="s">
        <v>271</v>
      </c>
      <c r="B11" s="1" t="s">
        <v>272</v>
      </c>
      <c r="C11" s="3" t="str">
        <f>'res269 Ari'!C11</f>
        <v>maybe</v>
      </c>
      <c r="D11" s="3" t="str">
        <f>'res269 Ari'!D11</f>
        <v>same pose as PV-004359981114, enantiomer</v>
      </c>
      <c r="E11" s="3" t="str">
        <f>'res269 Summer'!C11</f>
        <v>no</v>
      </c>
      <c r="F11" s="3" t="str">
        <f>'res269 Summer'!D11</f>
        <v/>
      </c>
      <c r="G11" s="3" t="str">
        <f>'res269 Mary Shay'!C11</f>
        <v/>
      </c>
      <c r="H11" s="3" t="str">
        <f>'res269 Mary Shay'!D11</f>
        <v/>
      </c>
      <c r="I11" s="1" t="str">
        <f>IFERROR(__xludf.DUMMYFUNCTION("IFERROR(REGEXEXTRACT(E11, ""res(269|122)""), ""none"")"),"none")</f>
        <v>none</v>
      </c>
      <c r="J11" s="1">
        <v>-16.067978</v>
      </c>
      <c r="K11" s="1">
        <v>10.0</v>
      </c>
      <c r="L11" s="1">
        <v>3.0</v>
      </c>
      <c r="M11" s="1">
        <v>0.4</v>
      </c>
      <c r="N11" s="1">
        <v>4.0</v>
      </c>
      <c r="O11" s="1">
        <v>-1.686262</v>
      </c>
      <c r="P11" s="1">
        <v>100.0</v>
      </c>
      <c r="Q11" s="1">
        <v>0.0</v>
      </c>
      <c r="R11" s="1">
        <v>0.0</v>
      </c>
      <c r="S11" s="1">
        <v>99.64576</v>
      </c>
    </row>
    <row r="12">
      <c r="A12" s="1" t="s">
        <v>273</v>
      </c>
      <c r="B12" s="1" t="s">
        <v>274</v>
      </c>
      <c r="C12" s="3" t="str">
        <f>'res269 Ari'!C12</f>
        <v>maybe</v>
      </c>
      <c r="D12" s="3" t="str">
        <f>'res269 Ari'!D12</f>
        <v>same pose as PV-004359981113, enantiomer</v>
      </c>
      <c r="E12" s="3" t="str">
        <f>'res269 Summer'!C12</f>
        <v>no</v>
      </c>
      <c r="F12" s="3" t="str">
        <f>'res269 Summer'!D12</f>
        <v/>
      </c>
      <c r="G12" s="3" t="str">
        <f>'res269 Mary Shay'!C12</f>
        <v/>
      </c>
      <c r="H12" s="3" t="str">
        <f>'res269 Mary Shay'!D12</f>
        <v/>
      </c>
      <c r="I12" s="1" t="str">
        <f>IFERROR(__xludf.DUMMYFUNCTION("IFERROR(REGEXEXTRACT(E12, ""res(269|122)""), ""none"")"),"none")</f>
        <v>none</v>
      </c>
      <c r="J12" s="1">
        <v>-16.067978</v>
      </c>
      <c r="K12" s="1">
        <v>10.0</v>
      </c>
      <c r="L12" s="1">
        <v>3.0</v>
      </c>
      <c r="M12" s="1">
        <v>0.4</v>
      </c>
      <c r="N12" s="1">
        <v>4.0</v>
      </c>
      <c r="O12" s="1">
        <v>-1.686262</v>
      </c>
      <c r="P12" s="1">
        <v>100.0</v>
      </c>
      <c r="Q12" s="1">
        <v>0.0</v>
      </c>
      <c r="R12" s="1">
        <v>0.0</v>
      </c>
      <c r="S12" s="1">
        <v>99.64576</v>
      </c>
    </row>
    <row r="13">
      <c r="A13" s="1" t="s">
        <v>275</v>
      </c>
      <c r="B13" s="1" t="s">
        <v>276</v>
      </c>
      <c r="C13" s="3" t="str">
        <f>'res269 Ari'!C13</f>
        <v>maybe</v>
      </c>
      <c r="D13" s="3" t="str">
        <f>'res269 Ari'!D13</f>
        <v/>
      </c>
      <c r="E13" s="3" t="str">
        <f>'res269 Summer'!C13</f>
        <v>maybe</v>
      </c>
      <c r="F13" s="3" t="str">
        <f>'res269 Summer'!D13</f>
        <v/>
      </c>
      <c r="G13" s="3" t="str">
        <f>'res269 Mary Shay'!C13</f>
        <v/>
      </c>
      <c r="H13" s="3" t="str">
        <f>'res269 Mary Shay'!D13</f>
        <v/>
      </c>
      <c r="I13" s="1" t="str">
        <f>IFERROR(__xludf.DUMMYFUNCTION("IFERROR(REGEXEXTRACT(E13, ""res(269|122)""), ""none"")"),"none")</f>
        <v>none</v>
      </c>
      <c r="J13" s="1">
        <v>-15.296307</v>
      </c>
      <c r="K13" s="1">
        <v>7.0</v>
      </c>
      <c r="L13" s="1">
        <v>3.0</v>
      </c>
      <c r="M13" s="1">
        <v>0.285714</v>
      </c>
      <c r="N13" s="1">
        <v>2.0</v>
      </c>
      <c r="O13" s="1">
        <v>-1.992376</v>
      </c>
      <c r="P13" s="1">
        <v>100.0</v>
      </c>
      <c r="Q13" s="1">
        <v>0.0</v>
      </c>
      <c r="R13" s="1">
        <v>0.0</v>
      </c>
      <c r="S13" s="1">
        <v>94.997031</v>
      </c>
    </row>
    <row r="14">
      <c r="A14" s="1" t="s">
        <v>277</v>
      </c>
      <c r="B14" s="1" t="s">
        <v>278</v>
      </c>
      <c r="C14" s="3" t="str">
        <f>'res269 Ari'!C14</f>
        <v>maybe</v>
      </c>
      <c r="D14" s="3" t="str">
        <f>'res269 Ari'!D14</f>
        <v/>
      </c>
      <c r="E14" s="3" t="str">
        <f>'res269 Summer'!C14</f>
        <v>no</v>
      </c>
      <c r="F14" s="3" t="str">
        <f>'res269 Summer'!D14</f>
        <v/>
      </c>
      <c r="G14" s="3" t="str">
        <f>'res269 Mary Shay'!C14</f>
        <v/>
      </c>
      <c r="H14" s="3" t="str">
        <f>'res269 Mary Shay'!D14</f>
        <v/>
      </c>
      <c r="I14" s="1" t="str">
        <f>IFERROR(__xludf.DUMMYFUNCTION("IFERROR(REGEXEXTRACT(E14, ""res(269|122)""), ""none"")"),"none")</f>
        <v>none</v>
      </c>
      <c r="J14" s="1">
        <v>-15.325992</v>
      </c>
      <c r="K14" s="1">
        <v>8.0</v>
      </c>
      <c r="L14" s="1">
        <v>2.0</v>
      </c>
      <c r="M14" s="1">
        <v>0.25</v>
      </c>
      <c r="N14" s="1">
        <v>2.0</v>
      </c>
      <c r="O14" s="1">
        <v>-0.597145</v>
      </c>
      <c r="P14" s="1">
        <v>100.0</v>
      </c>
      <c r="Q14" s="1">
        <v>0.0</v>
      </c>
      <c r="R14" s="1">
        <v>0.0</v>
      </c>
      <c r="S14" s="1">
        <v>96.326863</v>
      </c>
    </row>
    <row r="15">
      <c r="A15" s="1" t="s">
        <v>279</v>
      </c>
      <c r="B15" s="1" t="s">
        <v>123</v>
      </c>
      <c r="C15" s="3" t="str">
        <f>'res269 Ari'!C15</f>
        <v>decent</v>
      </c>
      <c r="D15" s="3" t="str">
        <f>'res269 Ari'!D15</f>
        <v/>
      </c>
      <c r="E15" s="3" t="str">
        <f>'res269 Summer'!C15</f>
        <v>no</v>
      </c>
      <c r="F15" s="3" t="str">
        <f>'res269 Summer'!D15</f>
        <v/>
      </c>
      <c r="G15" s="3" t="str">
        <f>'res269 Mary Shay'!C15</f>
        <v/>
      </c>
      <c r="H15" s="3" t="str">
        <f>'res269 Mary Shay'!D15</f>
        <v/>
      </c>
      <c r="I15" s="1" t="str">
        <f>IFERROR(__xludf.DUMMYFUNCTION("IFERROR(REGEXEXTRACT(E15, ""res(269|122)""), ""none"")"),"none")</f>
        <v>none</v>
      </c>
      <c r="J15" s="1">
        <v>-15.778424</v>
      </c>
      <c r="K15" s="1">
        <v>10.0</v>
      </c>
      <c r="L15" s="1">
        <v>4.0</v>
      </c>
      <c r="M15" s="1">
        <v>0.3</v>
      </c>
      <c r="N15" s="1">
        <v>2.0</v>
      </c>
      <c r="O15" s="1">
        <v>-0.444144</v>
      </c>
      <c r="P15" s="1">
        <v>100.0</v>
      </c>
      <c r="Q15" s="1">
        <v>0.0</v>
      </c>
      <c r="R15" s="1">
        <v>0.0</v>
      </c>
      <c r="S15" s="1">
        <v>100.077432</v>
      </c>
    </row>
    <row r="16">
      <c r="A16" s="1" t="s">
        <v>280</v>
      </c>
      <c r="B16" s="1" t="s">
        <v>126</v>
      </c>
      <c r="C16" s="3" t="str">
        <f>'res269 Ari'!C16</f>
        <v>maybe</v>
      </c>
      <c r="D16" s="3" t="str">
        <f>'res269 Ari'!D16</f>
        <v/>
      </c>
      <c r="E16" s="3" t="str">
        <f>'res269 Summer'!C16</f>
        <v>decent</v>
      </c>
      <c r="F16" s="3" t="str">
        <f>'res269 Summer'!D16</f>
        <v/>
      </c>
      <c r="G16" s="3" t="str">
        <f>'res269 Mary Shay'!C16</f>
        <v/>
      </c>
      <c r="H16" s="3" t="str">
        <f>'res269 Mary Shay'!D16</f>
        <v/>
      </c>
      <c r="I16" s="1" t="str">
        <f>IFERROR(__xludf.DUMMYFUNCTION("IFERROR(REGEXEXTRACT(E16, ""res(269|122)""), ""none"")"),"none")</f>
        <v>none</v>
      </c>
      <c r="J16" s="1">
        <v>-16.377062</v>
      </c>
      <c r="K16" s="1">
        <v>9.0</v>
      </c>
      <c r="L16" s="1">
        <v>1.0</v>
      </c>
      <c r="M16" s="1">
        <v>0.333333</v>
      </c>
      <c r="N16" s="1">
        <v>2.0</v>
      </c>
      <c r="O16" s="1">
        <v>-1.84415</v>
      </c>
      <c r="P16" s="1">
        <v>100.0</v>
      </c>
      <c r="Q16" s="1">
        <v>0.0</v>
      </c>
      <c r="R16" s="1">
        <v>0.0</v>
      </c>
      <c r="S16" s="1">
        <v>94.112121</v>
      </c>
    </row>
    <row r="17">
      <c r="A17" s="1" t="s">
        <v>281</v>
      </c>
      <c r="B17" s="1" t="s">
        <v>282</v>
      </c>
      <c r="C17" s="3" t="str">
        <f>'res269 Ari'!C17</f>
        <v>maybe</v>
      </c>
      <c r="D17" s="3" t="str">
        <f>'res269 Ari'!D17</f>
        <v/>
      </c>
      <c r="E17" s="3" t="str">
        <f>'res269 Summer'!C17</f>
        <v>no</v>
      </c>
      <c r="F17" s="3" t="str">
        <f>'res269 Summer'!D17</f>
        <v/>
      </c>
      <c r="G17" s="3" t="str">
        <f>'res269 Mary Shay'!C17</f>
        <v/>
      </c>
      <c r="H17" s="3" t="str">
        <f>'res269 Mary Shay'!D17</f>
        <v/>
      </c>
      <c r="I17" s="1" t="str">
        <f>IFERROR(__xludf.DUMMYFUNCTION("IFERROR(REGEXEXTRACT(E17, ""res(269|122)""), ""none"")"),"none")</f>
        <v>none</v>
      </c>
      <c r="J17" s="1">
        <v>-15.737774</v>
      </c>
      <c r="K17" s="1">
        <v>8.0</v>
      </c>
      <c r="L17" s="1">
        <v>4.0</v>
      </c>
      <c r="M17" s="1">
        <v>0.375</v>
      </c>
      <c r="N17" s="1">
        <v>2.0</v>
      </c>
      <c r="O17" s="1">
        <v>-0.922352</v>
      </c>
      <c r="P17" s="1">
        <v>100.0</v>
      </c>
      <c r="Q17" s="1">
        <v>0.0</v>
      </c>
      <c r="R17" s="1">
        <v>0.0</v>
      </c>
      <c r="S17" s="1">
        <v>97.714874</v>
      </c>
    </row>
    <row r="18">
      <c r="A18" s="1" t="s">
        <v>283</v>
      </c>
      <c r="B18" s="1" t="s">
        <v>129</v>
      </c>
      <c r="C18" s="3" t="str">
        <f>'res269 Ari'!C18</f>
        <v>decent</v>
      </c>
      <c r="D18" s="3" t="str">
        <f>'res269 Ari'!D18</f>
        <v/>
      </c>
      <c r="E18" s="3" t="str">
        <f>'res269 Summer'!C18</f>
        <v>no</v>
      </c>
      <c r="F18" s="3" t="str">
        <f>'res269 Summer'!D18</f>
        <v/>
      </c>
      <c r="G18" s="3" t="str">
        <f>'res269 Mary Shay'!C18</f>
        <v/>
      </c>
      <c r="H18" s="3" t="str">
        <f>'res269 Mary Shay'!D18</f>
        <v/>
      </c>
      <c r="I18" s="1" t="str">
        <f>IFERROR(__xludf.DUMMYFUNCTION("IFERROR(REGEXEXTRACT(E18, ""res(269|122)""), ""none"")"),"none")</f>
        <v>none</v>
      </c>
      <c r="J18" s="1">
        <v>-16.004339</v>
      </c>
      <c r="K18" s="1">
        <v>7.0</v>
      </c>
      <c r="L18" s="1">
        <v>1.0</v>
      </c>
      <c r="M18" s="1">
        <v>0.285714</v>
      </c>
      <c r="N18" s="1">
        <v>2.0</v>
      </c>
      <c r="O18" s="1">
        <v>-0.643672</v>
      </c>
      <c r="P18" s="1">
        <v>100.0</v>
      </c>
      <c r="Q18" s="1">
        <v>0.0</v>
      </c>
      <c r="R18" s="1">
        <v>0.0</v>
      </c>
      <c r="S18" s="1">
        <v>93.637703</v>
      </c>
    </row>
    <row r="19">
      <c r="A19" s="1" t="s">
        <v>284</v>
      </c>
      <c r="B19" s="1" t="s">
        <v>285</v>
      </c>
      <c r="C19" s="3" t="str">
        <f>'res269 Ari'!C19</f>
        <v>maybe</v>
      </c>
      <c r="D19" s="3" t="str">
        <f>'res269 Ari'!D19</f>
        <v>placement seems ok, but do we want the bridged ring?</v>
      </c>
      <c r="E19" s="3" t="str">
        <f>'res269 Summer'!C19</f>
        <v>no</v>
      </c>
      <c r="F19" s="3" t="str">
        <f>'res269 Summer'!D19</f>
        <v/>
      </c>
      <c r="G19" s="3" t="str">
        <f>'res269 Mary Shay'!C19</f>
        <v/>
      </c>
      <c r="H19" s="3" t="str">
        <f>'res269 Mary Shay'!D19</f>
        <v/>
      </c>
      <c r="I19" s="1" t="str">
        <f>IFERROR(__xludf.DUMMYFUNCTION("IFERROR(REGEXEXTRACT(E19, ""res(269|122)""), ""none"")"),"none")</f>
        <v>none</v>
      </c>
      <c r="J19" s="1">
        <v>-15.399039</v>
      </c>
      <c r="K19" s="1">
        <v>6.0</v>
      </c>
      <c r="L19" s="1">
        <v>3.0</v>
      </c>
      <c r="M19" s="1">
        <v>0.333333</v>
      </c>
      <c r="N19" s="1">
        <v>2.0</v>
      </c>
      <c r="O19" s="1">
        <v>-0.254448</v>
      </c>
      <c r="P19" s="1">
        <v>100.0</v>
      </c>
      <c r="Q19" s="1">
        <v>0.0</v>
      </c>
      <c r="R19" s="1">
        <v>0.0</v>
      </c>
      <c r="S19" s="1">
        <v>95.679846</v>
      </c>
    </row>
    <row r="20">
      <c r="A20" s="1" t="s">
        <v>286</v>
      </c>
      <c r="B20" s="1" t="s">
        <v>287</v>
      </c>
      <c r="C20" s="3" t="str">
        <f>'res269 Ari'!C20</f>
        <v>maybe</v>
      </c>
      <c r="D20" s="3" t="str">
        <f>'res269 Ari'!D20</f>
        <v/>
      </c>
      <c r="E20" s="3" t="str">
        <f>'res269 Summer'!C20</f>
        <v>no</v>
      </c>
      <c r="F20" s="3" t="str">
        <f>'res269 Summer'!D20</f>
        <v/>
      </c>
      <c r="G20" s="3" t="str">
        <f>'res269 Mary Shay'!C20</f>
        <v/>
      </c>
      <c r="H20" s="3" t="str">
        <f>'res269 Mary Shay'!D20</f>
        <v/>
      </c>
      <c r="I20" s="1" t="str">
        <f>IFERROR(__xludf.DUMMYFUNCTION("IFERROR(REGEXEXTRACT(E20, ""res(269|122)""), ""none"")"),"none")</f>
        <v>none</v>
      </c>
      <c r="J20" s="1">
        <v>-15.848908</v>
      </c>
      <c r="K20" s="1">
        <v>8.0</v>
      </c>
      <c r="L20" s="1">
        <v>3.0</v>
      </c>
      <c r="M20" s="1">
        <v>0.375</v>
      </c>
      <c r="N20" s="1">
        <v>2.0</v>
      </c>
      <c r="O20" s="1">
        <v>-0.923644</v>
      </c>
      <c r="P20" s="1">
        <v>100.0</v>
      </c>
      <c r="Q20" s="1">
        <v>0.0</v>
      </c>
      <c r="R20" s="1">
        <v>0.0</v>
      </c>
      <c r="S20" s="1">
        <v>96.602448</v>
      </c>
    </row>
    <row r="21">
      <c r="A21" s="1" t="s">
        <v>288</v>
      </c>
      <c r="B21" s="1" t="s">
        <v>80</v>
      </c>
      <c r="C21" s="3" t="str">
        <f>'res269 Ari'!C21</f>
        <v>decent</v>
      </c>
      <c r="D21" s="3" t="str">
        <f>'res269 Ari'!D21</f>
        <v>N on 6 member ring could twist to hit TYR122 and be much better</v>
      </c>
      <c r="E21" s="3" t="str">
        <f>'res269 Summer'!C21</f>
        <v>decent</v>
      </c>
      <c r="F21" s="3" t="str">
        <f>'res269 Summer'!D21</f>
        <v/>
      </c>
      <c r="G21" s="3" t="str">
        <f>'res269 Mary Shay'!C21</f>
        <v/>
      </c>
      <c r="H21" s="3" t="str">
        <f>'res269 Mary Shay'!D21</f>
        <v/>
      </c>
      <c r="I21" s="1" t="str">
        <f>IFERROR(__xludf.DUMMYFUNCTION("IFERROR(REGEXEXTRACT(E21, ""res(269|122)""), ""none"")"),"none")</f>
        <v>none</v>
      </c>
      <c r="J21" s="1">
        <v>-15.111049</v>
      </c>
      <c r="K21" s="1">
        <v>8.0</v>
      </c>
      <c r="L21" s="1">
        <v>4.0</v>
      </c>
      <c r="M21" s="1">
        <v>0.5</v>
      </c>
      <c r="N21" s="1">
        <v>3.0</v>
      </c>
      <c r="O21" s="1">
        <v>-1.48802099999999</v>
      </c>
      <c r="P21" s="1">
        <v>100.0</v>
      </c>
      <c r="Q21" s="1">
        <v>0.0</v>
      </c>
      <c r="R21" s="1">
        <v>0.0</v>
      </c>
      <c r="S21" s="1">
        <v>98.90093</v>
      </c>
    </row>
    <row r="22">
      <c r="A22" s="1" t="s">
        <v>289</v>
      </c>
      <c r="B22" s="1" t="s">
        <v>290</v>
      </c>
      <c r="C22" s="3" t="str">
        <f>'res269 Ari'!C22</f>
        <v>maybe</v>
      </c>
      <c r="D22" s="3" t="str">
        <f>'res269 Ari'!D22</f>
        <v/>
      </c>
      <c r="E22" s="3" t="str">
        <f>'res269 Summer'!C22</f>
        <v>no</v>
      </c>
      <c r="F22" s="3" t="str">
        <f>'res269 Summer'!D22</f>
        <v/>
      </c>
      <c r="G22" s="3" t="str">
        <f>'res269 Mary Shay'!C22</f>
        <v/>
      </c>
      <c r="H22" s="3" t="str">
        <f>'res269 Mary Shay'!D22</f>
        <v/>
      </c>
      <c r="I22" s="1" t="str">
        <f>IFERROR(__xludf.DUMMYFUNCTION("IFERROR(REGEXEXTRACT(E22, ""res(269|122)""), ""none"")"),"none")</f>
        <v>none</v>
      </c>
      <c r="J22" s="1">
        <v>-15.62437</v>
      </c>
      <c r="K22" s="1">
        <v>8.0</v>
      </c>
      <c r="L22" s="1">
        <v>3.0</v>
      </c>
      <c r="M22" s="1">
        <v>0.25</v>
      </c>
      <c r="N22" s="1">
        <v>2.0</v>
      </c>
      <c r="O22" s="1">
        <v>-0.578782</v>
      </c>
      <c r="P22" s="1">
        <v>100.0</v>
      </c>
      <c r="Q22" s="1">
        <v>0.0</v>
      </c>
      <c r="R22" s="1">
        <v>0.0</v>
      </c>
      <c r="S22" s="1">
        <v>97.046848</v>
      </c>
    </row>
    <row r="23">
      <c r="A23" s="1" t="s">
        <v>291</v>
      </c>
      <c r="B23" s="1" t="s">
        <v>292</v>
      </c>
      <c r="C23" s="3" t="str">
        <f>'res269 Ari'!C23</f>
        <v>maybe</v>
      </c>
      <c r="D23" s="3" t="str">
        <f>'res269 Ari'!D23</f>
        <v/>
      </c>
      <c r="E23" s="3" t="str">
        <f>'res269 Summer'!C23</f>
        <v>no</v>
      </c>
      <c r="F23" s="3" t="str">
        <f>'res269 Summer'!D23</f>
        <v/>
      </c>
      <c r="G23" s="3" t="str">
        <f>'res269 Mary Shay'!C23</f>
        <v/>
      </c>
      <c r="H23" s="3" t="str">
        <f>'res269 Mary Shay'!D23</f>
        <v/>
      </c>
      <c r="I23" s="1" t="str">
        <f>IFERROR(__xludf.DUMMYFUNCTION("IFERROR(REGEXEXTRACT(E23, ""res(269|122)""), ""none"")"),"none")</f>
        <v>none</v>
      </c>
      <c r="J23" s="1">
        <v>-16.657537</v>
      </c>
      <c r="K23" s="1">
        <v>10.0</v>
      </c>
      <c r="L23" s="1">
        <v>3.0</v>
      </c>
      <c r="M23" s="1">
        <v>0.3</v>
      </c>
      <c r="N23" s="1">
        <v>2.0</v>
      </c>
      <c r="O23" s="1">
        <v>-1.135125</v>
      </c>
      <c r="P23" s="1">
        <v>100.0</v>
      </c>
      <c r="Q23" s="1">
        <v>0.0</v>
      </c>
      <c r="R23" s="1">
        <v>0.0</v>
      </c>
      <c r="S23" s="1">
        <v>97.507338</v>
      </c>
    </row>
    <row r="24">
      <c r="A24" s="1" t="s">
        <v>293</v>
      </c>
      <c r="B24" s="1" t="s">
        <v>294</v>
      </c>
      <c r="C24" s="3" t="str">
        <f>'res269 Ari'!C24</f>
        <v>maybe</v>
      </c>
      <c r="D24" s="3" t="str">
        <f>'res269 Ari'!D24</f>
        <v/>
      </c>
      <c r="E24" s="3" t="str">
        <f>'res269 Summer'!C24</f>
        <v>no</v>
      </c>
      <c r="F24" s="3" t="str">
        <f>'res269 Summer'!D24</f>
        <v/>
      </c>
      <c r="G24" s="3" t="str">
        <f>'res269 Mary Shay'!C24</f>
        <v/>
      </c>
      <c r="H24" s="3" t="str">
        <f>'res269 Mary Shay'!D24</f>
        <v/>
      </c>
      <c r="I24" s="1" t="str">
        <f>IFERROR(__xludf.DUMMYFUNCTION("IFERROR(REGEXEXTRACT(E24, ""res(269|122)""), ""none"")"),"none")</f>
        <v>none</v>
      </c>
      <c r="J24" s="1">
        <v>-15.0051</v>
      </c>
      <c r="K24" s="1">
        <v>8.0</v>
      </c>
      <c r="L24" s="1">
        <v>1.0</v>
      </c>
      <c r="M24" s="1">
        <v>0.25</v>
      </c>
      <c r="N24" s="1">
        <v>3.0</v>
      </c>
      <c r="O24" s="1">
        <v>-2.024033</v>
      </c>
      <c r="P24" s="1">
        <v>100.0</v>
      </c>
      <c r="Q24" s="1">
        <v>0.0</v>
      </c>
      <c r="R24" s="1">
        <v>0.0</v>
      </c>
      <c r="S24" s="1">
        <v>95.220867</v>
      </c>
    </row>
    <row r="25">
      <c r="A25" s="1" t="s">
        <v>295</v>
      </c>
      <c r="B25" s="1" t="s">
        <v>132</v>
      </c>
      <c r="C25" s="3" t="str">
        <f>'res269 Ari'!C25</f>
        <v>yes</v>
      </c>
      <c r="D25" s="3" t="str">
        <f>'res269 Ari'!D25</f>
        <v>it sits high, but I like all of its interactions</v>
      </c>
      <c r="E25" s="3" t="str">
        <f>'res269 Summer'!C25</f>
        <v>no</v>
      </c>
      <c r="F25" s="3" t="str">
        <f>'res269 Summer'!D25</f>
        <v/>
      </c>
      <c r="G25" s="3" t="str">
        <f>'res269 Mary Shay'!C25</f>
        <v/>
      </c>
      <c r="H25" s="3" t="str">
        <f>'res269 Mary Shay'!D25</f>
        <v/>
      </c>
      <c r="I25" s="1" t="str">
        <f>IFERROR(__xludf.DUMMYFUNCTION("IFERROR(REGEXEXTRACT(E25, ""res(269|122)""), ""none"")"),"none")</f>
        <v>none</v>
      </c>
      <c r="J25" s="1">
        <v>-15.787491</v>
      </c>
      <c r="K25" s="1">
        <v>6.0</v>
      </c>
      <c r="L25" s="1">
        <v>2.0</v>
      </c>
      <c r="M25" s="1">
        <v>0.333333</v>
      </c>
      <c r="N25" s="1">
        <v>3.0</v>
      </c>
      <c r="O25" s="1">
        <v>-1.153959</v>
      </c>
      <c r="P25" s="1">
        <v>100.0</v>
      </c>
      <c r="Q25" s="1">
        <v>0.0</v>
      </c>
      <c r="R25" s="1">
        <v>0.0</v>
      </c>
      <c r="S25" s="1">
        <v>94.391883</v>
      </c>
    </row>
    <row r="26">
      <c r="A26" s="1" t="s">
        <v>296</v>
      </c>
      <c r="B26" s="1" t="s">
        <v>135</v>
      </c>
      <c r="C26" s="3" t="str">
        <f>'res269 Ari'!C26</f>
        <v>decent</v>
      </c>
      <c r="D26" s="3" t="str">
        <f>'res269 Ari'!D26</f>
        <v/>
      </c>
      <c r="E26" s="3" t="str">
        <f>'res269 Summer'!C26</f>
        <v>no</v>
      </c>
      <c r="F26" s="3" t="str">
        <f>'res269 Summer'!D26</f>
        <v/>
      </c>
      <c r="G26" s="3" t="str">
        <f>'res269 Mary Shay'!C26</f>
        <v/>
      </c>
      <c r="H26" s="3" t="str">
        <f>'res269 Mary Shay'!D26</f>
        <v/>
      </c>
      <c r="I26" s="1" t="str">
        <f>IFERROR(__xludf.DUMMYFUNCTION("IFERROR(REGEXEXTRACT(E26, ""res(269|122)""), ""none"")"),"none")</f>
        <v>none</v>
      </c>
      <c r="J26" s="1">
        <v>-16.526444</v>
      </c>
      <c r="K26" s="1">
        <v>7.0</v>
      </c>
      <c r="L26" s="1">
        <v>3.0</v>
      </c>
      <c r="M26" s="1">
        <v>0.428571</v>
      </c>
      <c r="N26" s="1">
        <v>3.0</v>
      </c>
      <c r="O26" s="1">
        <v>-1.370961</v>
      </c>
      <c r="P26" s="1">
        <v>100.0</v>
      </c>
      <c r="Q26" s="1">
        <v>0.0</v>
      </c>
      <c r="R26" s="1">
        <v>0.0</v>
      </c>
      <c r="S26" s="1">
        <v>95.531166</v>
      </c>
    </row>
    <row r="27">
      <c r="A27" s="1" t="s">
        <v>297</v>
      </c>
      <c r="B27" s="1" t="s">
        <v>138</v>
      </c>
      <c r="C27" s="3" t="str">
        <f>'res269 Ari'!C27</f>
        <v>yes</v>
      </c>
      <c r="D27" s="3" t="str">
        <f>'res269 Ari'!D27</f>
        <v>lots of good interactions and extends across the pocket, even if there are a lot of interactions not considered real; enantiomer with PV-005460257111</v>
      </c>
      <c r="E27" s="3" t="str">
        <f>'res269 Summer'!C27</f>
        <v>no</v>
      </c>
      <c r="F27" s="3" t="str">
        <f>'res269 Summer'!D27</f>
        <v/>
      </c>
      <c r="G27" s="3" t="str">
        <f>'res269 Mary Shay'!C27</f>
        <v/>
      </c>
      <c r="H27" s="3" t="str">
        <f>'res269 Mary Shay'!D27</f>
        <v/>
      </c>
      <c r="I27" s="1" t="str">
        <f>IFERROR(__xludf.DUMMYFUNCTION("IFERROR(REGEXEXTRACT(E27, ""res(269|122)""), ""none"")"),"none")</f>
        <v>none</v>
      </c>
      <c r="J27" s="1">
        <v>-15.442965</v>
      </c>
      <c r="K27" s="1">
        <v>7.0</v>
      </c>
      <c r="L27" s="1">
        <v>3.0</v>
      </c>
      <c r="M27" s="1">
        <v>0.285714</v>
      </c>
      <c r="N27" s="1">
        <v>2.0</v>
      </c>
      <c r="O27" s="1">
        <v>-0.995888</v>
      </c>
      <c r="P27" s="1">
        <v>100.0</v>
      </c>
      <c r="Q27" s="1">
        <v>0.0</v>
      </c>
      <c r="R27" s="1">
        <v>0.0</v>
      </c>
      <c r="S27" s="1">
        <v>95.846861</v>
      </c>
    </row>
    <row r="28">
      <c r="A28" s="1" t="s">
        <v>298</v>
      </c>
      <c r="B28" s="1" t="s">
        <v>299</v>
      </c>
      <c r="C28" s="3" t="str">
        <f>'res269 Ari'!C28</f>
        <v>yes</v>
      </c>
      <c r="D28" s="3" t="str">
        <f>'res269 Ari'!D28</f>
        <v>lots of good interactions and extends across the pocket, even if there are a lot of interactions not considered real; enantiomer with PV-005460257113</v>
      </c>
      <c r="E28" s="3" t="str">
        <f>'res269 Summer'!C28</f>
        <v>no</v>
      </c>
      <c r="F28" s="3" t="str">
        <f>'res269 Summer'!D28</f>
        <v/>
      </c>
      <c r="G28" s="3" t="str">
        <f>'res269 Mary Shay'!C28</f>
        <v/>
      </c>
      <c r="H28" s="3" t="str">
        <f>'res269 Mary Shay'!D28</f>
        <v/>
      </c>
      <c r="I28" s="1" t="str">
        <f>IFERROR(__xludf.DUMMYFUNCTION("IFERROR(REGEXEXTRACT(E28, ""res(269|122)""), ""none"")"),"none")</f>
        <v>none</v>
      </c>
      <c r="J28" s="1">
        <v>-15.442965</v>
      </c>
      <c r="K28" s="1">
        <v>7.0</v>
      </c>
      <c r="L28" s="1">
        <v>3.0</v>
      </c>
      <c r="M28" s="1">
        <v>0.285714</v>
      </c>
      <c r="N28" s="1">
        <v>2.0</v>
      </c>
      <c r="O28" s="1">
        <v>-0.995888</v>
      </c>
      <c r="P28" s="1">
        <v>100.0</v>
      </c>
      <c r="Q28" s="1">
        <v>0.0</v>
      </c>
      <c r="R28" s="1">
        <v>0.0</v>
      </c>
      <c r="S28" s="1">
        <v>95.846861</v>
      </c>
    </row>
    <row r="29">
      <c r="A29" s="1" t="s">
        <v>300</v>
      </c>
      <c r="B29" s="1" t="s">
        <v>301</v>
      </c>
      <c r="C29" s="3" t="str">
        <f>'res269 Ari'!C29</f>
        <v>maybe</v>
      </c>
      <c r="D29" s="3" t="str">
        <f>'res269 Ari'!D29</f>
        <v>I think this could hit TYR269 better</v>
      </c>
      <c r="E29" s="3" t="str">
        <f>'res269 Summer'!C29</f>
        <v>no</v>
      </c>
      <c r="F29" s="3" t="str">
        <f>'res269 Summer'!D29</f>
        <v/>
      </c>
      <c r="G29" s="3" t="str">
        <f>'res269 Mary Shay'!C29</f>
        <v/>
      </c>
      <c r="H29" s="3" t="str">
        <f>'res269 Mary Shay'!D29</f>
        <v/>
      </c>
      <c r="I29" s="1" t="str">
        <f>IFERROR(__xludf.DUMMYFUNCTION("IFERROR(REGEXEXTRACT(E29, ""res(269|122)""), ""none"")"),"none")</f>
        <v>none</v>
      </c>
      <c r="J29" s="1">
        <v>-16.187871</v>
      </c>
      <c r="K29" s="1">
        <v>8.0</v>
      </c>
      <c r="L29" s="1">
        <v>2.0</v>
      </c>
      <c r="M29" s="1">
        <v>0.25</v>
      </c>
      <c r="N29" s="1">
        <v>2.0</v>
      </c>
      <c r="O29" s="1">
        <v>-1.664296</v>
      </c>
      <c r="P29" s="1">
        <v>100.0</v>
      </c>
      <c r="Q29" s="1">
        <v>0.0</v>
      </c>
      <c r="R29" s="1">
        <v>0.0</v>
      </c>
      <c r="S29" s="1">
        <v>94.397833</v>
      </c>
    </row>
    <row r="30">
      <c r="A30" s="1" t="s">
        <v>302</v>
      </c>
      <c r="B30" s="1" t="s">
        <v>303</v>
      </c>
      <c r="C30" s="3" t="str">
        <f>'res269 Ari'!C30</f>
        <v>maybe</v>
      </c>
      <c r="D30" s="3" t="str">
        <f>'res269 Ari'!D30</f>
        <v/>
      </c>
      <c r="E30" s="3" t="str">
        <f>'res269 Summer'!C30</f>
        <v>maybe</v>
      </c>
      <c r="F30" s="3" t="str">
        <f>'res269 Summer'!D30</f>
        <v/>
      </c>
      <c r="G30" s="3" t="str">
        <f>'res269 Mary Shay'!C30</f>
        <v/>
      </c>
      <c r="H30" s="3" t="str">
        <f>'res269 Mary Shay'!D30</f>
        <v/>
      </c>
      <c r="I30" s="1" t="str">
        <f>IFERROR(__xludf.DUMMYFUNCTION("IFERROR(REGEXEXTRACT(E30, ""res(269|122)""), ""none"")"),"none")</f>
        <v>none</v>
      </c>
      <c r="J30" s="1">
        <v>-15.122502</v>
      </c>
      <c r="K30" s="1">
        <v>9.0</v>
      </c>
      <c r="L30" s="1">
        <v>1.0</v>
      </c>
      <c r="M30" s="1">
        <v>0.333333</v>
      </c>
      <c r="N30" s="1">
        <v>2.0</v>
      </c>
      <c r="O30" s="1">
        <v>-1.2518</v>
      </c>
      <c r="P30" s="1">
        <v>100.0</v>
      </c>
      <c r="Q30" s="1">
        <v>0.0</v>
      </c>
      <c r="R30" s="1">
        <v>0.0</v>
      </c>
      <c r="S30" s="1">
        <v>95.959031</v>
      </c>
    </row>
    <row r="31">
      <c r="A31" s="1" t="s">
        <v>304</v>
      </c>
      <c r="B31" s="1" t="s">
        <v>305</v>
      </c>
      <c r="C31" s="3" t="str">
        <f>'res269 Ari'!C31</f>
        <v>maybe</v>
      </c>
      <c r="D31" s="3" t="str">
        <f>'res269 Ari'!D31</f>
        <v/>
      </c>
      <c r="E31" s="3" t="str">
        <f>'res269 Summer'!C31</f>
        <v>no</v>
      </c>
      <c r="F31" s="3" t="str">
        <f>'res269 Summer'!D31</f>
        <v/>
      </c>
      <c r="G31" s="3" t="str">
        <f>'res269 Mary Shay'!C31</f>
        <v/>
      </c>
      <c r="H31" s="3" t="str">
        <f>'res269 Mary Shay'!D31</f>
        <v/>
      </c>
      <c r="I31" s="1" t="str">
        <f>IFERROR(__xludf.DUMMYFUNCTION("IFERROR(REGEXEXTRACT(E31, ""res(269|122)""), ""none"")"),"none")</f>
        <v>none</v>
      </c>
      <c r="J31" s="1">
        <v>-16.909101</v>
      </c>
      <c r="K31" s="1">
        <v>8.0</v>
      </c>
      <c r="L31" s="1">
        <v>3.0</v>
      </c>
      <c r="M31" s="1">
        <v>0.5</v>
      </c>
      <c r="N31" s="1">
        <v>2.0</v>
      </c>
      <c r="O31" s="1">
        <v>-1.107364</v>
      </c>
      <c r="P31" s="1">
        <v>100.0</v>
      </c>
      <c r="Q31" s="1">
        <v>0.0</v>
      </c>
      <c r="R31" s="1">
        <v>0.0</v>
      </c>
      <c r="S31" s="1">
        <v>95.483535</v>
      </c>
    </row>
    <row r="32">
      <c r="A32" s="1" t="s">
        <v>306</v>
      </c>
      <c r="B32" s="1" t="s">
        <v>307</v>
      </c>
      <c r="C32" s="3" t="str">
        <f>'res269 Ari'!C32</f>
        <v>maybe</v>
      </c>
      <c r="D32" s="3" t="str">
        <f>'res269 Ari'!D32</f>
        <v/>
      </c>
      <c r="E32" s="3" t="str">
        <f>'res269 Summer'!C32</f>
        <v>no</v>
      </c>
      <c r="F32" s="3" t="str">
        <f>'res269 Summer'!D32</f>
        <v/>
      </c>
      <c r="G32" s="3" t="str">
        <f>'res269 Mary Shay'!C32</f>
        <v/>
      </c>
      <c r="H32" s="3" t="str">
        <f>'res269 Mary Shay'!D32</f>
        <v/>
      </c>
      <c r="I32" s="1" t="str">
        <f>IFERROR(__xludf.DUMMYFUNCTION("IFERROR(REGEXEXTRACT(E32, ""res(269|122)""), ""none"")"),"none")</f>
        <v>none</v>
      </c>
      <c r="J32" s="1">
        <v>-15.785852</v>
      </c>
      <c r="K32" s="1">
        <v>7.0</v>
      </c>
      <c r="L32" s="1">
        <v>5.0</v>
      </c>
      <c r="M32" s="1">
        <v>0.285714</v>
      </c>
      <c r="N32" s="1">
        <v>2.0</v>
      </c>
      <c r="O32" s="1">
        <v>-0.799353999999999</v>
      </c>
      <c r="P32" s="1">
        <v>100.0</v>
      </c>
      <c r="Q32" s="1">
        <v>0.0</v>
      </c>
      <c r="R32" s="1">
        <v>0.0</v>
      </c>
      <c r="S32" s="1">
        <v>97.700508</v>
      </c>
    </row>
    <row r="33">
      <c r="A33" s="1" t="s">
        <v>308</v>
      </c>
      <c r="B33" s="1" t="s">
        <v>141</v>
      </c>
      <c r="C33" s="3" t="str">
        <f>'res269 Ari'!C33</f>
        <v>decent</v>
      </c>
      <c r="D33" s="3" t="str">
        <f>'res269 Ari'!D33</f>
        <v>could hit glu398 better</v>
      </c>
      <c r="E33" s="3" t="str">
        <f>'res269 Summer'!C33</f>
        <v>no</v>
      </c>
      <c r="F33" s="3" t="str">
        <f>'res269 Summer'!D33</f>
        <v/>
      </c>
      <c r="G33" s="3" t="str">
        <f>'res269 Mary Shay'!C33</f>
        <v/>
      </c>
      <c r="H33" s="3" t="str">
        <f>'res269 Mary Shay'!D33</f>
        <v/>
      </c>
      <c r="I33" s="1" t="str">
        <f>IFERROR(__xludf.DUMMYFUNCTION("IFERROR(REGEXEXTRACT(E33, ""res(269|122)""), ""none"")"),"none")</f>
        <v>none</v>
      </c>
      <c r="J33" s="1">
        <v>-15.155078</v>
      </c>
      <c r="K33" s="1">
        <v>8.0</v>
      </c>
      <c r="L33" s="1">
        <v>2.0</v>
      </c>
      <c r="M33" s="1">
        <v>0.25</v>
      </c>
      <c r="N33" s="1">
        <v>2.0</v>
      </c>
      <c r="O33" s="1">
        <v>-0.394031</v>
      </c>
      <c r="P33" s="1">
        <v>100.0</v>
      </c>
      <c r="Q33" s="1">
        <v>0.0</v>
      </c>
      <c r="R33" s="1">
        <v>0.0</v>
      </c>
      <c r="S33" s="1">
        <v>96.700891</v>
      </c>
    </row>
    <row r="34">
      <c r="A34" s="1" t="s">
        <v>309</v>
      </c>
      <c r="B34" s="1" t="s">
        <v>144</v>
      </c>
      <c r="C34" s="3" t="str">
        <f>'res269 Ari'!C34</f>
        <v>yes</v>
      </c>
      <c r="D34" s="3" t="str">
        <f>'res269 Ari'!D34</f>
        <v/>
      </c>
      <c r="E34" s="3" t="str">
        <f>'res269 Summer'!C34</f>
        <v>no</v>
      </c>
      <c r="F34" s="3" t="str">
        <f>'res269 Summer'!D34</f>
        <v/>
      </c>
      <c r="G34" s="3" t="str">
        <f>'res269 Mary Shay'!C34</f>
        <v/>
      </c>
      <c r="H34" s="3" t="str">
        <f>'res269 Mary Shay'!D34</f>
        <v/>
      </c>
      <c r="I34" s="1" t="str">
        <f>IFERROR(__xludf.DUMMYFUNCTION("IFERROR(REGEXEXTRACT(E34, ""res(269|122)""), ""none"")"),"none")</f>
        <v>none</v>
      </c>
      <c r="J34" s="1">
        <v>-15.473368</v>
      </c>
      <c r="K34" s="1">
        <v>8.0</v>
      </c>
      <c r="L34" s="1">
        <v>2.0</v>
      </c>
      <c r="M34" s="1">
        <v>0.375</v>
      </c>
      <c r="N34" s="1">
        <v>2.0</v>
      </c>
      <c r="O34" s="1">
        <v>-0.972362</v>
      </c>
      <c r="P34" s="1">
        <v>100.0</v>
      </c>
      <c r="Q34" s="1">
        <v>0.0</v>
      </c>
      <c r="R34" s="1">
        <v>0.0</v>
      </c>
      <c r="S34" s="1">
        <v>95.92927</v>
      </c>
    </row>
    <row r="35">
      <c r="A35" s="1" t="s">
        <v>310</v>
      </c>
      <c r="B35" s="1" t="s">
        <v>147</v>
      </c>
      <c r="C35" s="3" t="str">
        <f>'res269 Ari'!C35</f>
        <v>yes</v>
      </c>
      <c r="D35" s="3" t="str">
        <f>'res269 Ari'!D35</f>
        <v>I think tyr202 could hbond with the hydroxyl</v>
      </c>
      <c r="E35" s="3" t="str">
        <f>#REF!</f>
        <v>#REF!</v>
      </c>
      <c r="F35" s="3" t="str">
        <f>'res269 Summer'!D35</f>
        <v/>
      </c>
      <c r="G35" s="3" t="str">
        <f>'res269 Mary Shay'!C35</f>
        <v/>
      </c>
      <c r="H35" s="3" t="str">
        <f>'res269 Mary Shay'!D35</f>
        <v/>
      </c>
      <c r="I35" s="1" t="str">
        <f>IFERROR(__xludf.DUMMYFUNCTION("IFERROR(REGEXEXTRACT(E35, ""res(269|122)""), ""none"")"),"none")</f>
        <v>none</v>
      </c>
      <c r="J35" s="1">
        <v>-15.32929</v>
      </c>
      <c r="K35" s="1">
        <v>9.0</v>
      </c>
      <c r="L35" s="1">
        <v>2.0</v>
      </c>
      <c r="M35" s="1">
        <v>0.444444</v>
      </c>
      <c r="N35" s="1">
        <v>3.0</v>
      </c>
      <c r="O35" s="1">
        <v>-1.169854</v>
      </c>
      <c r="P35" s="1">
        <v>100.0</v>
      </c>
      <c r="Q35" s="1">
        <v>0.0</v>
      </c>
      <c r="R35" s="1">
        <v>0.0</v>
      </c>
      <c r="S35" s="1">
        <v>97.9453</v>
      </c>
    </row>
    <row r="36">
      <c r="A36" s="1" t="s">
        <v>311</v>
      </c>
      <c r="B36" s="1" t="s">
        <v>312</v>
      </c>
      <c r="C36" s="3" t="str">
        <f>'res269 Ari'!C36</f>
        <v>maybe</v>
      </c>
      <c r="D36" s="3" t="str">
        <f>'res269 Ari'!D36</f>
        <v/>
      </c>
      <c r="E36" s="3" t="str">
        <f>'res269 Summer'!C35</f>
        <v>no</v>
      </c>
      <c r="F36" s="3" t="str">
        <f>'res269 Summer'!D36</f>
        <v/>
      </c>
      <c r="G36" s="3" t="str">
        <f>'res269 Mary Shay'!C36</f>
        <v/>
      </c>
      <c r="H36" s="3" t="str">
        <f>'res269 Mary Shay'!D36</f>
        <v/>
      </c>
      <c r="I36" s="1" t="str">
        <f>IFERROR(__xludf.DUMMYFUNCTION("IFERROR(REGEXEXTRACT(E36, ""res(269|122)""), ""none"")"),"none")</f>
        <v>none</v>
      </c>
      <c r="J36" s="1">
        <v>-17.46746</v>
      </c>
      <c r="K36" s="1">
        <v>9.0</v>
      </c>
      <c r="L36" s="1">
        <v>2.0</v>
      </c>
      <c r="M36" s="1">
        <v>0.333333</v>
      </c>
      <c r="N36" s="1">
        <v>2.0</v>
      </c>
      <c r="O36" s="1">
        <v>-0.960204</v>
      </c>
      <c r="P36" s="1">
        <v>100.0</v>
      </c>
      <c r="Q36" s="1">
        <v>0.0</v>
      </c>
      <c r="R36" s="1">
        <v>0.0</v>
      </c>
      <c r="S36" s="1">
        <v>94.905669</v>
      </c>
    </row>
    <row r="37">
      <c r="A37" s="1" t="s">
        <v>313</v>
      </c>
      <c r="B37" s="1" t="s">
        <v>314</v>
      </c>
      <c r="C37" s="3" t="str">
        <f>'res269 Ari'!C37</f>
        <v>maybe</v>
      </c>
      <c r="D37" s="3" t="str">
        <f>'res269 Ari'!D37</f>
        <v/>
      </c>
      <c r="E37" s="3" t="str">
        <f>'res269 Summer'!C37</f>
        <v>no</v>
      </c>
      <c r="F37" s="3" t="str">
        <f>'res269 Summer'!D37</f>
        <v/>
      </c>
      <c r="G37" s="3" t="str">
        <f>'res269 Mary Shay'!C37</f>
        <v/>
      </c>
      <c r="H37" s="3" t="str">
        <f>'res269 Mary Shay'!D37</f>
        <v/>
      </c>
      <c r="I37" s="1" t="str">
        <f>IFERROR(__xludf.DUMMYFUNCTION("IFERROR(REGEXEXTRACT(E37, ""res(269|122)""), ""none"")"),"none")</f>
        <v>none</v>
      </c>
      <c r="J37" s="1">
        <v>-15.769609</v>
      </c>
      <c r="K37" s="1">
        <v>8.0</v>
      </c>
      <c r="L37" s="1">
        <v>2.0</v>
      </c>
      <c r="M37" s="1">
        <v>0.25</v>
      </c>
      <c r="N37" s="1">
        <v>2.0</v>
      </c>
      <c r="O37" s="1">
        <v>-1.998276</v>
      </c>
      <c r="P37" s="1">
        <v>100.0</v>
      </c>
      <c r="Q37" s="1">
        <v>0.0</v>
      </c>
      <c r="R37" s="1">
        <v>0.0</v>
      </c>
      <c r="S37" s="1">
        <v>94.482115</v>
      </c>
    </row>
    <row r="38">
      <c r="A38" s="1" t="s">
        <v>315</v>
      </c>
      <c r="B38" s="1" t="s">
        <v>316</v>
      </c>
      <c r="C38" s="3" t="str">
        <f>'res269 Ari'!C38</f>
        <v>maybe</v>
      </c>
      <c r="D38" s="3" t="str">
        <f>'res269 Ari'!D38</f>
        <v/>
      </c>
      <c r="E38" s="3" t="str">
        <f>'res269 Summer'!C38</f>
        <v>no</v>
      </c>
      <c r="F38" s="3" t="str">
        <f>'res269 Summer'!D38</f>
        <v/>
      </c>
      <c r="G38" s="3" t="str">
        <f>'res269 Mary Shay'!C38</f>
        <v/>
      </c>
      <c r="H38" s="3" t="str">
        <f>'res269 Mary Shay'!D38</f>
        <v/>
      </c>
      <c r="I38" s="1" t="str">
        <f>IFERROR(__xludf.DUMMYFUNCTION("IFERROR(REGEXEXTRACT(E38, ""res(269|122)""), ""none"")"),"none")</f>
        <v>none</v>
      </c>
      <c r="J38" s="1">
        <v>-16.531836</v>
      </c>
      <c r="K38" s="1">
        <v>10.0</v>
      </c>
      <c r="L38" s="1">
        <v>2.0</v>
      </c>
      <c r="M38" s="1">
        <v>0.3</v>
      </c>
      <c r="N38" s="1">
        <v>2.0</v>
      </c>
      <c r="O38" s="1">
        <v>-0.888794</v>
      </c>
      <c r="P38" s="1">
        <v>100.0</v>
      </c>
      <c r="Q38" s="1">
        <v>0.0</v>
      </c>
      <c r="R38" s="1">
        <v>0.0</v>
      </c>
      <c r="S38" s="1">
        <v>96.87937</v>
      </c>
    </row>
    <row r="39">
      <c r="A39" s="1" t="s">
        <v>317</v>
      </c>
      <c r="B39" s="1" t="s">
        <v>318</v>
      </c>
      <c r="C39" s="3" t="str">
        <f>'res269 Ari'!C39</f>
        <v>maybe</v>
      </c>
      <c r="D39" s="3" t="str">
        <f>'res269 Ari'!D39</f>
        <v/>
      </c>
      <c r="E39" s="3" t="str">
        <f>'res269 Summer'!C39</f>
        <v>no</v>
      </c>
      <c r="F39" s="3" t="str">
        <f>'res269 Summer'!D39</f>
        <v/>
      </c>
      <c r="G39" s="3" t="str">
        <f>'res269 Mary Shay'!C39</f>
        <v/>
      </c>
      <c r="H39" s="3" t="str">
        <f>'res269 Mary Shay'!D39</f>
        <v/>
      </c>
      <c r="I39" s="1" t="str">
        <f>IFERROR(__xludf.DUMMYFUNCTION("IFERROR(REGEXEXTRACT(E39, ""res(269|122)""), ""none"")"),"none")</f>
        <v>none</v>
      </c>
      <c r="J39" s="1">
        <v>-15.695983</v>
      </c>
      <c r="K39" s="1">
        <v>8.0</v>
      </c>
      <c r="L39" s="1">
        <v>3.0</v>
      </c>
      <c r="M39" s="1">
        <v>0.375</v>
      </c>
      <c r="N39" s="1">
        <v>2.0</v>
      </c>
      <c r="O39" s="1">
        <v>-0.764023</v>
      </c>
      <c r="P39" s="1">
        <v>100.0</v>
      </c>
      <c r="Q39" s="1">
        <v>0.0</v>
      </c>
      <c r="R39" s="1">
        <v>0.0</v>
      </c>
      <c r="S39" s="1">
        <v>96.914994</v>
      </c>
    </row>
    <row r="40">
      <c r="A40" s="1" t="s">
        <v>319</v>
      </c>
      <c r="B40" s="1" t="s">
        <v>150</v>
      </c>
      <c r="C40" s="3" t="str">
        <f>'res269 Ari'!C40</f>
        <v>yes</v>
      </c>
      <c r="D40" s="3" t="str">
        <f>'res269 Ari'!D40</f>
        <v/>
      </c>
      <c r="E40" s="3" t="str">
        <f>'res269 Summer'!C40</f>
        <v>no</v>
      </c>
      <c r="F40" s="3" t="str">
        <f>'res269 Summer'!D40</f>
        <v/>
      </c>
      <c r="G40" s="3" t="str">
        <f>'res269 Mary Shay'!C40</f>
        <v/>
      </c>
      <c r="H40" s="3" t="str">
        <f>'res269 Mary Shay'!D40</f>
        <v/>
      </c>
      <c r="I40" s="1" t="str">
        <f>IFERROR(__xludf.DUMMYFUNCTION("IFERROR(REGEXEXTRACT(E40, ""res(269|122)""), ""none"")"),"none")</f>
        <v>none</v>
      </c>
      <c r="J40" s="1">
        <v>-16.574584</v>
      </c>
      <c r="K40" s="1">
        <v>6.0</v>
      </c>
      <c r="L40" s="1">
        <v>1.0</v>
      </c>
      <c r="M40" s="1">
        <v>0.333333</v>
      </c>
      <c r="N40" s="1">
        <v>2.0</v>
      </c>
      <c r="O40" s="1">
        <v>-0.53138</v>
      </c>
      <c r="P40" s="1">
        <v>100.0</v>
      </c>
      <c r="Q40" s="1">
        <v>0.0</v>
      </c>
      <c r="R40" s="1">
        <v>0.0</v>
      </c>
      <c r="S40" s="1">
        <v>92.227369</v>
      </c>
    </row>
    <row r="41">
      <c r="A41" s="1" t="s">
        <v>320</v>
      </c>
      <c r="B41" s="1" t="s">
        <v>153</v>
      </c>
      <c r="C41" s="3" t="str">
        <f>'res269 Ari'!C41</f>
        <v>yes</v>
      </c>
      <c r="D41" s="3" t="str">
        <f>'res269 Ari'!D41</f>
        <v>same pose as PV-006143645775 and PV-006143645776, enantiomer</v>
      </c>
      <c r="E41" s="3" t="str">
        <f>'res269 Summer'!C41</f>
        <v>no</v>
      </c>
      <c r="F41" s="3" t="str">
        <f>'res269 Summer'!D41</f>
        <v/>
      </c>
      <c r="G41" s="3" t="str">
        <f>'res269 Mary Shay'!C41</f>
        <v/>
      </c>
      <c r="H41" s="3" t="str">
        <f>'res269 Mary Shay'!D41</f>
        <v/>
      </c>
      <c r="I41" s="1" t="str">
        <f>IFERROR(__xludf.DUMMYFUNCTION("IFERROR(REGEXEXTRACT(E41, ""res(269|122)""), ""none"")"),"none")</f>
        <v>none</v>
      </c>
      <c r="J41" s="1">
        <v>-16.381515</v>
      </c>
      <c r="K41" s="1">
        <v>6.0</v>
      </c>
      <c r="L41" s="1">
        <v>3.0</v>
      </c>
      <c r="M41" s="1">
        <v>0.5</v>
      </c>
      <c r="N41" s="1">
        <v>2.0</v>
      </c>
      <c r="O41" s="1">
        <v>-0.391175999999999</v>
      </c>
      <c r="P41" s="1">
        <v>100.0</v>
      </c>
      <c r="Q41" s="1">
        <v>0.0</v>
      </c>
      <c r="R41" s="1">
        <v>0.0</v>
      </c>
      <c r="S41" s="1">
        <v>94.727309</v>
      </c>
    </row>
    <row r="42">
      <c r="A42" s="1" t="s">
        <v>321</v>
      </c>
      <c r="B42" s="1" t="s">
        <v>322</v>
      </c>
      <c r="C42" s="3" t="str">
        <f>'res269 Ari'!C42</f>
        <v>yes</v>
      </c>
      <c r="D42" s="3" t="str">
        <f>'res269 Ari'!D42</f>
        <v>same pose as PV-006143645773 and PV-006143645776, enantiomer</v>
      </c>
      <c r="E42" s="3" t="str">
        <f>'res269 Summer'!C42</f>
        <v>no</v>
      </c>
      <c r="F42" s="3" t="str">
        <f>'res269 Summer'!D42</f>
        <v/>
      </c>
      <c r="G42" s="3" t="str">
        <f>'res269 Mary Shay'!C42</f>
        <v/>
      </c>
      <c r="H42" s="3" t="str">
        <f>'res269 Mary Shay'!D42</f>
        <v/>
      </c>
      <c r="I42" s="1" t="str">
        <f>IFERROR(__xludf.DUMMYFUNCTION("IFERROR(REGEXEXTRACT(E42, ""res(269|122)""), ""none"")"),"none")</f>
        <v>none</v>
      </c>
      <c r="J42" s="1">
        <v>-16.381515</v>
      </c>
      <c r="K42" s="1">
        <v>6.0</v>
      </c>
      <c r="L42" s="1">
        <v>3.0</v>
      </c>
      <c r="M42" s="1">
        <v>0.5</v>
      </c>
      <c r="N42" s="1">
        <v>2.0</v>
      </c>
      <c r="O42" s="1">
        <v>-0.391175999999999</v>
      </c>
      <c r="P42" s="1">
        <v>100.0</v>
      </c>
      <c r="Q42" s="1">
        <v>0.0</v>
      </c>
      <c r="R42" s="1">
        <v>0.0</v>
      </c>
      <c r="S42" s="1">
        <v>94.727309</v>
      </c>
    </row>
    <row r="43">
      <c r="A43" s="1" t="s">
        <v>323</v>
      </c>
      <c r="B43" s="1" t="s">
        <v>324</v>
      </c>
      <c r="C43" s="3" t="str">
        <f>'res269 Ari'!C43</f>
        <v>yes</v>
      </c>
      <c r="D43" s="3" t="str">
        <f>'res269 Ari'!D43</f>
        <v>same pose as PV-006143645775 and PV-006143645773, enantiomer</v>
      </c>
      <c r="E43" s="3" t="str">
        <f>'res269 Summer'!C43</f>
        <v>no</v>
      </c>
      <c r="F43" s="3" t="str">
        <f>'res269 Summer'!D43</f>
        <v/>
      </c>
      <c r="G43" s="3" t="str">
        <f>'res269 Mary Shay'!C43</f>
        <v/>
      </c>
      <c r="H43" s="3" t="str">
        <f>'res269 Mary Shay'!D43</f>
        <v/>
      </c>
      <c r="I43" s="1" t="str">
        <f>IFERROR(__xludf.DUMMYFUNCTION("IFERROR(REGEXEXTRACT(E43, ""res(269|122)""), ""none"")"),"none")</f>
        <v>none</v>
      </c>
      <c r="J43" s="1">
        <v>-16.381515</v>
      </c>
      <c r="K43" s="1">
        <v>6.0</v>
      </c>
      <c r="L43" s="1">
        <v>3.0</v>
      </c>
      <c r="M43" s="1">
        <v>0.5</v>
      </c>
      <c r="N43" s="1">
        <v>2.0</v>
      </c>
      <c r="O43" s="1">
        <v>-0.391175999999999</v>
      </c>
      <c r="P43" s="1">
        <v>100.0</v>
      </c>
      <c r="Q43" s="1">
        <v>0.0</v>
      </c>
      <c r="R43" s="1">
        <v>0.0</v>
      </c>
      <c r="S43" s="1">
        <v>94.727309</v>
      </c>
    </row>
    <row r="44">
      <c r="A44" s="1" t="s">
        <v>325</v>
      </c>
      <c r="B44" s="1" t="s">
        <v>326</v>
      </c>
      <c r="C44" s="3" t="str">
        <f>'res269 Ari'!C44</f>
        <v>maybe</v>
      </c>
      <c r="D44" s="3" t="str">
        <f>'res269 Ari'!D44</f>
        <v/>
      </c>
      <c r="E44" s="3" t="str">
        <f>'res269 Summer'!C44</f>
        <v>maybe</v>
      </c>
      <c r="F44" s="3" t="str">
        <f>'res269 Summer'!D44</f>
        <v/>
      </c>
      <c r="G44" s="3" t="str">
        <f>'res269 Mary Shay'!C44</f>
        <v/>
      </c>
      <c r="H44" s="3" t="str">
        <f>'res269 Mary Shay'!D44</f>
        <v/>
      </c>
      <c r="I44" s="1" t="str">
        <f>IFERROR(__xludf.DUMMYFUNCTION("IFERROR(REGEXEXTRACT(E44, ""res(269|122)""), ""none"")"),"none")</f>
        <v>none</v>
      </c>
      <c r="J44" s="1">
        <v>-16.758312</v>
      </c>
      <c r="K44" s="1">
        <v>7.0</v>
      </c>
      <c r="L44" s="1">
        <v>4.0</v>
      </c>
      <c r="M44" s="1">
        <v>0.428571</v>
      </c>
      <c r="N44" s="1">
        <v>2.0</v>
      </c>
      <c r="O44" s="1">
        <v>-1.542056</v>
      </c>
      <c r="P44" s="1">
        <v>100.0</v>
      </c>
      <c r="Q44" s="1">
        <v>0.0</v>
      </c>
      <c r="R44" s="1">
        <v>0.0</v>
      </c>
      <c r="S44" s="1">
        <v>95.128203</v>
      </c>
    </row>
    <row r="45">
      <c r="A45" s="1" t="s">
        <v>327</v>
      </c>
      <c r="B45" s="1" t="s">
        <v>156</v>
      </c>
      <c r="C45" s="3" t="str">
        <f>'res269 Ari'!C45</f>
        <v>maybe</v>
      </c>
      <c r="D45" s="3" t="str">
        <f>'res269 Ari'!D45</f>
        <v/>
      </c>
      <c r="E45" s="3" t="str">
        <f>'res269 Summer'!C45</f>
        <v>decent</v>
      </c>
      <c r="F45" s="3" t="str">
        <f>'res269 Summer'!D45</f>
        <v/>
      </c>
      <c r="G45" s="3" t="str">
        <f>'res269 Mary Shay'!C45</f>
        <v/>
      </c>
      <c r="H45" s="3" t="str">
        <f>'res269 Mary Shay'!D45</f>
        <v/>
      </c>
      <c r="I45" s="1" t="str">
        <f>IFERROR(__xludf.DUMMYFUNCTION("IFERROR(REGEXEXTRACT(E45, ""res(269|122)""), ""none"")"),"none")</f>
        <v>none</v>
      </c>
      <c r="J45" s="1">
        <v>-16.196607</v>
      </c>
      <c r="K45" s="1">
        <v>8.0</v>
      </c>
      <c r="L45" s="1">
        <v>5.0</v>
      </c>
      <c r="M45" s="1">
        <v>0.625</v>
      </c>
      <c r="N45" s="1">
        <v>3.0</v>
      </c>
      <c r="O45" s="1">
        <v>-1.08205699999999</v>
      </c>
      <c r="P45" s="1">
        <v>100.0</v>
      </c>
      <c r="Q45" s="1">
        <v>0.0</v>
      </c>
      <c r="R45" s="1">
        <v>0.0</v>
      </c>
      <c r="S45" s="1">
        <v>99.346336</v>
      </c>
    </row>
    <row r="46">
      <c r="A46" s="1" t="s">
        <v>328</v>
      </c>
      <c r="B46" s="1" t="s">
        <v>329</v>
      </c>
      <c r="C46" s="3" t="str">
        <f>'res269 Ari'!C46</f>
        <v>maybe</v>
      </c>
      <c r="D46" s="3" t="str">
        <f>'res269 Ari'!D46</f>
        <v/>
      </c>
      <c r="E46" s="3" t="str">
        <f>'res269 Summer'!C46</f>
        <v>no</v>
      </c>
      <c r="F46" s="3" t="str">
        <f>'res269 Summer'!D46</f>
        <v/>
      </c>
      <c r="G46" s="3" t="str">
        <f>'res269 Mary Shay'!C46</f>
        <v/>
      </c>
      <c r="H46" s="3" t="str">
        <f>'res269 Mary Shay'!D46</f>
        <v/>
      </c>
      <c r="I46" s="1" t="str">
        <f>IFERROR(__xludf.DUMMYFUNCTION("IFERROR(REGEXEXTRACT(E46, ""res(269|122)""), ""none"")"),"none")</f>
        <v>none</v>
      </c>
      <c r="J46" s="1">
        <v>-15.182474</v>
      </c>
      <c r="K46" s="1">
        <v>7.0</v>
      </c>
      <c r="L46" s="1">
        <v>2.0</v>
      </c>
      <c r="M46" s="1">
        <v>0.285714</v>
      </c>
      <c r="N46" s="1">
        <v>2.0</v>
      </c>
      <c r="O46" s="1">
        <v>-0.62157</v>
      </c>
      <c r="P46" s="1">
        <v>100.0</v>
      </c>
      <c r="Q46" s="1">
        <v>0.0</v>
      </c>
      <c r="R46" s="1">
        <v>0.0</v>
      </c>
      <c r="S46" s="1">
        <v>95.48167</v>
      </c>
    </row>
    <row r="47">
      <c r="A47" s="1" t="s">
        <v>330</v>
      </c>
      <c r="B47" s="1" t="s">
        <v>159</v>
      </c>
      <c r="C47" s="3" t="str">
        <f>'res269 Ari'!C47</f>
        <v>maybe</v>
      </c>
      <c r="D47" s="3" t="str">
        <f>'res269 Ari'!D47</f>
        <v/>
      </c>
      <c r="E47" s="3" t="str">
        <f>'res269 Summer'!C47</f>
        <v>decent</v>
      </c>
      <c r="F47" s="3" t="str">
        <f>'res269 Summer'!D47</f>
        <v/>
      </c>
      <c r="G47" s="3" t="str">
        <f>'res269 Mary Shay'!C47</f>
        <v/>
      </c>
      <c r="H47" s="3" t="str">
        <f>'res269 Mary Shay'!D47</f>
        <v/>
      </c>
      <c r="I47" s="1" t="str">
        <f>IFERROR(__xludf.DUMMYFUNCTION("IFERROR(REGEXEXTRACT(E47, ""res(269|122)""), ""none"")"),"none")</f>
        <v>none</v>
      </c>
      <c r="J47" s="1">
        <v>-17.250811</v>
      </c>
      <c r="K47" s="1">
        <v>11.0</v>
      </c>
      <c r="L47" s="1">
        <v>5.0</v>
      </c>
      <c r="M47" s="1">
        <v>0.272727</v>
      </c>
      <c r="N47" s="1">
        <v>2.0</v>
      </c>
      <c r="O47" s="1">
        <v>-0.713731</v>
      </c>
      <c r="P47" s="1">
        <v>100.0</v>
      </c>
      <c r="Q47" s="1">
        <v>0.0</v>
      </c>
      <c r="R47" s="1">
        <v>0.0</v>
      </c>
      <c r="S47" s="1">
        <v>100.308185</v>
      </c>
    </row>
    <row r="48">
      <c r="A48" s="1" t="s">
        <v>331</v>
      </c>
      <c r="B48" s="1" t="s">
        <v>332</v>
      </c>
      <c r="C48" s="3" t="str">
        <f>'res269 Ari'!C48</f>
        <v>maybe</v>
      </c>
      <c r="D48" s="3" t="str">
        <f>'res269 Ari'!D48</f>
        <v/>
      </c>
      <c r="E48" s="3" t="str">
        <f>'res269 Summer'!C48</f>
        <v>no</v>
      </c>
      <c r="F48" s="3" t="str">
        <f>'res269 Summer'!D48</f>
        <v/>
      </c>
      <c r="G48" s="3" t="str">
        <f>'res269 Mary Shay'!C48</f>
        <v/>
      </c>
      <c r="H48" s="3" t="str">
        <f>'res269 Mary Shay'!D48</f>
        <v/>
      </c>
      <c r="I48" s="1" t="str">
        <f>IFERROR(__xludf.DUMMYFUNCTION("IFERROR(REGEXEXTRACT(E48, ""res(269|122)""), ""none"")"),"none")</f>
        <v>none</v>
      </c>
      <c r="J48" s="1">
        <v>-15.813539</v>
      </c>
      <c r="K48" s="1">
        <v>8.0</v>
      </c>
      <c r="L48" s="1">
        <v>4.0</v>
      </c>
      <c r="M48" s="1">
        <v>0.375</v>
      </c>
      <c r="N48" s="1">
        <v>2.0</v>
      </c>
      <c r="O48" s="1">
        <v>-0.75356</v>
      </c>
      <c r="P48" s="1">
        <v>100.0</v>
      </c>
      <c r="Q48" s="1">
        <v>0.0</v>
      </c>
      <c r="R48" s="1">
        <v>0.0</v>
      </c>
      <c r="S48" s="1">
        <v>97.807901</v>
      </c>
    </row>
    <row r="49">
      <c r="A49" s="1" t="s">
        <v>333</v>
      </c>
      <c r="B49" s="1" t="s">
        <v>162</v>
      </c>
      <c r="C49" s="3" t="str">
        <f>'res269 Ari'!C49</f>
        <v>maybe</v>
      </c>
      <c r="D49" s="3" t="str">
        <f>'res269 Ari'!D49</f>
        <v/>
      </c>
      <c r="E49" s="3" t="str">
        <f>'res269 Summer'!C49</f>
        <v>decent</v>
      </c>
      <c r="F49" s="3" t="str">
        <f>'res269 Summer'!D49</f>
        <v/>
      </c>
      <c r="G49" s="3" t="str">
        <f>'res269 Mary Shay'!C49</f>
        <v/>
      </c>
      <c r="H49" s="3" t="str">
        <f>'res269 Mary Shay'!D49</f>
        <v/>
      </c>
      <c r="I49" s="1" t="str">
        <f>IFERROR(__xludf.DUMMYFUNCTION("IFERROR(REGEXEXTRACT(E49, ""res(269|122)""), ""none"")"),"none")</f>
        <v>none</v>
      </c>
      <c r="J49" s="1">
        <v>-17.483332</v>
      </c>
      <c r="K49" s="1">
        <v>7.0</v>
      </c>
      <c r="L49" s="1">
        <v>2.0</v>
      </c>
      <c r="M49" s="1">
        <v>0.428571</v>
      </c>
      <c r="N49" s="1">
        <v>2.0</v>
      </c>
      <c r="O49" s="1">
        <v>-0.934603</v>
      </c>
      <c r="P49" s="1">
        <v>100.0</v>
      </c>
      <c r="Q49" s="1">
        <v>0.0</v>
      </c>
      <c r="R49" s="1">
        <v>0.0</v>
      </c>
      <c r="S49" s="1">
        <v>93.010636</v>
      </c>
    </row>
    <row r="50">
      <c r="A50" s="1" t="s">
        <v>334</v>
      </c>
      <c r="B50" s="1" t="s">
        <v>335</v>
      </c>
      <c r="C50" s="3" t="str">
        <f>'res269 Ari'!C50</f>
        <v>maybe</v>
      </c>
      <c r="D50" s="3" t="str">
        <f>'res269 Ari'!D50</f>
        <v/>
      </c>
      <c r="E50" s="3" t="str">
        <f>'res269 Summer'!C50</f>
        <v>maybe</v>
      </c>
      <c r="F50" s="3" t="str">
        <f>'res269 Summer'!D50</f>
        <v/>
      </c>
      <c r="G50" s="3" t="str">
        <f>'res269 Mary Shay'!C50</f>
        <v/>
      </c>
      <c r="H50" s="3" t="str">
        <f>'res269 Mary Shay'!D50</f>
        <v/>
      </c>
      <c r="I50" s="1" t="str">
        <f>IFERROR(__xludf.DUMMYFUNCTION("IFERROR(REGEXEXTRACT(E50, ""res(269|122)""), ""none"")"),"none")</f>
        <v>none</v>
      </c>
      <c r="J50" s="1">
        <v>-15.044133</v>
      </c>
      <c r="K50" s="1">
        <v>7.0</v>
      </c>
      <c r="L50" s="1">
        <v>3.0</v>
      </c>
      <c r="M50" s="1">
        <v>0.285714</v>
      </c>
      <c r="N50" s="1">
        <v>2.0</v>
      </c>
      <c r="O50" s="1">
        <v>-0.869404</v>
      </c>
      <c r="P50" s="1">
        <v>100.0</v>
      </c>
      <c r="Q50" s="1">
        <v>0.0</v>
      </c>
      <c r="R50" s="1">
        <v>0.0</v>
      </c>
      <c r="S50" s="1">
        <v>96.372177</v>
      </c>
    </row>
    <row r="51">
      <c r="A51" s="1" t="s">
        <v>336</v>
      </c>
      <c r="B51" s="1" t="s">
        <v>337</v>
      </c>
      <c r="C51" s="3" t="str">
        <f>'res269 Ari'!C51</f>
        <v>maybe</v>
      </c>
      <c r="D51" s="3" t="str">
        <f>'res269 Ari'!D51</f>
        <v/>
      </c>
      <c r="E51" s="3" t="str">
        <f>'res269 Summer'!C51</f>
        <v>no</v>
      </c>
      <c r="F51" s="3" t="str">
        <f>'res269 Summer'!D51</f>
        <v/>
      </c>
      <c r="G51" s="3" t="str">
        <f>'res269 Mary Shay'!C51</f>
        <v/>
      </c>
      <c r="H51" s="3" t="str">
        <f>'res269 Mary Shay'!D51</f>
        <v/>
      </c>
      <c r="I51" s="1" t="str">
        <f>IFERROR(__xludf.DUMMYFUNCTION("IFERROR(REGEXEXTRACT(E51, ""res(269|122)""), ""none"")"),"none")</f>
        <v>none</v>
      </c>
      <c r="J51" s="1">
        <v>-16.338997</v>
      </c>
      <c r="K51" s="1">
        <v>6.0</v>
      </c>
      <c r="L51" s="1">
        <v>1.0</v>
      </c>
      <c r="M51" s="1">
        <v>0.333333</v>
      </c>
      <c r="N51" s="1">
        <v>2.0</v>
      </c>
      <c r="O51" s="1">
        <v>-1.569369</v>
      </c>
      <c r="P51" s="1">
        <v>100.0</v>
      </c>
      <c r="Q51" s="1">
        <v>0.0</v>
      </c>
      <c r="R51" s="1">
        <v>0.0</v>
      </c>
      <c r="S51" s="1">
        <v>91.424967</v>
      </c>
    </row>
    <row r="52">
      <c r="A52" s="1" t="s">
        <v>338</v>
      </c>
      <c r="B52" s="1" t="s">
        <v>339</v>
      </c>
      <c r="C52" s="3" t="str">
        <f>'res269 Ari'!C52</f>
        <v>maybe</v>
      </c>
      <c r="D52" s="3" t="str">
        <f>'res269 Ari'!D52</f>
        <v/>
      </c>
      <c r="E52" s="3" t="str">
        <f>'res269 Summer'!C52</f>
        <v>no</v>
      </c>
      <c r="F52" s="3" t="str">
        <f>'res269 Summer'!D52</f>
        <v/>
      </c>
      <c r="G52" s="3" t="str">
        <f>'res269 Mary Shay'!C52</f>
        <v/>
      </c>
      <c r="H52" s="3" t="str">
        <f>'res269 Mary Shay'!D52</f>
        <v/>
      </c>
      <c r="I52" s="1" t="str">
        <f>IFERROR(__xludf.DUMMYFUNCTION("IFERROR(REGEXEXTRACT(E52, ""res(269|122)""), ""none"")"),"none")</f>
        <v>none</v>
      </c>
      <c r="J52" s="1">
        <v>-15.874894</v>
      </c>
      <c r="K52" s="1">
        <v>8.0</v>
      </c>
      <c r="L52" s="1">
        <v>2.0</v>
      </c>
      <c r="M52" s="1">
        <v>0.25</v>
      </c>
      <c r="N52" s="1">
        <v>2.0</v>
      </c>
      <c r="O52" s="1">
        <v>-1.527443</v>
      </c>
      <c r="P52" s="1">
        <v>100.0</v>
      </c>
      <c r="Q52" s="1">
        <v>0.0</v>
      </c>
      <c r="R52" s="1">
        <v>0.0</v>
      </c>
      <c r="S52" s="1">
        <v>94.847663</v>
      </c>
    </row>
    <row r="53">
      <c r="A53" s="1" t="s">
        <v>340</v>
      </c>
      <c r="B53" s="1" t="s">
        <v>84</v>
      </c>
      <c r="C53" s="3" t="str">
        <f>'res269 Ari'!C53</f>
        <v>maybe</v>
      </c>
      <c r="D53" s="3" t="str">
        <f>'res269 Ari'!D53</f>
        <v/>
      </c>
      <c r="E53" s="3" t="str">
        <f>'res269 Summer'!C53</f>
        <v>decent</v>
      </c>
      <c r="F53" s="3" t="str">
        <f>'res269 Summer'!D53</f>
        <v/>
      </c>
      <c r="G53" s="3" t="str">
        <f>'res269 Mary Shay'!C53</f>
        <v/>
      </c>
      <c r="H53" s="3" t="str">
        <f>'res269 Mary Shay'!D53</f>
        <v/>
      </c>
      <c r="I53" s="1" t="str">
        <f>IFERROR(__xludf.DUMMYFUNCTION("IFERROR(REGEXEXTRACT(E53, ""res(269|122)""), ""none"")"),"none")</f>
        <v>none</v>
      </c>
      <c r="J53" s="1">
        <v>-15.19198</v>
      </c>
      <c r="K53" s="1">
        <v>8.0</v>
      </c>
      <c r="L53" s="1">
        <v>3.0</v>
      </c>
      <c r="M53" s="1">
        <v>0.375</v>
      </c>
      <c r="N53" s="1">
        <v>2.0</v>
      </c>
      <c r="O53" s="1">
        <v>-1.182302</v>
      </c>
      <c r="P53" s="1">
        <v>100.0</v>
      </c>
      <c r="Q53" s="1">
        <v>0.0</v>
      </c>
      <c r="R53" s="1">
        <v>0.0</v>
      </c>
      <c r="S53" s="1">
        <v>97.000718</v>
      </c>
    </row>
    <row r="54">
      <c r="A54" s="1" t="s">
        <v>341</v>
      </c>
      <c r="B54" s="1" t="s">
        <v>87</v>
      </c>
      <c r="C54" s="3" t="str">
        <f>'res269 Ari'!C54</f>
        <v>maybe</v>
      </c>
      <c r="D54" s="3" t="str">
        <f>'res269 Ari'!D54</f>
        <v/>
      </c>
      <c r="E54" s="3" t="str">
        <f>'res269 Summer'!C54</f>
        <v>yes</v>
      </c>
      <c r="F54" s="3" t="str">
        <f>'res269 Summer'!D54</f>
        <v/>
      </c>
      <c r="G54" s="3" t="str">
        <f>'res269 Mary Shay'!C54</f>
        <v/>
      </c>
      <c r="H54" s="3" t="str">
        <f>'res269 Mary Shay'!D54</f>
        <v/>
      </c>
      <c r="I54" s="1" t="str">
        <f>IFERROR(__xludf.DUMMYFUNCTION("IFERROR(REGEXEXTRACT(E54, ""res(269|122)""), ""none"")"),"none")</f>
        <v>none</v>
      </c>
      <c r="J54" s="1">
        <v>-15.653385</v>
      </c>
      <c r="K54" s="1">
        <v>8.0</v>
      </c>
      <c r="L54" s="1">
        <v>3.0</v>
      </c>
      <c r="M54" s="1">
        <v>0.25</v>
      </c>
      <c r="N54" s="1">
        <v>2.0</v>
      </c>
      <c r="O54" s="1">
        <v>-0.166637</v>
      </c>
      <c r="P54" s="1">
        <v>100.0</v>
      </c>
      <c r="Q54" s="1">
        <v>0.0</v>
      </c>
      <c r="R54" s="1">
        <v>0.0</v>
      </c>
      <c r="S54" s="1">
        <v>97.429978</v>
      </c>
    </row>
    <row r="55">
      <c r="A55" s="1" t="s">
        <v>342</v>
      </c>
      <c r="B55" s="1" t="s">
        <v>165</v>
      </c>
      <c r="C55" s="3" t="str">
        <f>'res269 Ari'!C55</f>
        <v>maybe</v>
      </c>
      <c r="D55" s="3" t="str">
        <f>'res269 Ari'!D55</f>
        <v/>
      </c>
      <c r="E55" s="3" t="str">
        <f>'res269 Summer'!C55</f>
        <v>decent</v>
      </c>
      <c r="F55" s="3" t="str">
        <f>'res269 Summer'!D55</f>
        <v/>
      </c>
      <c r="G55" s="3" t="str">
        <f>'res269 Mary Shay'!C55</f>
        <v/>
      </c>
      <c r="H55" s="3" t="str">
        <f>'res269 Mary Shay'!D55</f>
        <v/>
      </c>
      <c r="I55" s="1" t="str">
        <f>IFERROR(__xludf.DUMMYFUNCTION("IFERROR(REGEXEXTRACT(E55, ""res(269|122)""), ""none"")"),"none")</f>
        <v>none</v>
      </c>
      <c r="J55" s="1">
        <v>-15.468589</v>
      </c>
      <c r="K55" s="1">
        <v>8.0</v>
      </c>
      <c r="L55" s="1">
        <v>3.0</v>
      </c>
      <c r="M55" s="1">
        <v>0.375</v>
      </c>
      <c r="N55" s="1">
        <v>2.0</v>
      </c>
      <c r="O55" s="1">
        <v>-0.987794</v>
      </c>
      <c r="P55" s="1">
        <v>100.0</v>
      </c>
      <c r="Q55" s="1">
        <v>0.0</v>
      </c>
      <c r="R55" s="1">
        <v>0.0</v>
      </c>
      <c r="S55" s="1">
        <v>96.918617</v>
      </c>
    </row>
    <row r="56">
      <c r="A56" s="1" t="s">
        <v>343</v>
      </c>
      <c r="B56" s="1" t="s">
        <v>344</v>
      </c>
      <c r="C56" s="3" t="str">
        <f>'res269 Ari'!C56</f>
        <v>maybe</v>
      </c>
      <c r="D56" s="3" t="str">
        <f>'res269 Ari'!D56</f>
        <v/>
      </c>
      <c r="E56" s="3" t="str">
        <f>'res269 Summer'!C56</f>
        <v>maybe</v>
      </c>
      <c r="F56" s="3" t="str">
        <f>'res269 Summer'!D56</f>
        <v/>
      </c>
      <c r="G56" s="3" t="str">
        <f>'res269 Mary Shay'!C56</f>
        <v/>
      </c>
      <c r="H56" s="3" t="str">
        <f>'res269 Mary Shay'!D56</f>
        <v/>
      </c>
      <c r="I56" s="1" t="str">
        <f>IFERROR(__xludf.DUMMYFUNCTION("IFERROR(REGEXEXTRACT(E56, ""res(269|122)""), ""none"")"),"none")</f>
        <v>none</v>
      </c>
      <c r="J56" s="1">
        <v>-16.533467</v>
      </c>
      <c r="K56" s="1">
        <v>8.0</v>
      </c>
      <c r="L56" s="1">
        <v>5.0</v>
      </c>
      <c r="M56" s="1">
        <v>0.25</v>
      </c>
      <c r="N56" s="1">
        <v>2.0</v>
      </c>
      <c r="O56" s="1">
        <v>-1.486018</v>
      </c>
      <c r="P56" s="1">
        <v>100.0</v>
      </c>
      <c r="Q56" s="1">
        <v>0.0</v>
      </c>
      <c r="R56" s="1">
        <v>0.0</v>
      </c>
      <c r="S56" s="1">
        <v>97.230515</v>
      </c>
    </row>
    <row r="57">
      <c r="A57" s="1" t="s">
        <v>345</v>
      </c>
      <c r="B57" s="1" t="s">
        <v>346</v>
      </c>
      <c r="C57" s="3" t="str">
        <f>'res269 Ari'!C57</f>
        <v>maybe</v>
      </c>
      <c r="D57" s="3" t="str">
        <f>'res269 Ari'!D57</f>
        <v/>
      </c>
      <c r="E57" s="3" t="str">
        <f>'res269 Summer'!C57</f>
        <v>maybe</v>
      </c>
      <c r="F57" s="3" t="str">
        <f>'res269 Summer'!D57</f>
        <v/>
      </c>
      <c r="G57" s="3" t="str">
        <f>'res269 Mary Shay'!C57</f>
        <v/>
      </c>
      <c r="H57" s="3" t="str">
        <f>'res269 Mary Shay'!D57</f>
        <v/>
      </c>
      <c r="I57" s="1" t="str">
        <f>IFERROR(__xludf.DUMMYFUNCTION("IFERROR(REGEXEXTRACT(E57, ""res(269|122)""), ""none"")"),"none")</f>
        <v>none</v>
      </c>
      <c r="J57" s="1">
        <v>-16.383014</v>
      </c>
      <c r="K57" s="1">
        <v>11.0</v>
      </c>
      <c r="L57" s="1">
        <v>5.0</v>
      </c>
      <c r="M57" s="1">
        <v>0.545455</v>
      </c>
      <c r="N57" s="1">
        <v>2.0</v>
      </c>
      <c r="O57" s="1">
        <v>-1.431922</v>
      </c>
      <c r="P57" s="1">
        <v>100.0</v>
      </c>
      <c r="Q57" s="1">
        <v>0.0</v>
      </c>
      <c r="R57" s="1">
        <v>0.0</v>
      </c>
      <c r="S57" s="1">
        <v>100.730519</v>
      </c>
    </row>
    <row r="58">
      <c r="A58" s="1" t="s">
        <v>347</v>
      </c>
      <c r="B58" s="1" t="s">
        <v>348</v>
      </c>
      <c r="C58" s="3" t="str">
        <f>'res269 Ari'!C58</f>
        <v>maybe</v>
      </c>
      <c r="D58" s="3" t="str">
        <f>'res269 Ari'!D58</f>
        <v/>
      </c>
      <c r="E58" s="3" t="str">
        <f>'res269 Summer'!C58</f>
        <v>no</v>
      </c>
      <c r="F58" s="3" t="str">
        <f>'res269 Summer'!D58</f>
        <v/>
      </c>
      <c r="G58" s="3" t="str">
        <f>'res269 Mary Shay'!C58</f>
        <v/>
      </c>
      <c r="H58" s="3" t="str">
        <f>'res269 Mary Shay'!D58</f>
        <v/>
      </c>
      <c r="I58" s="1" t="str">
        <f>IFERROR(__xludf.DUMMYFUNCTION("IFERROR(REGEXEXTRACT(E58, ""res(269|122)""), ""none"")"),"none")</f>
        <v>none</v>
      </c>
      <c r="J58" s="1">
        <v>-15.915515</v>
      </c>
      <c r="K58" s="1">
        <v>8.0</v>
      </c>
      <c r="L58" s="1">
        <v>4.0</v>
      </c>
      <c r="M58" s="1">
        <v>0.375</v>
      </c>
      <c r="N58" s="1">
        <v>2.0</v>
      </c>
      <c r="O58" s="1">
        <v>-0.684045</v>
      </c>
      <c r="P58" s="1">
        <v>100.0</v>
      </c>
      <c r="Q58" s="1">
        <v>0.0</v>
      </c>
      <c r="R58" s="1">
        <v>0.0</v>
      </c>
      <c r="S58" s="1">
        <v>97.77544</v>
      </c>
    </row>
    <row r="59">
      <c r="A59" s="1" t="s">
        <v>349</v>
      </c>
      <c r="B59" s="1" t="s">
        <v>90</v>
      </c>
      <c r="C59" s="3" t="str">
        <f>'res269 Ari'!C59</f>
        <v>maybe</v>
      </c>
      <c r="D59" s="3" t="str">
        <f>'res269 Ari'!D59</f>
        <v>same pose as PV-006712468449, enantiomer</v>
      </c>
      <c r="E59" s="3" t="str">
        <f>'res269 Summer'!C59</f>
        <v>decent</v>
      </c>
      <c r="F59" s="3" t="str">
        <f>'res269 Summer'!D59</f>
        <v/>
      </c>
      <c r="G59" s="3" t="str">
        <f>'res269 Mary Shay'!C59</f>
        <v/>
      </c>
      <c r="H59" s="3" t="str">
        <f>'res269 Mary Shay'!D59</f>
        <v/>
      </c>
      <c r="I59" s="1" t="str">
        <f>IFERROR(__xludf.DUMMYFUNCTION("IFERROR(REGEXEXTRACT(E59, ""res(269|122)""), ""none"")"),"none")</f>
        <v>none</v>
      </c>
      <c r="J59" s="1">
        <v>-15.759066</v>
      </c>
      <c r="K59" s="1">
        <v>7.0</v>
      </c>
      <c r="L59" s="1">
        <v>2.0</v>
      </c>
      <c r="M59" s="1">
        <v>0.571429</v>
      </c>
      <c r="N59" s="1">
        <v>2.0</v>
      </c>
      <c r="O59" s="1">
        <v>-0.931789</v>
      </c>
      <c r="P59" s="1">
        <v>100.0</v>
      </c>
      <c r="Q59" s="1">
        <v>0.0</v>
      </c>
      <c r="R59" s="1">
        <v>0.0</v>
      </c>
      <c r="S59" s="1">
        <v>94.880574</v>
      </c>
    </row>
    <row r="60">
      <c r="A60" s="1" t="s">
        <v>350</v>
      </c>
      <c r="B60" s="1" t="s">
        <v>351</v>
      </c>
      <c r="C60" s="3" t="str">
        <f>'res269 Ari'!C60</f>
        <v>maybe</v>
      </c>
      <c r="D60" s="3" t="str">
        <f>'res269 Ari'!D60</f>
        <v>same pose as PV-006712468448, enantiomer</v>
      </c>
      <c r="E60" s="3" t="str">
        <f>'res269 Summer'!C60</f>
        <v>same</v>
      </c>
      <c r="F60" s="3" t="str">
        <f>'res269 Summer'!D60</f>
        <v/>
      </c>
      <c r="G60" s="3" t="str">
        <f>'res269 Mary Shay'!C60</f>
        <v/>
      </c>
      <c r="H60" s="3" t="str">
        <f>'res269 Mary Shay'!D60</f>
        <v/>
      </c>
      <c r="I60" s="1" t="str">
        <f>IFERROR(__xludf.DUMMYFUNCTION("IFERROR(REGEXEXTRACT(E60, ""res(269|122)""), ""none"")"),"none")</f>
        <v>none</v>
      </c>
      <c r="J60" s="1">
        <v>-15.759066</v>
      </c>
      <c r="K60" s="1">
        <v>7.0</v>
      </c>
      <c r="L60" s="1">
        <v>2.0</v>
      </c>
      <c r="M60" s="1">
        <v>0.571429</v>
      </c>
      <c r="N60" s="1">
        <v>2.0</v>
      </c>
      <c r="O60" s="1">
        <v>-0.931789</v>
      </c>
      <c r="P60" s="1">
        <v>100.0</v>
      </c>
      <c r="Q60" s="1">
        <v>0.0</v>
      </c>
      <c r="R60" s="1">
        <v>0.0</v>
      </c>
      <c r="S60" s="1">
        <v>94.880574</v>
      </c>
    </row>
    <row r="61">
      <c r="A61" s="1" t="s">
        <v>352</v>
      </c>
      <c r="B61" s="1" t="s">
        <v>353</v>
      </c>
      <c r="C61" s="3" t="str">
        <f>'res269 Ari'!C61</f>
        <v>maybe</v>
      </c>
      <c r="D61" s="3" t="str">
        <f>'res269 Ari'!D61</f>
        <v/>
      </c>
      <c r="E61" s="3" t="str">
        <f>'res269 Summer'!C61</f>
        <v>no</v>
      </c>
      <c r="F61" s="3" t="str">
        <f>'res269 Summer'!D61</f>
        <v/>
      </c>
      <c r="G61" s="3" t="str">
        <f>'res269 Mary Shay'!C61</f>
        <v/>
      </c>
      <c r="H61" s="3" t="str">
        <f>'res269 Mary Shay'!D61</f>
        <v/>
      </c>
      <c r="I61" s="1" t="str">
        <f>IFERROR(__xludf.DUMMYFUNCTION("IFERROR(REGEXEXTRACT(E61, ""res(269|122)""), ""none"")"),"none")</f>
        <v>none</v>
      </c>
      <c r="J61" s="1">
        <v>-15.088626</v>
      </c>
      <c r="K61" s="1">
        <v>12.0</v>
      </c>
      <c r="L61" s="1">
        <v>3.0</v>
      </c>
      <c r="M61" s="1">
        <v>0.416667</v>
      </c>
      <c r="N61" s="1">
        <v>2.0</v>
      </c>
      <c r="O61" s="1">
        <v>-0.765151</v>
      </c>
      <c r="P61" s="1">
        <v>100.0</v>
      </c>
      <c r="Q61" s="1">
        <v>0.0</v>
      </c>
      <c r="R61" s="1">
        <v>0.0</v>
      </c>
      <c r="S61" s="1">
        <v>101.56289</v>
      </c>
    </row>
    <row r="62">
      <c r="A62" s="1" t="s">
        <v>354</v>
      </c>
      <c r="B62" s="1" t="s">
        <v>355</v>
      </c>
      <c r="C62" s="3" t="str">
        <f>'res269 Ari'!C62</f>
        <v>maybe</v>
      </c>
      <c r="D62" s="3" t="str">
        <f>'res269 Ari'!D62</f>
        <v/>
      </c>
      <c r="E62" s="3" t="str">
        <f>'res269 Summer'!C62</f>
        <v>no</v>
      </c>
      <c r="F62" s="3" t="str">
        <f>'res269 Summer'!D62</f>
        <v/>
      </c>
      <c r="G62" s="3" t="str">
        <f>'res269 Mary Shay'!C62</f>
        <v/>
      </c>
      <c r="H62" s="3" t="str">
        <f>'res269 Mary Shay'!D62</f>
        <v/>
      </c>
      <c r="I62" s="1" t="str">
        <f>IFERROR(__xludf.DUMMYFUNCTION("IFERROR(REGEXEXTRACT(E62, ""res(269|122)""), ""none"")"),"none")</f>
        <v>none</v>
      </c>
      <c r="J62" s="1">
        <v>-16.551482</v>
      </c>
      <c r="K62" s="1">
        <v>8.0</v>
      </c>
      <c r="L62" s="1">
        <v>3.0</v>
      </c>
      <c r="M62" s="1">
        <v>0.25</v>
      </c>
      <c r="N62" s="1">
        <v>2.0</v>
      </c>
      <c r="O62" s="1">
        <v>-0.695112</v>
      </c>
      <c r="P62" s="1">
        <v>100.0</v>
      </c>
      <c r="Q62" s="1">
        <v>0.0</v>
      </c>
      <c r="R62" s="1">
        <v>0.0</v>
      </c>
      <c r="S62" s="1">
        <v>96.003406</v>
      </c>
    </row>
    <row r="63">
      <c r="A63" s="1" t="s">
        <v>356</v>
      </c>
      <c r="B63" s="1" t="s">
        <v>168</v>
      </c>
      <c r="C63" s="3" t="str">
        <f>'res269 Ari'!C63</f>
        <v>decent</v>
      </c>
      <c r="D63" s="3" t="str">
        <f>'res269 Ari'!D63</f>
        <v/>
      </c>
      <c r="E63" s="3" t="str">
        <f>'res269 Summer'!C63</f>
        <v>no</v>
      </c>
      <c r="F63" s="3" t="str">
        <f>'res269 Summer'!D63</f>
        <v/>
      </c>
      <c r="G63" s="3" t="str">
        <f>'res269 Mary Shay'!C63</f>
        <v/>
      </c>
      <c r="H63" s="3" t="str">
        <f>'res269 Mary Shay'!D63</f>
        <v/>
      </c>
      <c r="I63" s="1" t="str">
        <f>IFERROR(__xludf.DUMMYFUNCTION("IFERROR(REGEXEXTRACT(E63, ""res(269|122)""), ""none"")"),"none")</f>
        <v>none</v>
      </c>
      <c r="J63" s="1">
        <v>-16.947939</v>
      </c>
      <c r="K63" s="1">
        <v>7.0</v>
      </c>
      <c r="L63" s="1">
        <v>1.0</v>
      </c>
      <c r="M63" s="1">
        <v>0.285714</v>
      </c>
      <c r="N63" s="1">
        <v>2.0</v>
      </c>
      <c r="O63" s="1">
        <v>-1.26662</v>
      </c>
      <c r="P63" s="1">
        <v>100.0</v>
      </c>
      <c r="Q63" s="1">
        <v>0.0</v>
      </c>
      <c r="R63" s="1">
        <v>0.0</v>
      </c>
      <c r="S63" s="1">
        <v>92.071155</v>
      </c>
    </row>
    <row r="64">
      <c r="A64" s="1" t="s">
        <v>357</v>
      </c>
      <c r="B64" s="1" t="s">
        <v>358</v>
      </c>
      <c r="C64" s="3" t="str">
        <f>'res269 Ari'!C64</f>
        <v>maybe</v>
      </c>
      <c r="D64" s="3" t="str">
        <f>'res269 Ari'!D64</f>
        <v/>
      </c>
      <c r="E64" s="3" t="str">
        <f>'res269 Summer'!C64</f>
        <v>no</v>
      </c>
      <c r="F64" s="3" t="str">
        <f>'res269 Summer'!D64</f>
        <v/>
      </c>
      <c r="G64" s="3" t="str">
        <f>'res269 Mary Shay'!C64</f>
        <v/>
      </c>
      <c r="H64" s="3" t="str">
        <f>'res269 Mary Shay'!D64</f>
        <v/>
      </c>
      <c r="I64" s="1" t="str">
        <f>IFERROR(__xludf.DUMMYFUNCTION("IFERROR(REGEXEXTRACT(E64, ""res(269|122)""), ""none"")"),"none")</f>
        <v>none</v>
      </c>
      <c r="J64" s="1">
        <v>-18.499142</v>
      </c>
      <c r="K64" s="1">
        <v>10.0</v>
      </c>
      <c r="L64" s="1">
        <v>1.0</v>
      </c>
      <c r="M64" s="1">
        <v>0.3</v>
      </c>
      <c r="N64" s="1">
        <v>3.0</v>
      </c>
      <c r="O64" s="1">
        <v>-0.362342</v>
      </c>
      <c r="P64" s="1">
        <v>100.0</v>
      </c>
      <c r="Q64" s="1">
        <v>0.0</v>
      </c>
      <c r="R64" s="1">
        <v>0.0</v>
      </c>
      <c r="S64" s="1">
        <v>95.438516</v>
      </c>
    </row>
    <row r="65">
      <c r="A65" s="1" t="s">
        <v>359</v>
      </c>
      <c r="B65" s="1" t="s">
        <v>360</v>
      </c>
      <c r="C65" s="3" t="str">
        <f>'res269 Ari'!C65</f>
        <v>maybe</v>
      </c>
      <c r="D65" s="3" t="str">
        <f>'res269 Ari'!D65</f>
        <v/>
      </c>
      <c r="E65" s="3" t="str">
        <f>'res269 Summer'!C65</f>
        <v>no</v>
      </c>
      <c r="F65" s="3" t="str">
        <f>'res269 Summer'!D65</f>
        <v/>
      </c>
      <c r="G65" s="3" t="str">
        <f>'res269 Mary Shay'!C65</f>
        <v/>
      </c>
      <c r="H65" s="3" t="str">
        <f>'res269 Mary Shay'!D65</f>
        <v/>
      </c>
      <c r="I65" s="1" t="str">
        <f>IFERROR(__xludf.DUMMYFUNCTION("IFERROR(REGEXEXTRACT(E65, ""res(269|122)""), ""none"")"),"none")</f>
        <v>none</v>
      </c>
      <c r="J65" s="1">
        <v>-16.983006</v>
      </c>
      <c r="K65" s="1">
        <v>12.0</v>
      </c>
      <c r="L65" s="1">
        <v>5.0</v>
      </c>
      <c r="M65" s="1">
        <v>0.25</v>
      </c>
      <c r="N65" s="1">
        <v>2.0</v>
      </c>
      <c r="O65" s="1">
        <v>-0.69205</v>
      </c>
      <c r="P65" s="1">
        <v>100.0</v>
      </c>
      <c r="Q65" s="1">
        <v>0.0</v>
      </c>
      <c r="R65" s="1">
        <v>0.0</v>
      </c>
      <c r="S65" s="1">
        <v>101.574944</v>
      </c>
    </row>
    <row r="66">
      <c r="A66" s="1" t="s">
        <v>361</v>
      </c>
      <c r="B66" s="1" t="s">
        <v>362</v>
      </c>
      <c r="C66" s="3" t="str">
        <f>'res269 Ari'!C66</f>
        <v>maybe</v>
      </c>
      <c r="D66" s="3" t="str">
        <f>'res269 Ari'!D66</f>
        <v/>
      </c>
      <c r="E66" s="3" t="str">
        <f>'res269 Summer'!C66</f>
        <v>no</v>
      </c>
      <c r="F66" s="3" t="str">
        <f>'res269 Summer'!D66</f>
        <v/>
      </c>
      <c r="G66" s="3" t="str">
        <f>'res269 Mary Shay'!C66</f>
        <v/>
      </c>
      <c r="H66" s="3" t="str">
        <f>'res269 Mary Shay'!D66</f>
        <v/>
      </c>
      <c r="I66" s="1" t="str">
        <f>IFERROR(__xludf.DUMMYFUNCTION("IFERROR(REGEXEXTRACT(E66, ""res(269|122)""), ""none"")"),"none")</f>
        <v>none</v>
      </c>
      <c r="J66" s="1">
        <v>-15.529597</v>
      </c>
      <c r="K66" s="1">
        <v>9.0</v>
      </c>
      <c r="L66" s="1">
        <v>2.0</v>
      </c>
      <c r="M66" s="1">
        <v>0.444444</v>
      </c>
      <c r="N66" s="1">
        <v>2.0</v>
      </c>
      <c r="O66" s="1">
        <v>-0.986909</v>
      </c>
      <c r="P66" s="1">
        <v>100.0</v>
      </c>
      <c r="Q66" s="1">
        <v>0.0</v>
      </c>
      <c r="R66" s="1">
        <v>0.0</v>
      </c>
      <c r="S66" s="1">
        <v>96.927938</v>
      </c>
    </row>
    <row r="67">
      <c r="A67" s="1" t="s">
        <v>363</v>
      </c>
      <c r="B67" s="1" t="s">
        <v>364</v>
      </c>
      <c r="C67" s="3" t="str">
        <f>'res269 Ari'!C67</f>
        <v>maybe</v>
      </c>
      <c r="D67" s="3" t="str">
        <f>'res269 Ari'!D67</f>
        <v/>
      </c>
      <c r="E67" s="3" t="str">
        <f>'res269 Summer'!C67</f>
        <v>no</v>
      </c>
      <c r="F67" s="3" t="str">
        <f>'res269 Summer'!D67</f>
        <v/>
      </c>
      <c r="G67" s="3" t="str">
        <f>'res269 Mary Shay'!C67</f>
        <v/>
      </c>
      <c r="H67" s="3" t="str">
        <f>'res269 Mary Shay'!D67</f>
        <v/>
      </c>
      <c r="I67" s="1" t="str">
        <f>IFERROR(__xludf.DUMMYFUNCTION("IFERROR(REGEXEXTRACT(E67, ""res(269|122)""), ""none"")"),"none")</f>
        <v>none</v>
      </c>
      <c r="J67" s="1">
        <v>-16.175959</v>
      </c>
      <c r="K67" s="1">
        <v>9.0</v>
      </c>
      <c r="L67" s="1">
        <v>3.0</v>
      </c>
      <c r="M67" s="1">
        <v>0.333333</v>
      </c>
      <c r="N67" s="1">
        <v>2.0</v>
      </c>
      <c r="O67" s="1">
        <v>-0.314357</v>
      </c>
      <c r="P67" s="1">
        <v>100.0</v>
      </c>
      <c r="Q67" s="1">
        <v>0.0</v>
      </c>
      <c r="R67" s="1">
        <v>0.0</v>
      </c>
      <c r="S67" s="1">
        <v>97.843017</v>
      </c>
    </row>
    <row r="68">
      <c r="A68" s="1" t="s">
        <v>365</v>
      </c>
      <c r="B68" s="1" t="s">
        <v>366</v>
      </c>
      <c r="C68" s="3" t="str">
        <f>'res269 Ari'!C68</f>
        <v>maybe</v>
      </c>
      <c r="D68" s="3" t="str">
        <f>'res269 Ari'!D68</f>
        <v/>
      </c>
      <c r="E68" s="3" t="str">
        <f>'res269 Summer'!C68</f>
        <v>no</v>
      </c>
      <c r="F68" s="3" t="str">
        <f>'res269 Summer'!D68</f>
        <v/>
      </c>
      <c r="G68" s="3" t="str">
        <f>'res269 Mary Shay'!C68</f>
        <v/>
      </c>
      <c r="H68" s="3" t="str">
        <f>'res269 Mary Shay'!D68</f>
        <v/>
      </c>
      <c r="I68" s="1" t="str">
        <f>IFERROR(__xludf.DUMMYFUNCTION("IFERROR(REGEXEXTRACT(E68, ""res(269|122)""), ""none"")"),"none")</f>
        <v>none</v>
      </c>
      <c r="J68" s="1">
        <v>-17.343073</v>
      </c>
      <c r="K68" s="1">
        <v>7.0</v>
      </c>
      <c r="L68" s="1">
        <v>2.0</v>
      </c>
      <c r="M68" s="1">
        <v>0.285714</v>
      </c>
      <c r="N68" s="1">
        <v>2.0</v>
      </c>
      <c r="O68" s="1">
        <v>-0.812617</v>
      </c>
      <c r="P68" s="1">
        <v>100.0</v>
      </c>
      <c r="Q68" s="1">
        <v>0.0</v>
      </c>
      <c r="R68" s="1">
        <v>0.0</v>
      </c>
      <c r="S68" s="1">
        <v>93.130024</v>
      </c>
    </row>
    <row r="69">
      <c r="A69" s="1" t="s">
        <v>367</v>
      </c>
      <c r="B69" s="1" t="s">
        <v>368</v>
      </c>
      <c r="C69" s="3" t="str">
        <f>'res269 Ari'!C69</f>
        <v>maybe</v>
      </c>
      <c r="D69" s="3" t="str">
        <f>'res269 Ari'!D69</f>
        <v/>
      </c>
      <c r="E69" s="3" t="str">
        <f>'res269 Summer'!C69</f>
        <v>no</v>
      </c>
      <c r="F69" s="3" t="str">
        <f>'res269 Summer'!D69</f>
        <v/>
      </c>
      <c r="G69" s="3" t="str">
        <f>'res269 Mary Shay'!C69</f>
        <v/>
      </c>
      <c r="H69" s="3" t="str">
        <f>'res269 Mary Shay'!D69</f>
        <v/>
      </c>
      <c r="I69" s="1" t="str">
        <f>IFERROR(__xludf.DUMMYFUNCTION("IFERROR(REGEXEXTRACT(E69, ""res(269|122)""), ""none"")"),"none")</f>
        <v>none</v>
      </c>
      <c r="J69" s="1">
        <v>-15.840535</v>
      </c>
      <c r="K69" s="1">
        <v>8.0</v>
      </c>
      <c r="L69" s="1">
        <v>3.0</v>
      </c>
      <c r="M69" s="1">
        <v>0.25</v>
      </c>
      <c r="N69" s="1">
        <v>2.0</v>
      </c>
      <c r="O69" s="1">
        <v>-1.102898</v>
      </c>
      <c r="P69" s="1">
        <v>100.0</v>
      </c>
      <c r="Q69" s="1">
        <v>0.0</v>
      </c>
      <c r="R69" s="1">
        <v>0.0</v>
      </c>
      <c r="S69" s="1">
        <v>96.306567</v>
      </c>
    </row>
    <row r="70">
      <c r="A70" s="1" t="s">
        <v>369</v>
      </c>
      <c r="B70" s="1" t="s">
        <v>370</v>
      </c>
      <c r="C70" s="3" t="str">
        <f>'res269 Ari'!C70</f>
        <v>maybe</v>
      </c>
      <c r="D70" s="3" t="str">
        <f>'res269 Ari'!D70</f>
        <v/>
      </c>
      <c r="E70" s="3" t="str">
        <f>'res269 Summer'!C70</f>
        <v>no</v>
      </c>
      <c r="F70" s="3" t="str">
        <f>'res269 Summer'!D70</f>
        <v/>
      </c>
      <c r="G70" s="3" t="str">
        <f>'res269 Mary Shay'!C70</f>
        <v/>
      </c>
      <c r="H70" s="3" t="str">
        <f>'res269 Mary Shay'!D70</f>
        <v/>
      </c>
      <c r="I70" s="1" t="str">
        <f>IFERROR(__xludf.DUMMYFUNCTION("IFERROR(REGEXEXTRACT(E70, ""res(269|122)""), ""none"")"),"none")</f>
        <v>none</v>
      </c>
      <c r="J70" s="1">
        <v>-15.34511</v>
      </c>
      <c r="K70" s="1">
        <v>6.0</v>
      </c>
      <c r="L70" s="1">
        <v>3.0</v>
      </c>
      <c r="M70" s="1">
        <v>0.333333</v>
      </c>
      <c r="N70" s="1">
        <v>2.0</v>
      </c>
      <c r="O70" s="1">
        <v>-0.649549</v>
      </c>
      <c r="P70" s="1">
        <v>100.0</v>
      </c>
      <c r="Q70" s="1">
        <v>0.0</v>
      </c>
      <c r="R70" s="1">
        <v>0.0</v>
      </c>
      <c r="S70" s="1">
        <v>95.338674</v>
      </c>
    </row>
    <row r="71">
      <c r="A71" s="1" t="s">
        <v>371</v>
      </c>
      <c r="B71" s="1" t="s">
        <v>372</v>
      </c>
      <c r="C71" s="3" t="str">
        <f>'res269 Ari'!C71</f>
        <v>maybe</v>
      </c>
      <c r="D71" s="3" t="str">
        <f>'res269 Ari'!D71</f>
        <v>probably not good</v>
      </c>
      <c r="E71" s="3" t="str">
        <f>'res269 Summer'!C71</f>
        <v>no</v>
      </c>
      <c r="F71" s="3" t="str">
        <f>'res269 Summer'!D71</f>
        <v/>
      </c>
      <c r="G71" s="3" t="str">
        <f>'res269 Mary Shay'!C71</f>
        <v/>
      </c>
      <c r="H71" s="3" t="str">
        <f>'res269 Mary Shay'!D71</f>
        <v/>
      </c>
      <c r="I71" s="1" t="str">
        <f>IFERROR(__xludf.DUMMYFUNCTION("IFERROR(REGEXEXTRACT(E71, ""res(269|122)""), ""none"")"),"none")</f>
        <v>none</v>
      </c>
      <c r="J71" s="1">
        <v>-15.869256</v>
      </c>
      <c r="K71" s="1">
        <v>7.0</v>
      </c>
      <c r="L71" s="1">
        <v>2.0</v>
      </c>
      <c r="M71" s="1">
        <v>0.428571</v>
      </c>
      <c r="N71" s="1">
        <v>3.0</v>
      </c>
      <c r="O71" s="1">
        <v>-2.176816</v>
      </c>
      <c r="P71" s="1">
        <v>100.0</v>
      </c>
      <c r="Q71" s="1">
        <v>0.0</v>
      </c>
      <c r="R71" s="1">
        <v>0.0</v>
      </c>
      <c r="S71" s="1">
        <v>94.382499</v>
      </c>
    </row>
    <row r="72">
      <c r="A72" s="1" t="s">
        <v>373</v>
      </c>
      <c r="B72" s="1" t="s">
        <v>171</v>
      </c>
      <c r="C72" s="3" t="str">
        <f>'res269 Ari'!C72</f>
        <v>decent</v>
      </c>
      <c r="D72" s="3" t="str">
        <f>'res269 Ari'!D72</f>
        <v/>
      </c>
      <c r="E72" s="3" t="str">
        <f>'res269 Summer'!C72</f>
        <v>decent</v>
      </c>
      <c r="F72" s="3" t="str">
        <f>'res269 Summer'!D72</f>
        <v/>
      </c>
      <c r="G72" s="3" t="str">
        <f>'res269 Mary Shay'!C72</f>
        <v/>
      </c>
      <c r="H72" s="3" t="str">
        <f>'res269 Mary Shay'!D72</f>
        <v/>
      </c>
      <c r="I72" s="1" t="str">
        <f>IFERROR(__xludf.DUMMYFUNCTION("IFERROR(REGEXEXTRACT(E72, ""res(269|122)""), ""none"")"),"none")</f>
        <v>none</v>
      </c>
      <c r="J72" s="1">
        <v>-16.284917</v>
      </c>
      <c r="K72" s="1">
        <v>8.0</v>
      </c>
      <c r="L72" s="1">
        <v>5.0</v>
      </c>
      <c r="M72" s="1">
        <v>0.25</v>
      </c>
      <c r="N72" s="1">
        <v>2.0</v>
      </c>
      <c r="O72" s="1">
        <v>-1.566179</v>
      </c>
      <c r="P72" s="1">
        <v>100.0</v>
      </c>
      <c r="Q72" s="1">
        <v>0.0</v>
      </c>
      <c r="R72" s="1">
        <v>0.0</v>
      </c>
      <c r="S72" s="1">
        <v>97.398904</v>
      </c>
    </row>
    <row r="73">
      <c r="A73" s="1" t="s">
        <v>374</v>
      </c>
      <c r="B73" s="1" t="s">
        <v>174</v>
      </c>
      <c r="C73" s="3" t="str">
        <f>'res269 Ari'!C73</f>
        <v>maybe</v>
      </c>
      <c r="D73" s="3" t="str">
        <f>'res269 Ari'!D73</f>
        <v/>
      </c>
      <c r="E73" s="3" t="str">
        <f>'res269 Summer'!C73</f>
        <v>decent</v>
      </c>
      <c r="F73" s="3" t="str">
        <f>'res269 Summer'!D73</f>
        <v/>
      </c>
      <c r="G73" s="3" t="str">
        <f>'res269 Mary Shay'!C73</f>
        <v/>
      </c>
      <c r="H73" s="3" t="str">
        <f>'res269 Mary Shay'!D73</f>
        <v/>
      </c>
      <c r="I73" s="1" t="str">
        <f>IFERROR(__xludf.DUMMYFUNCTION("IFERROR(REGEXEXTRACT(E73, ""res(269|122)""), ""none"")"),"none")</f>
        <v>none</v>
      </c>
      <c r="J73" s="1">
        <v>-16.118663</v>
      </c>
      <c r="K73" s="1">
        <v>9.0</v>
      </c>
      <c r="L73" s="1">
        <v>1.0</v>
      </c>
      <c r="M73" s="1">
        <v>0.333333</v>
      </c>
      <c r="N73" s="1">
        <v>2.0</v>
      </c>
      <c r="O73" s="1">
        <v>-0.368431</v>
      </c>
      <c r="P73" s="1">
        <v>100.0</v>
      </c>
      <c r="Q73" s="1">
        <v>0.0</v>
      </c>
      <c r="R73" s="1">
        <v>0.0</v>
      </c>
      <c r="S73" s="1">
        <v>95.846239</v>
      </c>
    </row>
    <row r="74">
      <c r="A74" s="1" t="s">
        <v>375</v>
      </c>
      <c r="B74" s="1" t="s">
        <v>376</v>
      </c>
      <c r="C74" s="3" t="str">
        <f>'res269 Ari'!C74</f>
        <v>maybe</v>
      </c>
      <c r="D74" s="3" t="str">
        <f>'res269 Ari'!D74</f>
        <v/>
      </c>
      <c r="E74" s="3" t="str">
        <f>'res269 Summer'!C74</f>
        <v>no</v>
      </c>
      <c r="F74" s="3" t="str">
        <f>'res269 Summer'!D74</f>
        <v/>
      </c>
      <c r="G74" s="3" t="str">
        <f>'res269 Mary Shay'!C74</f>
        <v/>
      </c>
      <c r="H74" s="3" t="str">
        <f>'res269 Mary Shay'!D74</f>
        <v/>
      </c>
      <c r="I74" s="1" t="str">
        <f>IFERROR(__xludf.DUMMYFUNCTION("IFERROR(REGEXEXTRACT(E74, ""res(269|122)""), ""none"")"),"none")</f>
        <v>none</v>
      </c>
      <c r="J74" s="1">
        <v>-15.441678</v>
      </c>
      <c r="K74" s="1">
        <v>7.0</v>
      </c>
      <c r="L74" s="1">
        <v>3.0</v>
      </c>
      <c r="M74" s="1">
        <v>0.571429</v>
      </c>
      <c r="N74" s="1">
        <v>2.0</v>
      </c>
      <c r="O74" s="1">
        <v>-0.383116</v>
      </c>
      <c r="P74" s="1">
        <v>100.0</v>
      </c>
      <c r="Q74" s="1">
        <v>0.0</v>
      </c>
      <c r="R74" s="1">
        <v>0.0</v>
      </c>
      <c r="S74" s="1">
        <v>96.746635</v>
      </c>
    </row>
    <row r="75">
      <c r="A75" s="1" t="s">
        <v>377</v>
      </c>
      <c r="B75" s="1" t="s">
        <v>378</v>
      </c>
      <c r="C75" s="3" t="str">
        <f>'res269 Ari'!C75</f>
        <v>maybe</v>
      </c>
      <c r="D75" s="3" t="str">
        <f>'res269 Ari'!D75</f>
        <v/>
      </c>
      <c r="E75" s="3" t="str">
        <f>'res269 Summer'!C75</f>
        <v>no</v>
      </c>
      <c r="F75" s="3" t="str">
        <f>'res269 Summer'!D75</f>
        <v/>
      </c>
      <c r="G75" s="3" t="str">
        <f>'res269 Mary Shay'!C75</f>
        <v/>
      </c>
      <c r="H75" s="3" t="str">
        <f>'res269 Mary Shay'!D75</f>
        <v/>
      </c>
      <c r="I75" s="1" t="str">
        <f>IFERROR(__xludf.DUMMYFUNCTION("IFERROR(REGEXEXTRACT(E75, ""res(269|122)""), ""none"")"),"none")</f>
        <v>none</v>
      </c>
      <c r="J75" s="1">
        <v>-15.43829</v>
      </c>
      <c r="K75" s="1">
        <v>8.0</v>
      </c>
      <c r="L75" s="1">
        <v>3.0</v>
      </c>
      <c r="M75" s="1">
        <v>0.375</v>
      </c>
      <c r="N75" s="1">
        <v>2.0</v>
      </c>
      <c r="O75" s="1">
        <v>-1.14393</v>
      </c>
      <c r="P75" s="1">
        <v>100.0</v>
      </c>
      <c r="Q75" s="1">
        <v>0.0</v>
      </c>
      <c r="R75" s="1">
        <v>0.0</v>
      </c>
      <c r="S75" s="1">
        <v>96.79278</v>
      </c>
    </row>
    <row r="76">
      <c r="A76" s="1" t="s">
        <v>379</v>
      </c>
      <c r="B76" s="1" t="s">
        <v>380</v>
      </c>
      <c r="C76" s="3" t="str">
        <f>'res269 Ari'!C76</f>
        <v>maybe</v>
      </c>
      <c r="D76" s="3" t="str">
        <f>'res269 Ari'!D76</f>
        <v/>
      </c>
      <c r="E76" s="3" t="str">
        <f>'res269 Summer'!C76</f>
        <v>no</v>
      </c>
      <c r="F76" s="3" t="str">
        <f>'res269 Summer'!D76</f>
        <v/>
      </c>
      <c r="G76" s="3" t="str">
        <f>'res269 Mary Shay'!C76</f>
        <v/>
      </c>
      <c r="H76" s="3" t="str">
        <f>'res269 Mary Shay'!D76</f>
        <v/>
      </c>
      <c r="I76" s="1" t="str">
        <f>IFERROR(__xludf.DUMMYFUNCTION("IFERROR(REGEXEXTRACT(E76, ""res(269|122)""), ""none"")"),"none")</f>
        <v>none</v>
      </c>
      <c r="J76" s="1">
        <v>-16.179464</v>
      </c>
      <c r="K76" s="1">
        <v>11.0</v>
      </c>
      <c r="L76" s="1">
        <v>5.0</v>
      </c>
      <c r="M76" s="1">
        <v>0.454545</v>
      </c>
      <c r="N76" s="1">
        <v>2.0</v>
      </c>
      <c r="O76" s="1">
        <v>-0.328299</v>
      </c>
      <c r="P76" s="1">
        <v>100.0</v>
      </c>
      <c r="Q76" s="1">
        <v>0.0</v>
      </c>
      <c r="R76" s="1">
        <v>0.0</v>
      </c>
      <c r="S76" s="1">
        <v>101.946782</v>
      </c>
    </row>
    <row r="77">
      <c r="A77" s="1" t="s">
        <v>381</v>
      </c>
      <c r="B77" s="1" t="s">
        <v>177</v>
      </c>
      <c r="C77" s="3" t="str">
        <f>'res269 Ari'!C77</f>
        <v>maybe</v>
      </c>
      <c r="D77" s="3" t="str">
        <f>'res269 Ari'!D77</f>
        <v>unsatisfied sulfonamide O is probably bad</v>
      </c>
      <c r="E77" s="3" t="str">
        <f>'res269 Summer'!C77</f>
        <v>decent</v>
      </c>
      <c r="F77" s="3" t="str">
        <f>'res269 Summer'!D77</f>
        <v/>
      </c>
      <c r="G77" s="3" t="str">
        <f>'res269 Mary Shay'!C77</f>
        <v/>
      </c>
      <c r="H77" s="3" t="str">
        <f>'res269 Mary Shay'!D77</f>
        <v/>
      </c>
      <c r="I77" s="1" t="str">
        <f>IFERROR(__xludf.DUMMYFUNCTION("IFERROR(REGEXEXTRACT(E77, ""res(269|122)""), ""none"")"),"none")</f>
        <v>none</v>
      </c>
      <c r="J77" s="1">
        <v>-15.935374</v>
      </c>
      <c r="K77" s="1">
        <v>10.0</v>
      </c>
      <c r="L77" s="1">
        <v>2.0</v>
      </c>
      <c r="M77" s="1">
        <v>0.3</v>
      </c>
      <c r="N77" s="1">
        <v>3.0</v>
      </c>
      <c r="O77" s="1">
        <v>-1.849118</v>
      </c>
      <c r="P77" s="1">
        <v>100.0</v>
      </c>
      <c r="Q77" s="1">
        <v>0.0</v>
      </c>
      <c r="R77" s="1">
        <v>0.0</v>
      </c>
      <c r="S77" s="1">
        <v>97.515508</v>
      </c>
    </row>
    <row r="78">
      <c r="A78" s="1" t="s">
        <v>382</v>
      </c>
      <c r="B78" s="1" t="s">
        <v>180</v>
      </c>
      <c r="C78" s="3" t="str">
        <f>'res269 Ari'!C78</f>
        <v>decent</v>
      </c>
      <c r="D78" s="3" t="str">
        <f>'res269 Ari'!D78</f>
        <v>same pose as Z4322826055, enantiomer</v>
      </c>
      <c r="E78" s="3" t="str">
        <f>'res269 Summer'!C78</f>
        <v>no</v>
      </c>
      <c r="F78" s="3" t="str">
        <f>'res269 Summer'!D78</f>
        <v/>
      </c>
      <c r="G78" s="3" t="str">
        <f>'res269 Mary Shay'!C78</f>
        <v/>
      </c>
      <c r="H78" s="3" t="str">
        <f>'res269 Mary Shay'!D78</f>
        <v/>
      </c>
      <c r="I78" s="1" t="str">
        <f>IFERROR(__xludf.DUMMYFUNCTION("IFERROR(REGEXEXTRACT(E78, ""res(269|122)""), ""none"")"),"none")</f>
        <v>none</v>
      </c>
      <c r="J78" s="1">
        <v>-15.953649</v>
      </c>
      <c r="K78" s="1">
        <v>12.0</v>
      </c>
      <c r="L78" s="1">
        <v>5.0</v>
      </c>
      <c r="M78" s="1">
        <v>0.416667</v>
      </c>
      <c r="N78" s="1">
        <v>3.0</v>
      </c>
      <c r="O78" s="1">
        <v>-0.584621</v>
      </c>
      <c r="P78" s="1">
        <v>100.0</v>
      </c>
      <c r="Q78" s="1">
        <v>0.0</v>
      </c>
      <c r="R78" s="1">
        <v>0.0</v>
      </c>
      <c r="S78" s="1">
        <v>103.878397</v>
      </c>
    </row>
    <row r="79">
      <c r="A79" s="1" t="s">
        <v>383</v>
      </c>
      <c r="B79" s="1" t="s">
        <v>183</v>
      </c>
      <c r="C79" s="3" t="str">
        <f>'res269 Ari'!C79</f>
        <v>decent</v>
      </c>
      <c r="D79" s="3" t="str">
        <f>'res269 Ari'!D79</f>
        <v>same pose as Z4322826053, enantiomer</v>
      </c>
      <c r="E79" s="3" t="str">
        <f>'res269 Summer'!C79</f>
        <v>no</v>
      </c>
      <c r="F79" s="3" t="str">
        <f>'res269 Summer'!D79</f>
        <v/>
      </c>
      <c r="G79" s="3" t="str">
        <f>'res269 Mary Shay'!C79</f>
        <v/>
      </c>
      <c r="H79" s="3" t="str">
        <f>'res269 Mary Shay'!D79</f>
        <v/>
      </c>
      <c r="I79" s="1" t="str">
        <f>IFERROR(__xludf.DUMMYFUNCTION("IFERROR(REGEXEXTRACT(E79, ""res(269|122)""), ""none"")"),"none")</f>
        <v>none</v>
      </c>
      <c r="J79" s="1">
        <v>-15.953649</v>
      </c>
      <c r="K79" s="1">
        <v>12.0</v>
      </c>
      <c r="L79" s="1">
        <v>5.0</v>
      </c>
      <c r="M79" s="1">
        <v>0.416667</v>
      </c>
      <c r="N79" s="1">
        <v>3.0</v>
      </c>
      <c r="O79" s="1">
        <v>-0.584621</v>
      </c>
      <c r="P79" s="1">
        <v>100.0</v>
      </c>
      <c r="Q79" s="1">
        <v>0.0</v>
      </c>
      <c r="R79" s="1">
        <v>0.0</v>
      </c>
      <c r="S79" s="1">
        <v>103.878397</v>
      </c>
    </row>
    <row r="80">
      <c r="A80" s="1" t="s">
        <v>384</v>
      </c>
      <c r="B80" s="1" t="s">
        <v>385</v>
      </c>
      <c r="C80" s="3" t="str">
        <f>'res269 Ari'!C80</f>
        <v>maybe</v>
      </c>
      <c r="D80" s="3" t="str">
        <f>'res269 Ari'!D80</f>
        <v>same pose as Z4881795942, enantiomer</v>
      </c>
      <c r="E80" s="3" t="str">
        <f>'res269 Summer'!C80</f>
        <v>no</v>
      </c>
      <c r="F80" s="3" t="str">
        <f>'res269 Summer'!D80</f>
        <v/>
      </c>
      <c r="G80" s="3" t="str">
        <f>'res269 Mary Shay'!C80</f>
        <v/>
      </c>
      <c r="H80" s="3" t="str">
        <f>'res269 Mary Shay'!D80</f>
        <v/>
      </c>
      <c r="I80" s="1" t="str">
        <f>IFERROR(__xludf.DUMMYFUNCTION("IFERROR(REGEXEXTRACT(E80, ""res(269|122)""), ""none"")"),"none")</f>
        <v>none</v>
      </c>
      <c r="J80" s="1">
        <v>-15.47128</v>
      </c>
      <c r="K80" s="1">
        <v>8.0</v>
      </c>
      <c r="L80" s="1">
        <v>5.0</v>
      </c>
      <c r="M80" s="1">
        <v>0.5</v>
      </c>
      <c r="N80" s="1">
        <v>2.0</v>
      </c>
      <c r="O80" s="1">
        <v>-0.38008</v>
      </c>
      <c r="P80" s="1">
        <v>100.0</v>
      </c>
      <c r="Q80" s="1">
        <v>0.0</v>
      </c>
      <c r="R80" s="1">
        <v>0.0</v>
      </c>
      <c r="S80" s="1">
        <v>99.64864</v>
      </c>
    </row>
    <row r="81">
      <c r="A81" s="1" t="s">
        <v>386</v>
      </c>
      <c r="B81" s="1" t="s">
        <v>185</v>
      </c>
      <c r="C81" s="3" t="str">
        <f>'res269 Ari'!C81</f>
        <v>maybe</v>
      </c>
      <c r="D81" s="3" t="str">
        <f>'res269 Ari'!D81</f>
        <v>same pose as Z4881795915, enantiomer</v>
      </c>
      <c r="E81" s="3" t="str">
        <f>'res269 Summer'!C81</f>
        <v>decent</v>
      </c>
      <c r="F81" s="3" t="str">
        <f>'res269 Summer'!D81</f>
        <v/>
      </c>
      <c r="G81" s="3" t="str">
        <f>'res269 Mary Shay'!C81</f>
        <v/>
      </c>
      <c r="H81" s="3" t="str">
        <f>'res269 Mary Shay'!D81</f>
        <v/>
      </c>
      <c r="I81" s="1" t="str">
        <f>IFERROR(__xludf.DUMMYFUNCTION("IFERROR(REGEXEXTRACT(E81, ""res(269|122)""), ""none"")"),"none")</f>
        <v>none</v>
      </c>
      <c r="J81" s="1">
        <v>-15.47128</v>
      </c>
      <c r="K81" s="1">
        <v>8.0</v>
      </c>
      <c r="L81" s="1">
        <v>5.0</v>
      </c>
      <c r="M81" s="1">
        <v>0.5</v>
      </c>
      <c r="N81" s="1">
        <v>2.0</v>
      </c>
      <c r="O81" s="1">
        <v>-0.38008</v>
      </c>
      <c r="P81" s="1">
        <v>100.0</v>
      </c>
      <c r="Q81" s="1">
        <v>0.0</v>
      </c>
      <c r="R81" s="1">
        <v>0.0</v>
      </c>
      <c r="S81" s="1">
        <v>99.64864</v>
      </c>
    </row>
    <row r="82">
      <c r="A82" s="1" t="s">
        <v>387</v>
      </c>
      <c r="B82" s="1" t="s">
        <v>388</v>
      </c>
      <c r="C82" s="3" t="str">
        <f>'res269 Ari'!C82</f>
        <v>maybe</v>
      </c>
      <c r="D82" s="3" t="str">
        <f>'res269 Ari'!D82</f>
        <v/>
      </c>
      <c r="E82" s="3" t="str">
        <f>'res269 Summer'!C82</f>
        <v>maybe</v>
      </c>
      <c r="F82" s="3" t="str">
        <f>'res269 Summer'!D82</f>
        <v/>
      </c>
      <c r="G82" s="3" t="str">
        <f>'res269 Mary Shay'!C82</f>
        <v/>
      </c>
      <c r="H82" s="3" t="str">
        <f>'res269 Mary Shay'!D82</f>
        <v/>
      </c>
      <c r="I82" s="1" t="str">
        <f>IFERROR(__xludf.DUMMYFUNCTION("IFERROR(REGEXEXTRACT(E82, ""res(269|122)""), ""none"")"),"none")</f>
        <v>none</v>
      </c>
      <c r="J82" s="1">
        <v>-15.350062</v>
      </c>
      <c r="K82" s="1">
        <v>8.0</v>
      </c>
      <c r="L82" s="1">
        <v>3.0</v>
      </c>
      <c r="M82" s="1">
        <v>0.375</v>
      </c>
      <c r="N82" s="1">
        <v>2.0</v>
      </c>
      <c r="O82" s="1">
        <v>-1.00126</v>
      </c>
      <c r="P82" s="1">
        <v>100.0</v>
      </c>
      <c r="Q82" s="1">
        <v>0.0</v>
      </c>
      <c r="R82" s="1">
        <v>0.0</v>
      </c>
      <c r="S82" s="1">
        <v>97.023678</v>
      </c>
    </row>
    <row r="83">
      <c r="A83" s="1" t="s">
        <v>389</v>
      </c>
      <c r="B83" s="1" t="s">
        <v>390</v>
      </c>
      <c r="C83" s="3" t="str">
        <f>'res269 Ari'!C83</f>
        <v>maybe</v>
      </c>
      <c r="D83" s="3" t="str">
        <f>'res269 Ari'!D83</f>
        <v/>
      </c>
      <c r="E83" s="3" t="str">
        <f>'res269 Summer'!C83</f>
        <v>no</v>
      </c>
      <c r="F83" s="3" t="str">
        <f>'res269 Summer'!D83</f>
        <v/>
      </c>
      <c r="G83" s="3" t="str">
        <f>'res269 Mary Shay'!C83</f>
        <v/>
      </c>
      <c r="H83" s="3" t="str">
        <f>'res269 Mary Shay'!D83</f>
        <v/>
      </c>
      <c r="I83" s="1" t="str">
        <f>IFERROR(__xludf.DUMMYFUNCTION("IFERROR(REGEXEXTRACT(E83, ""res(269|122)""), ""none"")"),"none")</f>
        <v>none</v>
      </c>
      <c r="J83" s="1">
        <v>-17.013166</v>
      </c>
      <c r="K83" s="1">
        <v>10.0</v>
      </c>
      <c r="L83" s="1">
        <v>3.0</v>
      </c>
      <c r="M83" s="1">
        <v>0.4</v>
      </c>
      <c r="N83" s="1">
        <v>2.0</v>
      </c>
      <c r="O83" s="1">
        <v>-0.429581</v>
      </c>
      <c r="P83" s="1">
        <v>100.0</v>
      </c>
      <c r="Q83" s="1">
        <v>0.0</v>
      </c>
      <c r="R83" s="1">
        <v>0.0</v>
      </c>
      <c r="S83" s="1">
        <v>97.957253</v>
      </c>
    </row>
    <row r="84">
      <c r="A84" s="1" t="s">
        <v>391</v>
      </c>
      <c r="B84" s="1" t="s">
        <v>392</v>
      </c>
      <c r="C84" s="3" t="str">
        <f>'res269 Ari'!C84</f>
        <v>maybe</v>
      </c>
      <c r="D84" s="3" t="str">
        <f>'res269 Ari'!D84</f>
        <v/>
      </c>
      <c r="E84" s="3" t="str">
        <f>'res269 Summer'!C84</f>
        <v>decent</v>
      </c>
      <c r="F84" s="3" t="str">
        <f>'res269 Summer'!D84</f>
        <v/>
      </c>
      <c r="G84" s="3" t="str">
        <f>'res269 Mary Shay'!C84</f>
        <v/>
      </c>
      <c r="H84" s="3" t="str">
        <f>'res269 Mary Shay'!D84</f>
        <v/>
      </c>
      <c r="I84" s="1" t="str">
        <f>IFERROR(__xludf.DUMMYFUNCTION("IFERROR(REGEXEXTRACT(E84, ""res(269|122)""), ""none"")"),"none")</f>
        <v>none</v>
      </c>
      <c r="J84" s="1">
        <v>-17.033126</v>
      </c>
      <c r="K84" s="1">
        <v>11.0</v>
      </c>
      <c r="L84" s="1">
        <v>5.0</v>
      </c>
      <c r="M84" s="1">
        <v>0.363636</v>
      </c>
      <c r="N84" s="1">
        <v>2.0</v>
      </c>
      <c r="O84" s="1">
        <v>-1.0082</v>
      </c>
      <c r="P84" s="1">
        <v>100.0</v>
      </c>
      <c r="Q84" s="1">
        <v>0.0</v>
      </c>
      <c r="R84" s="1">
        <v>0.0</v>
      </c>
      <c r="S84" s="1">
        <v>100.32231</v>
      </c>
    </row>
    <row r="85">
      <c r="A85" s="1" t="s">
        <v>393</v>
      </c>
      <c r="B85" s="1" t="s">
        <v>394</v>
      </c>
      <c r="C85" s="3" t="str">
        <f>'res269 Ari'!C85</f>
        <v>maybe</v>
      </c>
      <c r="D85" s="3" t="str">
        <f>'res269 Ari'!D85</f>
        <v/>
      </c>
      <c r="E85" s="3" t="str">
        <f>'res269 Summer'!C85</f>
        <v>maybe</v>
      </c>
      <c r="F85" s="3" t="str">
        <f>'res269 Summer'!D85</f>
        <v/>
      </c>
      <c r="G85" s="3" t="str">
        <f>'res269 Mary Shay'!C85</f>
        <v/>
      </c>
      <c r="H85" s="3" t="str">
        <f>'res269 Mary Shay'!D85</f>
        <v/>
      </c>
      <c r="I85" s="1" t="str">
        <f>IFERROR(__xludf.DUMMYFUNCTION("IFERROR(REGEXEXTRACT(E85, ""res(269|122)""), ""none"")"),"none")</f>
        <v>none</v>
      </c>
      <c r="J85" s="1">
        <v>-15.889195</v>
      </c>
      <c r="K85" s="1">
        <v>10.0</v>
      </c>
      <c r="L85" s="1">
        <v>4.0</v>
      </c>
      <c r="M85" s="1">
        <v>0.3</v>
      </c>
      <c r="N85" s="1">
        <v>2.0</v>
      </c>
      <c r="O85" s="1">
        <v>-1.177871</v>
      </c>
      <c r="P85" s="1">
        <v>100.0</v>
      </c>
      <c r="Q85" s="1">
        <v>0.0</v>
      </c>
      <c r="R85" s="1">
        <v>0.0</v>
      </c>
      <c r="S85" s="1">
        <v>99.232934</v>
      </c>
    </row>
    <row r="86">
      <c r="C86" s="3"/>
      <c r="D86" s="3"/>
      <c r="E86" s="3" t="str">
        <f>'res269 Summer (old)'!C86</f>
        <v/>
      </c>
      <c r="F86" s="3" t="str">
        <f>'res269 Summer (old)'!D86</f>
        <v/>
      </c>
      <c r="G86" s="3" t="str">
        <f>'res269 Mary Shay'!C86</f>
        <v/>
      </c>
      <c r="H86" s="3" t="str">
        <f>'res269 Mary Shay'!D86</f>
        <v/>
      </c>
    </row>
    <row r="87">
      <c r="C87" s="3"/>
      <c r="D87" s="3"/>
      <c r="E87" s="3" t="str">
        <f>'res269 Summer (old)'!C87</f>
        <v/>
      </c>
      <c r="F87" s="3" t="str">
        <f>'res269 Summer (old)'!D87</f>
        <v/>
      </c>
      <c r="G87" s="3" t="str">
        <f>'res269 Mary Shay'!C87</f>
        <v/>
      </c>
      <c r="H87" s="3" t="str">
        <f>'res269 Mary Shay'!D87</f>
        <v/>
      </c>
    </row>
    <row r="88">
      <c r="C88" s="3"/>
      <c r="D88" s="3"/>
      <c r="E88" s="3" t="str">
        <f>'res269 Summer (old)'!C88</f>
        <v/>
      </c>
      <c r="F88" s="3" t="str">
        <f>'res269 Summer (old)'!D88</f>
        <v/>
      </c>
      <c r="G88" s="3" t="str">
        <f>'res269 Mary Shay'!C88</f>
        <v/>
      </c>
      <c r="H88" s="3" t="str">
        <f>'res269 Mary Shay'!D88</f>
        <v/>
      </c>
    </row>
    <row r="89">
      <c r="C89" s="3"/>
      <c r="D89" s="3"/>
      <c r="E89" s="3" t="str">
        <f>'res269 Summer (old)'!C89</f>
        <v/>
      </c>
      <c r="F89" s="3" t="str">
        <f>'res269 Summer (old)'!D89</f>
        <v/>
      </c>
      <c r="G89" s="3" t="str">
        <f>'res269 Mary Shay'!C89</f>
        <v/>
      </c>
      <c r="H89" s="3" t="str">
        <f>'res269 Mary Shay'!D89</f>
        <v/>
      </c>
    </row>
    <row r="90">
      <c r="C90" s="3"/>
      <c r="D90" s="3"/>
      <c r="E90" s="3" t="str">
        <f>'res269 Summer (old)'!C90</f>
        <v/>
      </c>
      <c r="F90" s="3" t="str">
        <f>'res269 Summer (old)'!D90</f>
        <v/>
      </c>
      <c r="G90" s="3" t="str">
        <f>'res269 Mary Shay'!C90</f>
        <v/>
      </c>
      <c r="H90" s="3" t="str">
        <f>'res269 Mary Shay'!D90</f>
        <v/>
      </c>
    </row>
    <row r="91">
      <c r="C91" s="3"/>
      <c r="D91" s="3"/>
      <c r="E91" s="3" t="str">
        <f>'res269 Summer (old)'!C91</f>
        <v/>
      </c>
      <c r="F91" s="3" t="str">
        <f>'res269 Summer (old)'!D91</f>
        <v/>
      </c>
      <c r="G91" s="3" t="str">
        <f>'res269 Mary Shay'!C91</f>
        <v/>
      </c>
      <c r="H91" s="3" t="str">
        <f>'res269 Mary Shay'!D91</f>
        <v/>
      </c>
    </row>
    <row r="92">
      <c r="C92" s="3"/>
      <c r="D92" s="3"/>
      <c r="E92" s="3" t="str">
        <f>'res269 Summer (old)'!C92</f>
        <v/>
      </c>
      <c r="F92" s="3" t="str">
        <f>'res269 Summer (old)'!D92</f>
        <v/>
      </c>
      <c r="G92" s="3" t="str">
        <f>'res269 Mary Shay'!C92</f>
        <v/>
      </c>
      <c r="H92" s="3" t="str">
        <f>'res269 Mary Shay'!D92</f>
        <v/>
      </c>
    </row>
    <row r="93">
      <c r="C93" s="3"/>
      <c r="D93" s="3"/>
      <c r="E93" s="3" t="str">
        <f>'res269 Summer (old)'!C93</f>
        <v/>
      </c>
      <c r="F93" s="3" t="str">
        <f>'res269 Summer (old)'!D93</f>
        <v/>
      </c>
      <c r="G93" s="3" t="str">
        <f>'res269 Mary Shay'!C93</f>
        <v/>
      </c>
      <c r="H93" s="3" t="str">
        <f>'res269 Mary Shay'!D93</f>
        <v/>
      </c>
    </row>
    <row r="94">
      <c r="C94" s="3"/>
      <c r="D94" s="3"/>
      <c r="E94" s="3" t="str">
        <f>'res269 Summer (old)'!C94</f>
        <v/>
      </c>
      <c r="F94" s="3" t="str">
        <f>'res269 Summer (old)'!D94</f>
        <v/>
      </c>
      <c r="G94" s="3" t="str">
        <f>'res269 Mary Shay'!C94</f>
        <v/>
      </c>
      <c r="H94" s="3" t="str">
        <f>'res269 Mary Shay'!D94</f>
        <v/>
      </c>
    </row>
    <row r="95">
      <c r="C95" s="3"/>
      <c r="D95" s="3"/>
      <c r="E95" s="3" t="str">
        <f>'res269 Summer (old)'!C95</f>
        <v/>
      </c>
      <c r="F95" s="3" t="str">
        <f>'res269 Summer (old)'!D95</f>
        <v/>
      </c>
      <c r="G95" s="3" t="str">
        <f>'res269 Mary Shay'!C95</f>
        <v/>
      </c>
      <c r="H95" s="3" t="str">
        <f>'res269 Mary Shay'!D95</f>
        <v/>
      </c>
    </row>
    <row r="96">
      <c r="C96" s="3"/>
      <c r="D96" s="3"/>
      <c r="E96" s="3" t="str">
        <f>'res269 Summer (old)'!C96</f>
        <v/>
      </c>
      <c r="F96" s="3" t="str">
        <f>'res269 Summer (old)'!D96</f>
        <v/>
      </c>
      <c r="G96" s="3" t="str">
        <f>'res269 Mary Shay'!C96</f>
        <v/>
      </c>
      <c r="H96" s="3" t="str">
        <f>'res269 Mary Shay'!D96</f>
        <v/>
      </c>
    </row>
    <row r="97">
      <c r="C97" s="3"/>
      <c r="D97" s="3"/>
      <c r="E97" s="3" t="str">
        <f>'res269 Summer (old)'!C97</f>
        <v/>
      </c>
      <c r="F97" s="3" t="str">
        <f>'res269 Summer (old)'!D97</f>
        <v/>
      </c>
      <c r="G97" s="3" t="str">
        <f>'res269 Mary Shay'!C97</f>
        <v/>
      </c>
      <c r="H97" s="3" t="str">
        <f>'res269 Mary Shay'!D97</f>
        <v/>
      </c>
    </row>
    <row r="98">
      <c r="C98" s="3"/>
      <c r="D98" s="3"/>
      <c r="E98" s="3" t="str">
        <f>'res269 Summer (old)'!C98</f>
        <v/>
      </c>
      <c r="F98" s="3" t="str">
        <f>'res269 Summer (old)'!D98</f>
        <v/>
      </c>
      <c r="G98" s="3" t="str">
        <f>'res269 Mary Shay'!C98</f>
        <v/>
      </c>
      <c r="H98" s="3" t="str">
        <f>'res269 Mary Shay'!D98</f>
        <v/>
      </c>
    </row>
    <row r="99">
      <c r="C99" s="3"/>
      <c r="D99" s="3"/>
      <c r="E99" s="3" t="str">
        <f>'res269 Summer (old)'!C99</f>
        <v/>
      </c>
      <c r="F99" s="3" t="str">
        <f>'res269 Summer (old)'!D99</f>
        <v/>
      </c>
      <c r="G99" s="3" t="str">
        <f>'res269 Mary Shay'!C99</f>
        <v/>
      </c>
      <c r="H99" s="3" t="str">
        <f>'res269 Mary Shay'!D99</f>
        <v/>
      </c>
    </row>
    <row r="100">
      <c r="C100" s="3"/>
      <c r="D100" s="3"/>
      <c r="E100" s="3" t="str">
        <f>'res269 Summer (old)'!C100</f>
        <v/>
      </c>
      <c r="F100" s="3" t="str">
        <f>'res269 Summer (old)'!D100</f>
        <v/>
      </c>
      <c r="G100" s="3" t="str">
        <f>'res269 Mary Shay'!C100</f>
        <v/>
      </c>
      <c r="H100" s="3" t="str">
        <f>'res269 Mary Shay'!D100</f>
        <v/>
      </c>
    </row>
    <row r="101">
      <c r="C101" s="3"/>
      <c r="D101" s="3"/>
      <c r="E101" s="3" t="str">
        <f>'res269 Summer (old)'!C101</f>
        <v/>
      </c>
      <c r="F101" s="3" t="str">
        <f>'res269 Summer (old)'!D101</f>
        <v/>
      </c>
      <c r="G101" s="3" t="str">
        <f>'res269 Mary Shay'!C101</f>
        <v/>
      </c>
      <c r="H101" s="3" t="str">
        <f>'res269 Mary Shay'!D101</f>
        <v/>
      </c>
    </row>
    <row r="102">
      <c r="C102" s="3"/>
      <c r="D102" s="3"/>
      <c r="E102" s="3" t="str">
        <f>'res269 Summer (old)'!C102</f>
        <v/>
      </c>
      <c r="F102" s="3" t="str">
        <f>'res269 Summer (old)'!D102</f>
        <v/>
      </c>
      <c r="G102" s="3" t="str">
        <f>'res269 Mary Shay'!C102</f>
        <v/>
      </c>
      <c r="H102" s="3" t="str">
        <f>'res269 Mary Shay'!D102</f>
        <v/>
      </c>
    </row>
    <row r="103">
      <c r="C103" s="3"/>
      <c r="D103" s="3"/>
      <c r="E103" s="3" t="str">
        <f>'res269 Summer (old)'!C103</f>
        <v/>
      </c>
      <c r="F103" s="3" t="str">
        <f>'res269 Summer (old)'!D103</f>
        <v/>
      </c>
      <c r="G103" s="3" t="str">
        <f>'res269 Mary Shay'!C103</f>
        <v/>
      </c>
      <c r="H103" s="3" t="str">
        <f>'res269 Mary Shay'!D103</f>
        <v/>
      </c>
    </row>
    <row r="104">
      <c r="C104" s="3"/>
      <c r="D104" s="3"/>
      <c r="E104" s="3" t="str">
        <f>'res269 Summer (old)'!C104</f>
        <v/>
      </c>
      <c r="F104" s="3" t="str">
        <f>'res269 Summer (old)'!D104</f>
        <v/>
      </c>
      <c r="G104" s="3" t="str">
        <f>'res269 Mary Shay'!C104</f>
        <v/>
      </c>
      <c r="H104" s="3" t="str">
        <f>'res269 Mary Shay'!D104</f>
        <v/>
      </c>
    </row>
    <row r="105">
      <c r="C105" s="3"/>
      <c r="D105" s="3"/>
      <c r="E105" s="3" t="str">
        <f>'res269 Summer (old)'!C105</f>
        <v/>
      </c>
      <c r="F105" s="3" t="str">
        <f>'res269 Summer (old)'!D105</f>
        <v/>
      </c>
      <c r="G105" s="3" t="str">
        <f>'res269 Mary Shay'!C105</f>
        <v/>
      </c>
      <c r="H105" s="3" t="str">
        <f>'res269 Mary Shay'!D105</f>
        <v/>
      </c>
    </row>
    <row r="106">
      <c r="C106" s="3"/>
      <c r="D106" s="3"/>
      <c r="E106" s="3" t="str">
        <f>'res269 Summer (old)'!C106</f>
        <v/>
      </c>
      <c r="F106" s="3" t="str">
        <f>'res269 Summer (old)'!D106</f>
        <v/>
      </c>
      <c r="G106" s="3" t="str">
        <f>'res269 Mary Shay'!C106</f>
        <v/>
      </c>
      <c r="H106" s="3" t="str">
        <f>'res269 Mary Shay'!D106</f>
        <v/>
      </c>
    </row>
    <row r="107">
      <c r="C107" s="3"/>
      <c r="D107" s="3"/>
      <c r="E107" s="3" t="str">
        <f>'res269 Summer (old)'!C107</f>
        <v/>
      </c>
      <c r="F107" s="3" t="str">
        <f>'res269 Summer (old)'!D107</f>
        <v/>
      </c>
      <c r="G107" s="3" t="str">
        <f>'res269 Mary Shay'!C107</f>
        <v/>
      </c>
      <c r="H107" s="3" t="str">
        <f>'res269 Mary Shay'!D107</f>
        <v/>
      </c>
    </row>
    <row r="108">
      <c r="C108" s="3"/>
      <c r="D108" s="3"/>
      <c r="E108" s="3" t="str">
        <f>'res269 Summer (old)'!C108</f>
        <v/>
      </c>
      <c r="F108" s="3" t="str">
        <f>'res269 Summer (old)'!D108</f>
        <v/>
      </c>
      <c r="G108" s="3" t="str">
        <f>'res269 Mary Shay'!C108</f>
        <v/>
      </c>
      <c r="H108" s="3" t="str">
        <f>'res269 Mary Shay'!D108</f>
        <v/>
      </c>
    </row>
    <row r="109">
      <c r="C109" s="3"/>
      <c r="D109" s="3"/>
      <c r="E109" s="3" t="str">
        <f>'res269 Summer (old)'!C109</f>
        <v/>
      </c>
      <c r="F109" s="3" t="str">
        <f>'res269 Summer (old)'!D109</f>
        <v/>
      </c>
      <c r="G109" s="3" t="str">
        <f>'res269 Mary Shay'!C109</f>
        <v/>
      </c>
      <c r="H109" s="3" t="str">
        <f>'res269 Mary Shay'!D109</f>
        <v/>
      </c>
    </row>
    <row r="110">
      <c r="C110" s="3"/>
      <c r="D110" s="3"/>
      <c r="E110" s="3" t="str">
        <f>'res269 Summer (old)'!C110</f>
        <v/>
      </c>
      <c r="F110" s="3" t="str">
        <f>'res269 Summer (old)'!D110</f>
        <v/>
      </c>
      <c r="G110" s="3" t="str">
        <f>'res269 Mary Shay'!C110</f>
        <v/>
      </c>
      <c r="H110" s="3" t="str">
        <f>'res269 Mary Shay'!D110</f>
        <v/>
      </c>
    </row>
    <row r="111">
      <c r="C111" s="3"/>
      <c r="D111" s="3"/>
      <c r="E111" s="3" t="str">
        <f>'res269 Summer (old)'!C111</f>
        <v/>
      </c>
      <c r="F111" s="3" t="str">
        <f>'res269 Summer (old)'!D111</f>
        <v/>
      </c>
      <c r="G111" s="3" t="str">
        <f>'res269 Mary Shay'!C111</f>
        <v/>
      </c>
      <c r="H111" s="3" t="str">
        <f>'res269 Mary Shay'!D111</f>
        <v/>
      </c>
    </row>
    <row r="112">
      <c r="C112" s="3"/>
      <c r="D112" s="3"/>
      <c r="E112" s="3" t="str">
        <f>'res269 Summer (old)'!C112</f>
        <v/>
      </c>
      <c r="F112" s="3" t="str">
        <f>'res269 Summer (old)'!D112</f>
        <v/>
      </c>
      <c r="G112" s="3" t="str">
        <f>'res269 Mary Shay'!C112</f>
        <v/>
      </c>
      <c r="H112" s="3" t="str">
        <f>'res269 Mary Shay'!D112</f>
        <v/>
      </c>
    </row>
    <row r="113">
      <c r="C113" s="3"/>
      <c r="D113" s="3"/>
      <c r="E113" s="3" t="str">
        <f>'res269 Summer (old)'!C113</f>
        <v/>
      </c>
      <c r="F113" s="3" t="str">
        <f>'res269 Summer (old)'!D113</f>
        <v/>
      </c>
      <c r="G113" s="3" t="str">
        <f>'res269 Mary Shay'!C113</f>
        <v/>
      </c>
      <c r="H113" s="3" t="str">
        <f>'res269 Mary Shay'!D113</f>
        <v/>
      </c>
    </row>
    <row r="114">
      <c r="C114" s="3"/>
      <c r="D114" s="3"/>
      <c r="E114" s="3" t="str">
        <f>'res269 Summer (old)'!C114</f>
        <v/>
      </c>
      <c r="F114" s="3" t="str">
        <f>'res269 Summer (old)'!D114</f>
        <v/>
      </c>
      <c r="G114" s="3" t="str">
        <f>'res269 Mary Shay'!C114</f>
        <v/>
      </c>
      <c r="H114" s="3" t="str">
        <f>'res269 Mary Shay'!D114</f>
        <v/>
      </c>
    </row>
    <row r="115">
      <c r="C115" s="3"/>
      <c r="D115" s="3"/>
      <c r="E115" s="3" t="str">
        <f>'res269 Summer (old)'!C115</f>
        <v/>
      </c>
      <c r="F115" s="3" t="str">
        <f>'res269 Summer (old)'!D115</f>
        <v/>
      </c>
      <c r="G115" s="3" t="str">
        <f>'res269 Mary Shay'!C115</f>
        <v/>
      </c>
      <c r="H115" s="3" t="str">
        <f>'res269 Mary Shay'!D115</f>
        <v/>
      </c>
    </row>
    <row r="116">
      <c r="C116" s="3"/>
      <c r="D116" s="3"/>
      <c r="E116" s="3" t="str">
        <f>'res269 Summer (old)'!C116</f>
        <v/>
      </c>
      <c r="F116" s="3" t="str">
        <f>'res269 Summer (old)'!D116</f>
        <v/>
      </c>
      <c r="G116" s="3" t="str">
        <f>'res269 Mary Shay'!C116</f>
        <v/>
      </c>
      <c r="H116" s="3" t="str">
        <f>'res269 Mary Shay'!D116</f>
        <v/>
      </c>
    </row>
    <row r="117">
      <c r="C117" s="3"/>
      <c r="D117" s="3"/>
      <c r="E117" s="3" t="str">
        <f>'res269 Summer (old)'!C117</f>
        <v/>
      </c>
      <c r="F117" s="3" t="str">
        <f>'res269 Summer (old)'!D117</f>
        <v/>
      </c>
      <c r="G117" s="3" t="str">
        <f>'res269 Mary Shay'!C117</f>
        <v/>
      </c>
      <c r="H117" s="3" t="str">
        <f>'res269 Mary Shay'!D117</f>
        <v/>
      </c>
    </row>
    <row r="118">
      <c r="C118" s="3"/>
      <c r="D118" s="3"/>
      <c r="E118" s="3" t="str">
        <f>'res269 Summer (old)'!C118</f>
        <v/>
      </c>
      <c r="F118" s="3" t="str">
        <f>'res269 Summer (old)'!D118</f>
        <v/>
      </c>
      <c r="G118" s="3" t="str">
        <f>'res269 Mary Shay'!C118</f>
        <v/>
      </c>
      <c r="H118" s="3" t="str">
        <f>'res269 Mary Shay'!D118</f>
        <v/>
      </c>
    </row>
    <row r="119">
      <c r="C119" s="3"/>
      <c r="D119" s="3"/>
      <c r="E119" s="3" t="str">
        <f>'res269 Summer (old)'!C119</f>
        <v/>
      </c>
      <c r="F119" s="3" t="str">
        <f>'res269 Summer (old)'!D119</f>
        <v/>
      </c>
      <c r="G119" s="3" t="str">
        <f>'res269 Mary Shay'!C119</f>
        <v/>
      </c>
      <c r="H119" s="3" t="str">
        <f>'res269 Mary Shay'!D119</f>
        <v/>
      </c>
    </row>
    <row r="120">
      <c r="C120" s="3"/>
      <c r="D120" s="3"/>
      <c r="E120" s="3" t="str">
        <f>'res269 Summer (old)'!C120</f>
        <v/>
      </c>
      <c r="F120" s="3" t="str">
        <f>'res269 Summer (old)'!D120</f>
        <v/>
      </c>
      <c r="G120" s="3" t="str">
        <f>'res269 Mary Shay'!C120</f>
        <v/>
      </c>
      <c r="H120" s="3" t="str">
        <f>'res269 Mary Shay'!D120</f>
        <v/>
      </c>
    </row>
    <row r="121">
      <c r="C121" s="3"/>
      <c r="D121" s="3"/>
      <c r="E121" s="3" t="str">
        <f>'res269 Summer (old)'!C121</f>
        <v/>
      </c>
      <c r="F121" s="3" t="str">
        <f>'res269 Summer (old)'!D121</f>
        <v/>
      </c>
      <c r="G121" s="3" t="str">
        <f>'res269 Mary Shay'!C121</f>
        <v/>
      </c>
      <c r="H121" s="3" t="str">
        <f>'res269 Mary Shay'!D121</f>
        <v/>
      </c>
    </row>
    <row r="122">
      <c r="C122" s="3"/>
      <c r="D122" s="3"/>
      <c r="E122" s="3" t="str">
        <f>'res269 Summer (old)'!C122</f>
        <v/>
      </c>
      <c r="F122" s="3" t="str">
        <f>'res269 Summer (old)'!D122</f>
        <v/>
      </c>
      <c r="G122" s="3" t="str">
        <f>'res269 Mary Shay'!C122</f>
        <v/>
      </c>
      <c r="H122" s="3" t="str">
        <f>'res269 Mary Shay'!D122</f>
        <v/>
      </c>
    </row>
    <row r="123">
      <c r="C123" s="3"/>
      <c r="D123" s="3"/>
      <c r="E123" s="3" t="str">
        <f>'res269 Summer (old)'!C123</f>
        <v/>
      </c>
      <c r="F123" s="3" t="str">
        <f>'res269 Summer (old)'!D123</f>
        <v/>
      </c>
      <c r="G123" s="3" t="str">
        <f>'res269 Mary Shay'!C123</f>
        <v/>
      </c>
      <c r="H123" s="3" t="str">
        <f>'res269 Mary Shay'!D123</f>
        <v/>
      </c>
    </row>
    <row r="124">
      <c r="C124" s="3"/>
      <c r="D124" s="3"/>
      <c r="E124" s="3" t="str">
        <f>'res269 Summer (old)'!C124</f>
        <v/>
      </c>
      <c r="F124" s="3" t="str">
        <f>'res269 Summer (old)'!D124</f>
        <v/>
      </c>
      <c r="G124" s="3" t="str">
        <f>'res269 Mary Shay'!C124</f>
        <v/>
      </c>
      <c r="H124" s="3" t="str">
        <f>'res269 Mary Shay'!D124</f>
        <v/>
      </c>
    </row>
    <row r="125">
      <c r="C125" s="3"/>
      <c r="D125" s="3"/>
      <c r="E125" s="3" t="str">
        <f>'res269 Summer (old)'!C125</f>
        <v/>
      </c>
      <c r="F125" s="3" t="str">
        <f>'res269 Summer (old)'!D125</f>
        <v/>
      </c>
      <c r="G125" s="3" t="str">
        <f>'res269 Mary Shay'!C125</f>
        <v/>
      </c>
      <c r="H125" s="3" t="str">
        <f>'res269 Mary Shay'!D125</f>
        <v/>
      </c>
    </row>
    <row r="126">
      <c r="C126" s="3"/>
      <c r="D126" s="3"/>
      <c r="E126" s="3" t="str">
        <f>'res269 Summer (old)'!C126</f>
        <v/>
      </c>
      <c r="F126" s="3" t="str">
        <f>'res269 Summer (old)'!D126</f>
        <v/>
      </c>
      <c r="G126" s="3" t="str">
        <f>'res269 Mary Shay'!C126</f>
        <v/>
      </c>
      <c r="H126" s="3" t="str">
        <f>'res269 Mary Shay'!D126</f>
        <v/>
      </c>
    </row>
    <row r="127">
      <c r="C127" s="3"/>
      <c r="D127" s="3"/>
      <c r="E127" s="3" t="str">
        <f>'res269 Summer (old)'!C127</f>
        <v/>
      </c>
      <c r="F127" s="3" t="str">
        <f>'res269 Summer (old)'!D127</f>
        <v/>
      </c>
      <c r="G127" s="3" t="str">
        <f>'res269 Mary Shay'!C127</f>
        <v/>
      </c>
      <c r="H127" s="3" t="str">
        <f>'res269 Mary Shay'!D127</f>
        <v/>
      </c>
    </row>
    <row r="128">
      <c r="C128" s="3"/>
      <c r="D128" s="3"/>
      <c r="E128" s="3" t="str">
        <f>'res269 Summer (old)'!C128</f>
        <v/>
      </c>
      <c r="F128" s="3" t="str">
        <f>'res269 Summer (old)'!D128</f>
        <v/>
      </c>
      <c r="G128" s="3" t="str">
        <f>'res269 Mary Shay'!C128</f>
        <v/>
      </c>
      <c r="H128" s="3" t="str">
        <f>'res269 Mary Shay'!D128</f>
        <v/>
      </c>
    </row>
    <row r="129">
      <c r="C129" s="3"/>
      <c r="D129" s="3"/>
      <c r="E129" s="3" t="str">
        <f>'res269 Summer (old)'!C129</f>
        <v/>
      </c>
      <c r="F129" s="3" t="str">
        <f>'res269 Summer (old)'!D129</f>
        <v/>
      </c>
      <c r="G129" s="3" t="str">
        <f>'res269 Mary Shay'!C129</f>
        <v/>
      </c>
      <c r="H129" s="3" t="str">
        <f>'res269 Mary Shay'!D129</f>
        <v/>
      </c>
    </row>
    <row r="130">
      <c r="C130" s="3"/>
      <c r="D130" s="3"/>
      <c r="E130" s="3" t="str">
        <f>'res269 Summer (old)'!C130</f>
        <v/>
      </c>
      <c r="F130" s="3" t="str">
        <f>'res269 Summer (old)'!D130</f>
        <v/>
      </c>
      <c r="G130" s="3" t="str">
        <f>'res269 Mary Shay'!C130</f>
        <v/>
      </c>
      <c r="H130" s="3" t="str">
        <f>'res269 Mary Shay'!D130</f>
        <v/>
      </c>
    </row>
    <row r="131">
      <c r="C131" s="3"/>
      <c r="D131" s="3"/>
      <c r="E131" s="3" t="str">
        <f>'res269 Summer (old)'!C131</f>
        <v/>
      </c>
      <c r="F131" s="3" t="str">
        <f>'res269 Summer (old)'!D131</f>
        <v/>
      </c>
      <c r="G131" s="3" t="str">
        <f>'res269 Mary Shay'!C131</f>
        <v/>
      </c>
      <c r="H131" s="3" t="str">
        <f>'res269 Mary Shay'!D131</f>
        <v/>
      </c>
    </row>
    <row r="132">
      <c r="C132" s="3"/>
      <c r="D132" s="3"/>
      <c r="E132" s="3" t="str">
        <f>'res269 Summer (old)'!C132</f>
        <v/>
      </c>
      <c r="F132" s="3" t="str">
        <f>'res269 Summer (old)'!D132</f>
        <v/>
      </c>
      <c r="G132" s="3" t="str">
        <f>'res269 Mary Shay'!C132</f>
        <v/>
      </c>
      <c r="H132" s="3" t="str">
        <f>'res269 Mary Shay'!D132</f>
        <v/>
      </c>
    </row>
    <row r="133">
      <c r="C133" s="3"/>
      <c r="D133" s="3"/>
      <c r="E133" s="3" t="str">
        <f>'res269 Summer (old)'!C133</f>
        <v/>
      </c>
      <c r="F133" s="3" t="str">
        <f>'res269 Summer (old)'!D133</f>
        <v/>
      </c>
      <c r="G133" s="3" t="str">
        <f>'res269 Mary Shay'!C133</f>
        <v/>
      </c>
      <c r="H133" s="3" t="str">
        <f>'res269 Mary Shay'!D133</f>
        <v/>
      </c>
    </row>
    <row r="134">
      <c r="C134" s="3"/>
      <c r="D134" s="3"/>
      <c r="E134" s="3" t="str">
        <f>'res269 Summer (old)'!C134</f>
        <v/>
      </c>
      <c r="F134" s="3" t="str">
        <f>'res269 Summer (old)'!D134</f>
        <v/>
      </c>
      <c r="G134" s="3" t="str">
        <f>'res269 Mary Shay'!C134</f>
        <v/>
      </c>
      <c r="H134" s="3" t="str">
        <f>'res269 Mary Shay'!D134</f>
        <v/>
      </c>
    </row>
    <row r="135">
      <c r="C135" s="3"/>
      <c r="D135" s="3"/>
      <c r="E135" s="3" t="str">
        <f>'res269 Summer (old)'!C135</f>
        <v/>
      </c>
      <c r="F135" s="3" t="str">
        <f>'res269 Summer (old)'!D135</f>
        <v/>
      </c>
      <c r="G135" s="3" t="str">
        <f>'res269 Mary Shay'!C135</f>
        <v/>
      </c>
      <c r="H135" s="3" t="str">
        <f>'res269 Mary Shay'!D135</f>
        <v/>
      </c>
    </row>
    <row r="136">
      <c r="C136" s="3"/>
      <c r="D136" s="3"/>
      <c r="E136" s="3" t="str">
        <f>'res269 Summer (old)'!C136</f>
        <v/>
      </c>
      <c r="F136" s="3" t="str">
        <f>'res269 Summer (old)'!D136</f>
        <v/>
      </c>
      <c r="G136" s="3" t="str">
        <f>'res269 Mary Shay'!C136</f>
        <v/>
      </c>
      <c r="H136" s="3" t="str">
        <f>'res269 Mary Shay'!D136</f>
        <v/>
      </c>
    </row>
    <row r="137">
      <c r="C137" s="3"/>
      <c r="D137" s="3"/>
      <c r="E137" s="3" t="str">
        <f>'res269 Summer (old)'!C137</f>
        <v/>
      </c>
      <c r="F137" s="3" t="str">
        <f>'res269 Summer (old)'!D137</f>
        <v/>
      </c>
      <c r="G137" s="3" t="str">
        <f>'res269 Mary Shay'!C137</f>
        <v/>
      </c>
      <c r="H137" s="3" t="str">
        <f>'res269 Mary Shay'!D137</f>
        <v/>
      </c>
    </row>
    <row r="138">
      <c r="C138" s="3"/>
      <c r="D138" s="3"/>
      <c r="E138" s="3" t="str">
        <f>'res269 Summer (old)'!C138</f>
        <v/>
      </c>
      <c r="F138" s="3" t="str">
        <f>'res269 Summer (old)'!D138</f>
        <v/>
      </c>
      <c r="G138" s="3" t="str">
        <f>'res269 Mary Shay'!C138</f>
        <v/>
      </c>
      <c r="H138" s="3" t="str">
        <f>'res269 Mary Shay'!D138</f>
        <v/>
      </c>
    </row>
    <row r="139">
      <c r="C139" s="3"/>
      <c r="D139" s="3"/>
      <c r="E139" s="3" t="str">
        <f>'res269 Summer (old)'!C139</f>
        <v/>
      </c>
      <c r="F139" s="3" t="str">
        <f>'res269 Summer (old)'!D139</f>
        <v/>
      </c>
      <c r="G139" s="3" t="str">
        <f>'res269 Mary Shay'!C139</f>
        <v/>
      </c>
      <c r="H139" s="3" t="str">
        <f>'res269 Mary Shay'!D139</f>
        <v/>
      </c>
    </row>
    <row r="140">
      <c r="C140" s="3"/>
      <c r="D140" s="3"/>
      <c r="E140" s="3" t="str">
        <f>'res269 Summer (old)'!C140</f>
        <v/>
      </c>
      <c r="F140" s="3" t="str">
        <f>'res269 Summer (old)'!D140</f>
        <v/>
      </c>
      <c r="G140" s="3" t="str">
        <f>'res269 Mary Shay'!C140</f>
        <v/>
      </c>
      <c r="H140" s="3" t="str">
        <f>'res269 Mary Shay'!D140</f>
        <v/>
      </c>
    </row>
    <row r="141">
      <c r="C141" s="3"/>
      <c r="D141" s="3"/>
      <c r="E141" s="3" t="str">
        <f>'res269 Summer (old)'!C141</f>
        <v/>
      </c>
      <c r="F141" s="3" t="str">
        <f>'res269 Summer (old)'!D141</f>
        <v/>
      </c>
      <c r="G141" s="3" t="str">
        <f>'res269 Mary Shay'!C141</f>
        <v/>
      </c>
      <c r="H141" s="3" t="str">
        <f>'res269 Mary Shay'!D141</f>
        <v/>
      </c>
    </row>
    <row r="142">
      <c r="C142" s="3"/>
      <c r="D142" s="3"/>
      <c r="E142" s="3" t="str">
        <f>'res269 Summer (old)'!C142</f>
        <v/>
      </c>
      <c r="F142" s="3" t="str">
        <f>'res269 Summer (old)'!D142</f>
        <v/>
      </c>
      <c r="G142" s="3" t="str">
        <f>'res269 Mary Shay'!C142</f>
        <v/>
      </c>
      <c r="H142" s="3" t="str">
        <f>'res269 Mary Shay'!D142</f>
        <v/>
      </c>
    </row>
    <row r="143">
      <c r="C143" s="3"/>
      <c r="D143" s="3"/>
      <c r="E143" s="3" t="str">
        <f>'res269 Summer (old)'!C143</f>
        <v/>
      </c>
      <c r="F143" s="3" t="str">
        <f>'res269 Summer (old)'!D143</f>
        <v/>
      </c>
      <c r="G143" s="3" t="str">
        <f>'res269 Mary Shay'!C143</f>
        <v/>
      </c>
      <c r="H143" s="3" t="str">
        <f>'res269 Mary Shay'!D143</f>
        <v/>
      </c>
    </row>
    <row r="144">
      <c r="C144" s="3"/>
      <c r="D144" s="3"/>
      <c r="E144" s="3" t="str">
        <f>'res269 Summer (old)'!C144</f>
        <v/>
      </c>
      <c r="F144" s="3" t="str">
        <f>'res269 Summer (old)'!D144</f>
        <v/>
      </c>
      <c r="G144" s="3" t="str">
        <f>'res269 Mary Shay'!C144</f>
        <v/>
      </c>
      <c r="H144" s="3" t="str">
        <f>'res269 Mary Shay'!D144</f>
        <v/>
      </c>
    </row>
    <row r="145">
      <c r="C145" s="3"/>
      <c r="D145" s="3"/>
      <c r="E145" s="3" t="str">
        <f>'res269 Summer (old)'!C145</f>
        <v/>
      </c>
      <c r="F145" s="3" t="str">
        <f>'res269 Summer (old)'!D145</f>
        <v/>
      </c>
      <c r="G145" s="3" t="str">
        <f>'res269 Mary Shay'!C145</f>
        <v/>
      </c>
      <c r="H145" s="3" t="str">
        <f>'res269 Mary Shay'!D145</f>
        <v/>
      </c>
    </row>
    <row r="146">
      <c r="C146" s="3"/>
      <c r="D146" s="3"/>
      <c r="E146" s="3" t="str">
        <f>'res269 Summer (old)'!C146</f>
        <v/>
      </c>
      <c r="F146" s="3" t="str">
        <f>'res269 Summer (old)'!D146</f>
        <v/>
      </c>
      <c r="G146" s="3" t="str">
        <f>'res269 Mary Shay'!C146</f>
        <v/>
      </c>
      <c r="H146" s="3" t="str">
        <f>'res269 Mary Shay'!D146</f>
        <v/>
      </c>
    </row>
    <row r="147">
      <c r="C147" s="3"/>
      <c r="D147" s="3"/>
      <c r="E147" s="3" t="str">
        <f>'res269 Summer (old)'!C147</f>
        <v/>
      </c>
      <c r="F147" s="3" t="str">
        <f>'res269 Summer (old)'!D147</f>
        <v/>
      </c>
      <c r="G147" s="3" t="str">
        <f>'res269 Mary Shay'!C147</f>
        <v/>
      </c>
      <c r="H147" s="3" t="str">
        <f>'res269 Mary Shay'!D147</f>
        <v/>
      </c>
    </row>
    <row r="148">
      <c r="C148" s="3"/>
      <c r="D148" s="3"/>
      <c r="E148" s="3" t="str">
        <f>'res269 Summer (old)'!C148</f>
        <v/>
      </c>
      <c r="F148" s="3" t="str">
        <f>'res269 Summer (old)'!D148</f>
        <v/>
      </c>
      <c r="G148" s="3" t="str">
        <f>'res269 Mary Shay'!C148</f>
        <v/>
      </c>
      <c r="H148" s="3" t="str">
        <f>'res269 Mary Shay'!D148</f>
        <v/>
      </c>
    </row>
    <row r="149">
      <c r="C149" s="3"/>
      <c r="D149" s="3"/>
      <c r="E149" s="3" t="str">
        <f>'res269 Summer (old)'!C149</f>
        <v/>
      </c>
      <c r="F149" s="3" t="str">
        <f>'res269 Summer (old)'!D149</f>
        <v/>
      </c>
      <c r="G149" s="3" t="str">
        <f>'res269 Mary Shay'!C149</f>
        <v/>
      </c>
      <c r="H149" s="3" t="str">
        <f>'res269 Mary Shay'!D149</f>
        <v/>
      </c>
    </row>
    <row r="150">
      <c r="C150" s="3"/>
      <c r="D150" s="3"/>
      <c r="E150" s="3" t="str">
        <f>'res269 Summer (old)'!C150</f>
        <v/>
      </c>
      <c r="F150" s="3" t="str">
        <f>'res269 Summer (old)'!D150</f>
        <v/>
      </c>
      <c r="G150" s="3" t="str">
        <f>'res269 Mary Shay'!C150</f>
        <v/>
      </c>
      <c r="H150" s="3" t="str">
        <f>'res269 Mary Shay'!D150</f>
        <v/>
      </c>
    </row>
    <row r="151">
      <c r="C151" s="3"/>
      <c r="D151" s="3"/>
      <c r="E151" s="3" t="str">
        <f>'res269 Summer (old)'!C151</f>
        <v/>
      </c>
      <c r="F151" s="3" t="str">
        <f>'res269 Summer (old)'!D151</f>
        <v/>
      </c>
      <c r="G151" s="3" t="str">
        <f>'res269 Mary Shay'!C151</f>
        <v/>
      </c>
      <c r="H151" s="3" t="str">
        <f>'res269 Mary Shay'!D151</f>
        <v/>
      </c>
    </row>
    <row r="152">
      <c r="C152" s="3"/>
      <c r="D152" s="3"/>
      <c r="E152" s="3" t="str">
        <f>'res269 Summer (old)'!C152</f>
        <v/>
      </c>
      <c r="F152" s="3" t="str">
        <f>'res269 Summer (old)'!D152</f>
        <v/>
      </c>
      <c r="G152" s="3" t="str">
        <f>'res269 Mary Shay'!C152</f>
        <v/>
      </c>
      <c r="H152" s="3" t="str">
        <f>'res269 Mary Shay'!D152</f>
        <v/>
      </c>
    </row>
    <row r="153">
      <c r="C153" s="3"/>
      <c r="D153" s="3"/>
      <c r="E153" s="3" t="str">
        <f>'res269 Summer (old)'!C153</f>
        <v/>
      </c>
      <c r="F153" s="3" t="str">
        <f>'res269 Summer (old)'!D153</f>
        <v/>
      </c>
      <c r="G153" s="3" t="str">
        <f>'res269 Mary Shay'!C153</f>
        <v/>
      </c>
      <c r="H153" s="3" t="str">
        <f>'res269 Mary Shay'!D153</f>
        <v/>
      </c>
    </row>
    <row r="154">
      <c r="C154" s="3"/>
      <c r="D154" s="3"/>
      <c r="E154" s="3" t="str">
        <f>'res269 Summer (old)'!C154</f>
        <v/>
      </c>
      <c r="F154" s="3" t="str">
        <f>'res269 Summer (old)'!D154</f>
        <v/>
      </c>
      <c r="G154" s="3" t="str">
        <f>'res269 Mary Shay'!C154</f>
        <v/>
      </c>
      <c r="H154" s="3" t="str">
        <f>'res269 Mary Shay'!D154</f>
        <v/>
      </c>
    </row>
    <row r="155">
      <c r="C155" s="3"/>
      <c r="D155" s="3"/>
      <c r="E155" s="3" t="str">
        <f>'res269 Summer (old)'!C155</f>
        <v/>
      </c>
      <c r="F155" s="3" t="str">
        <f>'res269 Summer (old)'!D155</f>
        <v/>
      </c>
      <c r="G155" s="3" t="str">
        <f>'res269 Mary Shay'!C155</f>
        <v/>
      </c>
      <c r="H155" s="3" t="str">
        <f>'res269 Mary Shay'!D155</f>
        <v/>
      </c>
    </row>
    <row r="156">
      <c r="C156" s="3"/>
      <c r="D156" s="3"/>
      <c r="E156" s="3" t="str">
        <f>'res269 Summer (old)'!C156</f>
        <v/>
      </c>
      <c r="F156" s="3" t="str">
        <f>'res269 Summer (old)'!D156</f>
        <v/>
      </c>
      <c r="G156" s="3" t="str">
        <f>'res269 Mary Shay'!C156</f>
        <v/>
      </c>
      <c r="H156" s="3" t="str">
        <f>'res269 Mary Shay'!D156</f>
        <v/>
      </c>
    </row>
    <row r="157">
      <c r="C157" s="3"/>
      <c r="D157" s="3"/>
      <c r="E157" s="3" t="str">
        <f>'res269 Summer (old)'!C157</f>
        <v/>
      </c>
      <c r="F157" s="3" t="str">
        <f>'res269 Summer (old)'!D157</f>
        <v/>
      </c>
      <c r="G157" s="3" t="str">
        <f>'res269 Mary Shay'!C157</f>
        <v/>
      </c>
      <c r="H157" s="3" t="str">
        <f>'res269 Mary Shay'!D157</f>
        <v/>
      </c>
    </row>
    <row r="158">
      <c r="C158" s="3"/>
      <c r="D158" s="3"/>
      <c r="E158" s="3" t="str">
        <f>'res269 Summer (old)'!C158</f>
        <v/>
      </c>
      <c r="F158" s="3" t="str">
        <f>'res269 Summer (old)'!D158</f>
        <v/>
      </c>
      <c r="G158" s="3" t="str">
        <f>'res269 Mary Shay'!C158</f>
        <v/>
      </c>
      <c r="H158" s="3" t="str">
        <f>'res269 Mary Shay'!D158</f>
        <v/>
      </c>
    </row>
    <row r="159">
      <c r="C159" s="3"/>
      <c r="D159" s="3"/>
      <c r="E159" s="3" t="str">
        <f>'res269 Summer (old)'!C159</f>
        <v/>
      </c>
      <c r="F159" s="3" t="str">
        <f>'res269 Summer (old)'!D159</f>
        <v/>
      </c>
      <c r="G159" s="3" t="str">
        <f>'res269 Mary Shay'!C159</f>
        <v/>
      </c>
      <c r="H159" s="3" t="str">
        <f>'res269 Mary Shay'!D159</f>
        <v/>
      </c>
    </row>
    <row r="160">
      <c r="C160" s="3"/>
      <c r="D160" s="3"/>
      <c r="E160" s="3" t="str">
        <f>'res269 Summer (old)'!C160</f>
        <v/>
      </c>
      <c r="F160" s="3" t="str">
        <f>'res269 Summer (old)'!D160</f>
        <v/>
      </c>
      <c r="G160" s="3" t="str">
        <f>'res269 Mary Shay'!C160</f>
        <v/>
      </c>
      <c r="H160" s="3" t="str">
        <f>'res269 Mary Shay'!D160</f>
        <v/>
      </c>
    </row>
    <row r="161">
      <c r="C161" s="3"/>
      <c r="D161" s="3"/>
      <c r="E161" s="3" t="str">
        <f>'res269 Summer (old)'!C161</f>
        <v/>
      </c>
      <c r="F161" s="3" t="str">
        <f>'res269 Summer (old)'!D161</f>
        <v/>
      </c>
      <c r="G161" s="3" t="str">
        <f>'res269 Mary Shay'!C161</f>
        <v/>
      </c>
      <c r="H161" s="3" t="str">
        <f>'res269 Mary Shay'!D161</f>
        <v/>
      </c>
    </row>
    <row r="162">
      <c r="C162" s="3"/>
      <c r="D162" s="3"/>
      <c r="E162" s="3" t="str">
        <f>'res269 Summer (old)'!C162</f>
        <v/>
      </c>
      <c r="F162" s="3" t="str">
        <f>'res269 Summer (old)'!D162</f>
        <v/>
      </c>
      <c r="G162" s="3" t="str">
        <f>'res269 Mary Shay'!C162</f>
        <v/>
      </c>
      <c r="H162" s="3" t="str">
        <f>'res269 Mary Shay'!D162</f>
        <v/>
      </c>
    </row>
    <row r="163">
      <c r="C163" s="3"/>
      <c r="D163" s="3"/>
      <c r="E163" s="3" t="str">
        <f>'res269 Summer (old)'!C163</f>
        <v/>
      </c>
      <c r="F163" s="3" t="str">
        <f>'res269 Summer (old)'!D163</f>
        <v/>
      </c>
      <c r="G163" s="3" t="str">
        <f>'res269 Mary Shay'!C163</f>
        <v/>
      </c>
      <c r="H163" s="3" t="str">
        <f>'res269 Mary Shay'!D163</f>
        <v/>
      </c>
    </row>
    <row r="164">
      <c r="C164" s="3"/>
      <c r="D164" s="3"/>
      <c r="E164" s="3" t="str">
        <f>'res269 Summer (old)'!C164</f>
        <v/>
      </c>
      <c r="F164" s="3" t="str">
        <f>'res269 Summer (old)'!D164</f>
        <v/>
      </c>
      <c r="G164" s="3" t="str">
        <f>'res269 Mary Shay'!C164</f>
        <v/>
      </c>
      <c r="H164" s="3" t="str">
        <f>'res269 Mary Shay'!D164</f>
        <v/>
      </c>
    </row>
    <row r="165">
      <c r="C165" s="3"/>
      <c r="D165" s="3"/>
      <c r="E165" s="3" t="str">
        <f>'res269 Summer (old)'!C165</f>
        <v/>
      </c>
      <c r="F165" s="3" t="str">
        <f>'res269 Summer (old)'!D165</f>
        <v/>
      </c>
      <c r="G165" s="3" t="str">
        <f>'res269 Mary Shay'!C165</f>
        <v/>
      </c>
      <c r="H165" s="3" t="str">
        <f>'res269 Mary Shay'!D165</f>
        <v/>
      </c>
    </row>
    <row r="166">
      <c r="C166" s="3"/>
      <c r="D166" s="3"/>
      <c r="E166" s="3" t="str">
        <f>'res269 Summer (old)'!C166</f>
        <v/>
      </c>
      <c r="F166" s="3" t="str">
        <f>'res269 Summer (old)'!D166</f>
        <v/>
      </c>
      <c r="G166" s="3" t="str">
        <f>'res269 Mary Shay'!C166</f>
        <v/>
      </c>
      <c r="H166" s="3" t="str">
        <f>'res269 Mary Shay'!D166</f>
        <v/>
      </c>
    </row>
    <row r="167">
      <c r="C167" s="3"/>
      <c r="D167" s="3"/>
      <c r="E167" s="3" t="str">
        <f>'res269 Summer (old)'!C167</f>
        <v/>
      </c>
      <c r="F167" s="3" t="str">
        <f>'res269 Summer (old)'!D167</f>
        <v/>
      </c>
      <c r="G167" s="3" t="str">
        <f>'res269 Mary Shay'!C167</f>
        <v/>
      </c>
      <c r="H167" s="3" t="str">
        <f>'res269 Mary Shay'!D167</f>
        <v/>
      </c>
    </row>
    <row r="168">
      <c r="C168" s="3"/>
      <c r="D168" s="3"/>
      <c r="E168" s="3" t="str">
        <f>'res269 Summer (old)'!C168</f>
        <v/>
      </c>
      <c r="F168" s="3" t="str">
        <f>'res269 Summer (old)'!D168</f>
        <v/>
      </c>
      <c r="G168" s="3" t="str">
        <f>'res269 Mary Shay'!C168</f>
        <v/>
      </c>
      <c r="H168" s="3" t="str">
        <f>'res269 Mary Shay'!D168</f>
        <v/>
      </c>
    </row>
    <row r="169">
      <c r="C169" s="3"/>
      <c r="D169" s="3"/>
      <c r="E169" s="3" t="str">
        <f>'res269 Summer (old)'!C169</f>
        <v/>
      </c>
      <c r="F169" s="3" t="str">
        <f>'res269 Summer (old)'!D169</f>
        <v/>
      </c>
      <c r="G169" s="3" t="str">
        <f>'res269 Mary Shay'!C169</f>
        <v/>
      </c>
      <c r="H169" s="3" t="str">
        <f>'res269 Mary Shay'!D169</f>
        <v/>
      </c>
    </row>
    <row r="170">
      <c r="C170" s="3"/>
      <c r="D170" s="3"/>
      <c r="E170" s="3" t="str">
        <f>'res269 Summer (old)'!C170</f>
        <v/>
      </c>
      <c r="F170" s="3" t="str">
        <f>'res269 Summer (old)'!D170</f>
        <v/>
      </c>
      <c r="G170" s="3" t="str">
        <f>'res269 Mary Shay'!C170</f>
        <v/>
      </c>
      <c r="H170" s="3" t="str">
        <f>'res269 Mary Shay'!D170</f>
        <v/>
      </c>
    </row>
    <row r="171">
      <c r="C171" s="3"/>
      <c r="D171" s="3"/>
      <c r="E171" s="3" t="str">
        <f>'res269 Summer (old)'!C171</f>
        <v/>
      </c>
      <c r="F171" s="3" t="str">
        <f>'res269 Summer (old)'!D171</f>
        <v/>
      </c>
      <c r="G171" s="3" t="str">
        <f>'res269 Mary Shay'!C171</f>
        <v/>
      </c>
      <c r="H171" s="3" t="str">
        <f>'res269 Mary Shay'!D171</f>
        <v/>
      </c>
    </row>
    <row r="172">
      <c r="C172" s="3"/>
      <c r="D172" s="3"/>
      <c r="E172" s="3" t="str">
        <f>'res269 Summer (old)'!C172</f>
        <v/>
      </c>
      <c r="F172" s="3" t="str">
        <f>'res269 Summer (old)'!D172</f>
        <v/>
      </c>
      <c r="G172" s="3" t="str">
        <f>'res269 Mary Shay'!C172</f>
        <v/>
      </c>
      <c r="H172" s="3" t="str">
        <f>'res269 Mary Shay'!D172</f>
        <v/>
      </c>
    </row>
    <row r="173">
      <c r="C173" s="3"/>
      <c r="D173" s="3"/>
      <c r="E173" s="3" t="str">
        <f>'res269 Summer (old)'!C173</f>
        <v/>
      </c>
      <c r="F173" s="3" t="str">
        <f>'res269 Summer (old)'!D173</f>
        <v/>
      </c>
      <c r="G173" s="3" t="str">
        <f>'res269 Mary Shay'!C173</f>
        <v/>
      </c>
      <c r="H173" s="3" t="str">
        <f>'res269 Mary Shay'!D173</f>
        <v/>
      </c>
    </row>
    <row r="174">
      <c r="C174" s="3"/>
      <c r="D174" s="3"/>
      <c r="E174" s="3" t="str">
        <f>'res269 Summer (old)'!C174</f>
        <v/>
      </c>
      <c r="F174" s="3" t="str">
        <f>'res269 Summer (old)'!D174</f>
        <v/>
      </c>
      <c r="G174" s="3" t="str">
        <f>'res269 Mary Shay'!C174</f>
        <v/>
      </c>
      <c r="H174" s="3" t="str">
        <f>'res269 Mary Shay'!D174</f>
        <v/>
      </c>
    </row>
    <row r="175">
      <c r="C175" s="3"/>
      <c r="D175" s="3"/>
      <c r="E175" s="3" t="str">
        <f>'res269 Summer (old)'!C175</f>
        <v/>
      </c>
      <c r="F175" s="3" t="str">
        <f>'res269 Summer (old)'!D175</f>
        <v/>
      </c>
      <c r="G175" s="3" t="str">
        <f>'res269 Mary Shay'!C175</f>
        <v/>
      </c>
      <c r="H175" s="3" t="str">
        <f>'res269 Mary Shay'!D175</f>
        <v/>
      </c>
    </row>
    <row r="176">
      <c r="C176" s="3"/>
      <c r="D176" s="3"/>
      <c r="E176" s="3" t="str">
        <f>'res269 Summer (old)'!C176</f>
        <v/>
      </c>
      <c r="F176" s="3" t="str">
        <f>'res269 Summer (old)'!D176</f>
        <v/>
      </c>
      <c r="G176" s="3" t="str">
        <f>'res269 Mary Shay'!C176</f>
        <v/>
      </c>
      <c r="H176" s="3" t="str">
        <f>'res269 Mary Shay'!D176</f>
        <v/>
      </c>
    </row>
    <row r="177">
      <c r="C177" s="3"/>
      <c r="D177" s="3"/>
      <c r="E177" s="3" t="str">
        <f>'res269 Summer (old)'!C177</f>
        <v/>
      </c>
      <c r="F177" s="3" t="str">
        <f>'res269 Summer (old)'!D177</f>
        <v/>
      </c>
      <c r="G177" s="3" t="str">
        <f>'res269 Mary Shay'!C177</f>
        <v/>
      </c>
      <c r="H177" s="3" t="str">
        <f>'res269 Mary Shay'!D177</f>
        <v/>
      </c>
    </row>
    <row r="178">
      <c r="C178" s="3"/>
      <c r="D178" s="3"/>
      <c r="E178" s="3" t="str">
        <f>'res269 Summer (old)'!C178</f>
        <v/>
      </c>
      <c r="F178" s="3" t="str">
        <f>'res269 Summer (old)'!D178</f>
        <v/>
      </c>
      <c r="G178" s="3" t="str">
        <f>'res269 Mary Shay'!C178</f>
        <v/>
      </c>
      <c r="H178" s="3" t="str">
        <f>'res269 Mary Shay'!D178</f>
        <v/>
      </c>
    </row>
    <row r="179">
      <c r="C179" s="3"/>
      <c r="D179" s="3"/>
      <c r="E179" s="3" t="str">
        <f>'res269 Summer (old)'!C179</f>
        <v/>
      </c>
      <c r="F179" s="3" t="str">
        <f>'res269 Summer (old)'!D179</f>
        <v/>
      </c>
      <c r="G179" s="3" t="str">
        <f>'res269 Mary Shay'!C179</f>
        <v/>
      </c>
      <c r="H179" s="3" t="str">
        <f>'res269 Mary Shay'!D179</f>
        <v/>
      </c>
    </row>
    <row r="180">
      <c r="C180" s="3"/>
      <c r="D180" s="3"/>
      <c r="E180" s="3" t="str">
        <f>'res269 Summer (old)'!C180</f>
        <v/>
      </c>
      <c r="F180" s="3" t="str">
        <f>'res269 Summer (old)'!D180</f>
        <v/>
      </c>
      <c r="G180" s="3" t="str">
        <f>'res269 Mary Shay'!C180</f>
        <v/>
      </c>
      <c r="H180" s="3" t="str">
        <f>'res269 Mary Shay'!D180</f>
        <v/>
      </c>
    </row>
    <row r="181">
      <c r="C181" s="3"/>
      <c r="D181" s="3"/>
      <c r="E181" s="3" t="str">
        <f>'res269 Summer (old)'!C181</f>
        <v/>
      </c>
      <c r="F181" s="3" t="str">
        <f>'res269 Summer (old)'!D181</f>
        <v/>
      </c>
      <c r="G181" s="3" t="str">
        <f>'res269 Mary Shay'!C181</f>
        <v/>
      </c>
      <c r="H181" s="3" t="str">
        <f>'res269 Mary Shay'!D181</f>
        <v/>
      </c>
    </row>
    <row r="182">
      <c r="C182" s="3"/>
      <c r="D182" s="3"/>
      <c r="E182" s="3" t="str">
        <f>'res269 Summer (old)'!C182</f>
        <v/>
      </c>
      <c r="F182" s="3" t="str">
        <f>'res269 Summer (old)'!D182</f>
        <v/>
      </c>
      <c r="G182" s="3" t="str">
        <f>'res269 Mary Shay'!C182</f>
        <v/>
      </c>
      <c r="H182" s="3" t="str">
        <f>'res269 Mary Shay'!D182</f>
        <v/>
      </c>
    </row>
    <row r="183">
      <c r="C183" s="3"/>
      <c r="D183" s="3"/>
      <c r="E183" s="3" t="str">
        <f>'res269 Summer (old)'!C183</f>
        <v/>
      </c>
      <c r="F183" s="3" t="str">
        <f>'res269 Summer (old)'!D183</f>
        <v/>
      </c>
      <c r="G183" s="3" t="str">
        <f>'res269 Mary Shay'!C183</f>
        <v/>
      </c>
      <c r="H183" s="3" t="str">
        <f>'res269 Mary Shay'!D183</f>
        <v/>
      </c>
    </row>
    <row r="184">
      <c r="C184" s="3"/>
      <c r="D184" s="3"/>
      <c r="E184" s="3" t="str">
        <f>'res269 Summer (old)'!C184</f>
        <v/>
      </c>
      <c r="F184" s="3" t="str">
        <f>'res269 Summer (old)'!D184</f>
        <v/>
      </c>
      <c r="G184" s="3" t="str">
        <f>'res269 Mary Shay'!C184</f>
        <v/>
      </c>
      <c r="H184" s="3" t="str">
        <f>'res269 Mary Shay'!D184</f>
        <v/>
      </c>
    </row>
    <row r="185">
      <c r="C185" s="3"/>
      <c r="D185" s="3"/>
      <c r="E185" s="3" t="str">
        <f>'res269 Summer (old)'!C185</f>
        <v/>
      </c>
      <c r="F185" s="3" t="str">
        <f>'res269 Summer (old)'!D185</f>
        <v/>
      </c>
      <c r="G185" s="3" t="str">
        <f>'res269 Mary Shay'!C185</f>
        <v/>
      </c>
      <c r="H185" s="3" t="str">
        <f>'res269 Mary Shay'!D185</f>
        <v/>
      </c>
    </row>
    <row r="186">
      <c r="C186" s="3"/>
      <c r="D186" s="3"/>
      <c r="E186" s="3" t="str">
        <f>'res269 Summer (old)'!C186</f>
        <v/>
      </c>
      <c r="F186" s="3" t="str">
        <f>'res269 Summer (old)'!D186</f>
        <v/>
      </c>
      <c r="G186" s="3" t="str">
        <f>'res269 Mary Shay'!C186</f>
        <v/>
      </c>
      <c r="H186" s="3" t="str">
        <f>'res269 Mary Shay'!D186</f>
        <v/>
      </c>
    </row>
    <row r="187">
      <c r="C187" s="3"/>
      <c r="D187" s="3"/>
      <c r="E187" s="3" t="str">
        <f>'res269 Summer (old)'!C187</f>
        <v/>
      </c>
      <c r="F187" s="3" t="str">
        <f>'res269 Summer (old)'!D187</f>
        <v/>
      </c>
      <c r="G187" s="3" t="str">
        <f>'res269 Mary Shay'!C187</f>
        <v/>
      </c>
      <c r="H187" s="3" t="str">
        <f>'res269 Mary Shay'!D187</f>
        <v/>
      </c>
    </row>
    <row r="188">
      <c r="C188" s="3"/>
      <c r="D188" s="3"/>
      <c r="E188" s="3" t="str">
        <f>'res269 Summer (old)'!C188</f>
        <v/>
      </c>
      <c r="F188" s="3" t="str">
        <f>'res269 Summer (old)'!D188</f>
        <v/>
      </c>
      <c r="G188" s="3" t="str">
        <f>'res269 Mary Shay'!C188</f>
        <v/>
      </c>
      <c r="H188" s="3" t="str">
        <f>'res269 Mary Shay'!D188</f>
        <v/>
      </c>
    </row>
    <row r="189">
      <c r="C189" s="3"/>
      <c r="D189" s="3"/>
      <c r="E189" s="3" t="str">
        <f>'res269 Summer (old)'!C189</f>
        <v/>
      </c>
      <c r="F189" s="3" t="str">
        <f>'res269 Summer (old)'!D189</f>
        <v/>
      </c>
      <c r="G189" s="3" t="str">
        <f>'res269 Mary Shay'!C189</f>
        <v/>
      </c>
      <c r="H189" s="3" t="str">
        <f>'res269 Mary Shay'!D189</f>
        <v/>
      </c>
    </row>
    <row r="190">
      <c r="C190" s="3"/>
      <c r="D190" s="3"/>
      <c r="E190" s="3" t="str">
        <f>'res269 Summer (old)'!C190</f>
        <v/>
      </c>
      <c r="F190" s="3" t="str">
        <f>'res269 Summer (old)'!D190</f>
        <v/>
      </c>
      <c r="G190" s="3" t="str">
        <f>'res269 Mary Shay'!C190</f>
        <v/>
      </c>
      <c r="H190" s="3" t="str">
        <f>'res269 Mary Shay'!D190</f>
        <v/>
      </c>
    </row>
    <row r="191">
      <c r="C191" s="3"/>
      <c r="D191" s="3"/>
      <c r="E191" s="3" t="str">
        <f>'res269 Summer (old)'!C191</f>
        <v/>
      </c>
      <c r="F191" s="3" t="str">
        <f>'res269 Summer (old)'!D191</f>
        <v/>
      </c>
      <c r="G191" s="3" t="str">
        <f>'res269 Mary Shay'!C191</f>
        <v/>
      </c>
      <c r="H191" s="3" t="str">
        <f>'res269 Mary Shay'!D191</f>
        <v/>
      </c>
    </row>
    <row r="192">
      <c r="C192" s="3"/>
      <c r="D192" s="3"/>
      <c r="E192" s="3" t="str">
        <f>'res269 Summer (old)'!C192</f>
        <v/>
      </c>
      <c r="F192" s="3" t="str">
        <f>'res269 Summer (old)'!D192</f>
        <v/>
      </c>
      <c r="G192" s="3" t="str">
        <f>'res269 Mary Shay'!C192</f>
        <v/>
      </c>
      <c r="H192" s="3" t="str">
        <f>'res269 Mary Shay'!D192</f>
        <v/>
      </c>
    </row>
    <row r="193">
      <c r="C193" s="3"/>
      <c r="D193" s="3"/>
      <c r="E193" s="3" t="str">
        <f>'res269 Summer (old)'!C193</f>
        <v/>
      </c>
      <c r="F193" s="3" t="str">
        <f>'res269 Summer (old)'!D193</f>
        <v/>
      </c>
      <c r="G193" s="3" t="str">
        <f>'res269 Mary Shay'!C193</f>
        <v/>
      </c>
      <c r="H193" s="3" t="str">
        <f>'res269 Mary Shay'!D193</f>
        <v/>
      </c>
    </row>
    <row r="194">
      <c r="C194" s="3"/>
      <c r="D194" s="3"/>
      <c r="E194" s="3" t="str">
        <f>'res269 Summer (old)'!C194</f>
        <v/>
      </c>
      <c r="F194" s="3" t="str">
        <f>'res269 Summer (old)'!D194</f>
        <v/>
      </c>
      <c r="G194" s="3" t="str">
        <f>'res269 Mary Shay'!C194</f>
        <v/>
      </c>
      <c r="H194" s="3" t="str">
        <f>'res269 Mary Shay'!D194</f>
        <v/>
      </c>
    </row>
    <row r="195">
      <c r="C195" s="3"/>
      <c r="D195" s="3"/>
      <c r="E195" s="3" t="str">
        <f>'res269 Summer (old)'!C195</f>
        <v/>
      </c>
      <c r="F195" s="3" t="str">
        <f>'res269 Summer (old)'!D195</f>
        <v/>
      </c>
      <c r="G195" s="3" t="str">
        <f>'res269 Mary Shay'!C195</f>
        <v/>
      </c>
      <c r="H195" s="3" t="str">
        <f>'res269 Mary Shay'!D195</f>
        <v/>
      </c>
    </row>
    <row r="196">
      <c r="C196" s="3"/>
      <c r="D196" s="3"/>
      <c r="E196" s="3" t="str">
        <f>'res269 Summer (old)'!C196</f>
        <v/>
      </c>
      <c r="F196" s="3" t="str">
        <f>'res269 Summer (old)'!D196</f>
        <v/>
      </c>
      <c r="G196" s="3" t="str">
        <f>'res269 Mary Shay'!C196</f>
        <v/>
      </c>
      <c r="H196" s="3" t="str">
        <f>'res269 Mary Shay'!D196</f>
        <v/>
      </c>
    </row>
    <row r="197">
      <c r="C197" s="3"/>
      <c r="D197" s="3"/>
      <c r="E197" s="3" t="str">
        <f>'res269 Summer (old)'!C197</f>
        <v/>
      </c>
      <c r="F197" s="3" t="str">
        <f>'res269 Summer (old)'!D197</f>
        <v/>
      </c>
      <c r="G197" s="3" t="str">
        <f>'res269 Mary Shay'!C197</f>
        <v/>
      </c>
      <c r="H197" s="3" t="str">
        <f>'res269 Mary Shay'!D197</f>
        <v/>
      </c>
    </row>
    <row r="198">
      <c r="C198" s="3"/>
      <c r="D198" s="3"/>
      <c r="E198" s="3" t="str">
        <f>'res269 Summer (old)'!C198</f>
        <v/>
      </c>
      <c r="F198" s="3" t="str">
        <f>'res269 Summer (old)'!D198</f>
        <v/>
      </c>
      <c r="G198" s="3" t="str">
        <f>'res269 Mary Shay'!C198</f>
        <v/>
      </c>
      <c r="H198" s="3" t="str">
        <f>'res269 Mary Shay'!D198</f>
        <v/>
      </c>
    </row>
    <row r="199">
      <c r="C199" s="3"/>
      <c r="D199" s="3"/>
      <c r="E199" s="3" t="str">
        <f>'res269 Summer (old)'!C199</f>
        <v/>
      </c>
      <c r="F199" s="3" t="str">
        <f>'res269 Summer (old)'!D199</f>
        <v/>
      </c>
      <c r="G199" s="3" t="str">
        <f>'res269 Mary Shay'!C199</f>
        <v/>
      </c>
      <c r="H199" s="3" t="str">
        <f>'res269 Mary Shay'!D199</f>
        <v/>
      </c>
    </row>
    <row r="200">
      <c r="C200" s="3"/>
      <c r="D200" s="3"/>
      <c r="E200" s="3" t="str">
        <f>'res269 Summer (old)'!C200</f>
        <v/>
      </c>
      <c r="F200" s="3" t="str">
        <f>'res269 Summer (old)'!D200</f>
        <v/>
      </c>
      <c r="G200" s="3" t="str">
        <f>'res269 Mary Shay'!C200</f>
        <v/>
      </c>
      <c r="H200" s="3" t="str">
        <f>'res269 Mary Shay'!D200</f>
        <v/>
      </c>
    </row>
    <row r="201">
      <c r="C201" s="3"/>
      <c r="D201" s="3"/>
      <c r="E201" s="3" t="str">
        <f>'res269 Summer (old)'!C201</f>
        <v/>
      </c>
      <c r="F201" s="3" t="str">
        <f>'res269 Summer (old)'!D201</f>
        <v/>
      </c>
      <c r="G201" s="3" t="str">
        <f>'res269 Mary Shay'!C201</f>
        <v/>
      </c>
      <c r="H201" s="3" t="str">
        <f>'res269 Mary Shay'!D201</f>
        <v/>
      </c>
    </row>
    <row r="202">
      <c r="C202" s="3"/>
      <c r="D202" s="3"/>
      <c r="E202" s="3" t="str">
        <f>'res269 Summer (old)'!C202</f>
        <v/>
      </c>
      <c r="F202" s="3" t="str">
        <f>'res269 Summer (old)'!D202</f>
        <v/>
      </c>
      <c r="G202" s="3" t="str">
        <f>'res269 Mary Shay'!C202</f>
        <v/>
      </c>
      <c r="H202" s="3" t="str">
        <f>'res269 Mary Shay'!D202</f>
        <v/>
      </c>
    </row>
    <row r="203">
      <c r="C203" s="3"/>
      <c r="D203" s="3"/>
      <c r="E203" s="3" t="str">
        <f>'res269 Summer (old)'!C203</f>
        <v/>
      </c>
      <c r="F203" s="3" t="str">
        <f>'res269 Summer (old)'!D203</f>
        <v/>
      </c>
      <c r="G203" s="3" t="str">
        <f>'res269 Mary Shay'!C203</f>
        <v/>
      </c>
      <c r="H203" s="3" t="str">
        <f>'res269 Mary Shay'!D203</f>
        <v/>
      </c>
    </row>
    <row r="204">
      <c r="C204" s="3"/>
      <c r="D204" s="3"/>
      <c r="E204" s="3" t="str">
        <f>'res269 Summer (old)'!C204</f>
        <v/>
      </c>
      <c r="F204" s="3" t="str">
        <f>'res269 Summer (old)'!D204</f>
        <v/>
      </c>
      <c r="G204" s="3" t="str">
        <f>'res269 Mary Shay'!C204</f>
        <v/>
      </c>
      <c r="H204" s="3" t="str">
        <f>'res269 Mary Shay'!D204</f>
        <v/>
      </c>
    </row>
    <row r="205">
      <c r="C205" s="3"/>
      <c r="D205" s="3"/>
      <c r="E205" s="3" t="str">
        <f>'res269 Summer (old)'!C205</f>
        <v/>
      </c>
      <c r="F205" s="3" t="str">
        <f>'res269 Summer (old)'!D205</f>
        <v/>
      </c>
      <c r="G205" s="3" t="str">
        <f>'res269 Mary Shay'!C205</f>
        <v/>
      </c>
      <c r="H205" s="3" t="str">
        <f>'res269 Mary Shay'!D205</f>
        <v/>
      </c>
    </row>
    <row r="206">
      <c r="C206" s="3"/>
      <c r="D206" s="3"/>
      <c r="E206" s="3" t="str">
        <f>'res269 Summer (old)'!C206</f>
        <v/>
      </c>
      <c r="F206" s="3" t="str">
        <f>'res269 Summer (old)'!D206</f>
        <v/>
      </c>
      <c r="G206" s="3" t="str">
        <f>'res269 Mary Shay'!C206</f>
        <v/>
      </c>
      <c r="H206" s="3" t="str">
        <f>'res269 Mary Shay'!D206</f>
        <v/>
      </c>
    </row>
    <row r="207">
      <c r="C207" s="3"/>
      <c r="D207" s="3"/>
      <c r="E207" s="3" t="str">
        <f>'res269 Summer (old)'!C207</f>
        <v/>
      </c>
      <c r="F207" s="3" t="str">
        <f>'res269 Summer (old)'!D207</f>
        <v/>
      </c>
      <c r="G207" s="3" t="str">
        <f>'res269 Mary Shay'!C207</f>
        <v/>
      </c>
      <c r="H207" s="3" t="str">
        <f>'res269 Mary Shay'!D207</f>
        <v/>
      </c>
    </row>
    <row r="208">
      <c r="C208" s="3"/>
      <c r="D208" s="3"/>
      <c r="E208" s="3" t="str">
        <f>'res269 Summer (old)'!C208</f>
        <v/>
      </c>
      <c r="F208" s="3" t="str">
        <f>'res269 Summer (old)'!D208</f>
        <v/>
      </c>
      <c r="G208" s="3" t="str">
        <f>'res269 Mary Shay'!C208</f>
        <v/>
      </c>
      <c r="H208" s="3" t="str">
        <f>'res269 Mary Shay'!D208</f>
        <v/>
      </c>
    </row>
    <row r="209">
      <c r="C209" s="3"/>
      <c r="D209" s="3"/>
      <c r="E209" s="3" t="str">
        <f>'res269 Summer (old)'!C209</f>
        <v/>
      </c>
      <c r="F209" s="3" t="str">
        <f>'res269 Summer (old)'!D209</f>
        <v/>
      </c>
      <c r="G209" s="3" t="str">
        <f>'res269 Mary Shay'!C209</f>
        <v/>
      </c>
      <c r="H209" s="3" t="str">
        <f>'res269 Mary Shay'!D209</f>
        <v/>
      </c>
    </row>
    <row r="210">
      <c r="C210" s="3"/>
      <c r="D210" s="3"/>
      <c r="E210" s="3" t="str">
        <f>'res269 Summer (old)'!C210</f>
        <v/>
      </c>
      <c r="F210" s="3" t="str">
        <f>'res269 Summer (old)'!D210</f>
        <v/>
      </c>
      <c r="G210" s="3" t="str">
        <f>'res269 Mary Shay'!C210</f>
        <v/>
      </c>
      <c r="H210" s="3" t="str">
        <f>'res269 Mary Shay'!D210</f>
        <v/>
      </c>
    </row>
    <row r="211">
      <c r="C211" s="3"/>
      <c r="D211" s="3"/>
      <c r="E211" s="3" t="str">
        <f>'res269 Summer (old)'!C211</f>
        <v/>
      </c>
      <c r="F211" s="3" t="str">
        <f>'res269 Summer (old)'!D211</f>
        <v/>
      </c>
      <c r="G211" s="3" t="str">
        <f>'res269 Mary Shay'!C211</f>
        <v/>
      </c>
      <c r="H211" s="3" t="str">
        <f>'res269 Mary Shay'!D211</f>
        <v/>
      </c>
    </row>
    <row r="212">
      <c r="C212" s="3"/>
      <c r="D212" s="3"/>
      <c r="E212" s="3" t="str">
        <f>'res269 Summer (old)'!C212</f>
        <v/>
      </c>
      <c r="F212" s="3" t="str">
        <f>'res269 Summer (old)'!D212</f>
        <v/>
      </c>
      <c r="G212" s="3" t="str">
        <f>'res269 Mary Shay'!C212</f>
        <v/>
      </c>
      <c r="H212" s="3" t="str">
        <f>'res269 Mary Shay'!D212</f>
        <v/>
      </c>
    </row>
    <row r="213">
      <c r="C213" s="3"/>
      <c r="D213" s="3"/>
      <c r="E213" s="3" t="str">
        <f>'res269 Summer (old)'!C213</f>
        <v/>
      </c>
      <c r="F213" s="3" t="str">
        <f>'res269 Summer (old)'!D213</f>
        <v/>
      </c>
      <c r="G213" s="3" t="str">
        <f>'res269 Mary Shay'!C213</f>
        <v/>
      </c>
      <c r="H213" s="3" t="str">
        <f>'res269 Mary Shay'!D213</f>
        <v/>
      </c>
    </row>
    <row r="214">
      <c r="C214" s="3"/>
      <c r="D214" s="3"/>
      <c r="E214" s="3" t="str">
        <f>'res269 Summer (old)'!C214</f>
        <v/>
      </c>
      <c r="F214" s="3" t="str">
        <f>'res269 Summer (old)'!D214</f>
        <v/>
      </c>
      <c r="G214" s="3" t="str">
        <f>'res269 Mary Shay'!C214</f>
        <v/>
      </c>
      <c r="H214" s="3" t="str">
        <f>'res269 Mary Shay'!D214</f>
        <v/>
      </c>
    </row>
    <row r="215">
      <c r="C215" s="3"/>
      <c r="D215" s="3"/>
      <c r="E215" s="3" t="str">
        <f>'res269 Summer (old)'!C215</f>
        <v/>
      </c>
      <c r="F215" s="3" t="str">
        <f>'res269 Summer (old)'!D215</f>
        <v/>
      </c>
      <c r="G215" s="3" t="str">
        <f>'res269 Mary Shay'!C215</f>
        <v/>
      </c>
      <c r="H215" s="3" t="str">
        <f>'res269 Mary Shay'!D215</f>
        <v/>
      </c>
    </row>
    <row r="216">
      <c r="C216" s="3"/>
      <c r="D216" s="3"/>
      <c r="E216" s="3" t="str">
        <f>'res269 Summer (old)'!C216</f>
        <v/>
      </c>
      <c r="F216" s="3" t="str">
        <f>'res269 Summer (old)'!D216</f>
        <v/>
      </c>
      <c r="G216" s="3" t="str">
        <f>'res269 Mary Shay'!C216</f>
        <v/>
      </c>
      <c r="H216" s="3" t="str">
        <f>'res269 Mary Shay'!D216</f>
        <v/>
      </c>
    </row>
    <row r="217">
      <c r="C217" s="3"/>
      <c r="D217" s="3"/>
      <c r="E217" s="3" t="str">
        <f>'res269 Summer (old)'!C217</f>
        <v/>
      </c>
      <c r="F217" s="3" t="str">
        <f>'res269 Summer (old)'!D217</f>
        <v/>
      </c>
      <c r="G217" s="3" t="str">
        <f>'res269 Mary Shay'!C217</f>
        <v/>
      </c>
      <c r="H217" s="3" t="str">
        <f>'res269 Mary Shay'!D217</f>
        <v/>
      </c>
    </row>
    <row r="218">
      <c r="C218" s="3"/>
      <c r="D218" s="3"/>
      <c r="E218" s="3" t="str">
        <f>'res269 Summer (old)'!C218</f>
        <v/>
      </c>
      <c r="F218" s="3" t="str">
        <f>'res269 Summer (old)'!D218</f>
        <v/>
      </c>
      <c r="G218" s="3" t="str">
        <f>'res269 Mary Shay'!C218</f>
        <v/>
      </c>
      <c r="H218" s="3" t="str">
        <f>'res269 Mary Shay'!D218</f>
        <v/>
      </c>
    </row>
    <row r="219">
      <c r="C219" s="3"/>
      <c r="D219" s="3"/>
      <c r="E219" s="3" t="str">
        <f>'res269 Summer (old)'!C219</f>
        <v/>
      </c>
      <c r="F219" s="3" t="str">
        <f>'res269 Summer (old)'!D219</f>
        <v/>
      </c>
      <c r="G219" s="3" t="str">
        <f>'res269 Mary Shay'!C219</f>
        <v/>
      </c>
      <c r="H219" s="3" t="str">
        <f>'res269 Mary Shay'!D219</f>
        <v/>
      </c>
    </row>
    <row r="220">
      <c r="C220" s="3"/>
      <c r="D220" s="3"/>
      <c r="E220" s="3" t="str">
        <f>'res269 Summer (old)'!C220</f>
        <v/>
      </c>
      <c r="F220" s="3" t="str">
        <f>'res269 Summer (old)'!D220</f>
        <v/>
      </c>
      <c r="G220" s="3" t="str">
        <f>'res269 Mary Shay'!C220</f>
        <v/>
      </c>
      <c r="H220" s="3" t="str">
        <f>'res269 Mary Shay'!D220</f>
        <v/>
      </c>
    </row>
    <row r="221">
      <c r="C221" s="3"/>
      <c r="D221" s="3"/>
      <c r="E221" s="3" t="str">
        <f>'res269 Summer (old)'!C221</f>
        <v/>
      </c>
      <c r="F221" s="3" t="str">
        <f>'res269 Summer (old)'!D221</f>
        <v/>
      </c>
      <c r="G221" s="3" t="str">
        <f>'res269 Mary Shay'!C221</f>
        <v/>
      </c>
      <c r="H221" s="3" t="str">
        <f>'res269 Mary Shay'!D221</f>
        <v/>
      </c>
    </row>
    <row r="222">
      <c r="C222" s="3"/>
      <c r="D222" s="3"/>
      <c r="E222" s="3" t="str">
        <f>'res269 Summer (old)'!C222</f>
        <v/>
      </c>
      <c r="F222" s="3" t="str">
        <f>'res269 Summer (old)'!D222</f>
        <v/>
      </c>
      <c r="G222" s="3" t="str">
        <f>'res269 Mary Shay'!C222</f>
        <v/>
      </c>
      <c r="H222" s="3" t="str">
        <f>'res269 Mary Shay'!D222</f>
        <v/>
      </c>
    </row>
    <row r="223">
      <c r="C223" s="3"/>
      <c r="D223" s="3"/>
      <c r="E223" s="3" t="str">
        <f>'res269 Summer (old)'!C223</f>
        <v/>
      </c>
      <c r="F223" s="3" t="str">
        <f>'res269 Summer (old)'!D223</f>
        <v/>
      </c>
      <c r="G223" s="3" t="str">
        <f>'res269 Mary Shay'!C223</f>
        <v/>
      </c>
      <c r="H223" s="3" t="str">
        <f>'res269 Mary Shay'!D223</f>
        <v/>
      </c>
    </row>
    <row r="224">
      <c r="C224" s="3"/>
      <c r="D224" s="3"/>
      <c r="E224" s="3" t="str">
        <f>'res269 Summer (old)'!C224</f>
        <v/>
      </c>
      <c r="F224" s="3" t="str">
        <f>'res269 Summer (old)'!D224</f>
        <v/>
      </c>
      <c r="G224" s="3" t="str">
        <f>'res269 Mary Shay'!C224</f>
        <v/>
      </c>
      <c r="H224" s="3" t="str">
        <f>'res269 Mary Shay'!D224</f>
        <v/>
      </c>
    </row>
    <row r="225">
      <c r="C225" s="3"/>
      <c r="D225" s="3"/>
      <c r="E225" s="3" t="str">
        <f>'res269 Summer (old)'!C225</f>
        <v/>
      </c>
      <c r="F225" s="3" t="str">
        <f>'res269 Summer (old)'!D225</f>
        <v/>
      </c>
      <c r="G225" s="3" t="str">
        <f>'res269 Mary Shay'!C225</f>
        <v/>
      </c>
      <c r="H225" s="3" t="str">
        <f>'res269 Mary Shay'!D225</f>
        <v/>
      </c>
    </row>
    <row r="226">
      <c r="C226" s="3"/>
      <c r="D226" s="3"/>
      <c r="E226" s="3" t="str">
        <f>'res269 Summer (old)'!C226</f>
        <v/>
      </c>
      <c r="F226" s="3" t="str">
        <f>'res269 Summer (old)'!D226</f>
        <v/>
      </c>
      <c r="G226" s="3" t="str">
        <f>'res269 Mary Shay'!C226</f>
        <v/>
      </c>
      <c r="H226" s="3" t="str">
        <f>'res269 Mary Shay'!D226</f>
        <v/>
      </c>
    </row>
    <row r="227">
      <c r="C227" s="3"/>
      <c r="D227" s="3"/>
      <c r="E227" s="3" t="str">
        <f>'res269 Summer (old)'!C227</f>
        <v/>
      </c>
      <c r="F227" s="3" t="str">
        <f>'res269 Summer (old)'!D227</f>
        <v/>
      </c>
      <c r="G227" s="3" t="str">
        <f>'res269 Mary Shay'!C227</f>
        <v/>
      </c>
      <c r="H227" s="3" t="str">
        <f>'res269 Mary Shay'!D227</f>
        <v/>
      </c>
    </row>
    <row r="228">
      <c r="C228" s="3"/>
      <c r="D228" s="3"/>
      <c r="E228" s="3" t="str">
        <f>'res269 Summer (old)'!C228</f>
        <v/>
      </c>
      <c r="F228" s="3" t="str">
        <f>'res269 Summer (old)'!D228</f>
        <v/>
      </c>
      <c r="G228" s="3" t="str">
        <f>'res269 Mary Shay'!C228</f>
        <v/>
      </c>
      <c r="H228" s="3" t="str">
        <f>'res269 Mary Shay'!D228</f>
        <v/>
      </c>
    </row>
    <row r="229">
      <c r="C229" s="3"/>
      <c r="D229" s="3"/>
      <c r="E229" s="3" t="str">
        <f>'res269 Summer (old)'!C229</f>
        <v/>
      </c>
      <c r="F229" s="3" t="str">
        <f>'res269 Summer (old)'!D229</f>
        <v/>
      </c>
      <c r="G229" s="3" t="str">
        <f>'res269 Mary Shay'!C229</f>
        <v/>
      </c>
      <c r="H229" s="3" t="str">
        <f>'res269 Mary Shay'!D229</f>
        <v/>
      </c>
    </row>
    <row r="230">
      <c r="C230" s="3"/>
      <c r="D230" s="3"/>
      <c r="E230" s="3" t="str">
        <f>'res269 Summer (old)'!C230</f>
        <v/>
      </c>
      <c r="F230" s="3" t="str">
        <f>'res269 Summer (old)'!D230</f>
        <v/>
      </c>
      <c r="G230" s="3" t="str">
        <f>'res269 Mary Shay'!C230</f>
        <v/>
      </c>
      <c r="H230" s="3" t="str">
        <f>'res269 Mary Shay'!D230</f>
        <v/>
      </c>
    </row>
    <row r="231">
      <c r="C231" s="3"/>
      <c r="D231" s="3"/>
      <c r="E231" s="3" t="str">
        <f>'res269 Summer (old)'!C231</f>
        <v/>
      </c>
      <c r="F231" s="3" t="str">
        <f>'res269 Summer (old)'!D231</f>
        <v/>
      </c>
      <c r="G231" s="3" t="str">
        <f>'res269 Mary Shay'!C231</f>
        <v/>
      </c>
      <c r="H231" s="3" t="str">
        <f>'res269 Mary Shay'!D231</f>
        <v/>
      </c>
    </row>
    <row r="232">
      <c r="C232" s="3"/>
      <c r="D232" s="3"/>
      <c r="E232" s="3" t="str">
        <f>'res269 Summer (old)'!C232</f>
        <v/>
      </c>
      <c r="F232" s="3" t="str">
        <f>'res269 Summer (old)'!D232</f>
        <v/>
      </c>
      <c r="G232" s="3" t="str">
        <f>'res269 Mary Shay'!C232</f>
        <v/>
      </c>
      <c r="H232" s="3" t="str">
        <f>'res269 Mary Shay'!D232</f>
        <v/>
      </c>
    </row>
    <row r="233">
      <c r="C233" s="3"/>
      <c r="D233" s="3"/>
      <c r="E233" s="3" t="str">
        <f>'res269 Summer (old)'!C233</f>
        <v/>
      </c>
      <c r="F233" s="3" t="str">
        <f>'res269 Summer (old)'!D233</f>
        <v/>
      </c>
      <c r="G233" s="3" t="str">
        <f>'res269 Mary Shay'!C233</f>
        <v/>
      </c>
      <c r="H233" s="3" t="str">
        <f>'res269 Mary Shay'!D233</f>
        <v/>
      </c>
    </row>
    <row r="234">
      <c r="C234" s="3"/>
      <c r="D234" s="3"/>
      <c r="E234" s="3" t="str">
        <f>'res269 Summer (old)'!C234</f>
        <v/>
      </c>
      <c r="F234" s="3" t="str">
        <f>'res269 Summer (old)'!D234</f>
        <v/>
      </c>
      <c r="G234" s="3" t="str">
        <f>'res269 Mary Shay'!C234</f>
        <v/>
      </c>
      <c r="H234" s="3" t="str">
        <f>'res269 Mary Shay'!D234</f>
        <v/>
      </c>
    </row>
    <row r="235">
      <c r="C235" s="3"/>
      <c r="D235" s="3"/>
      <c r="E235" s="3" t="str">
        <f>'res269 Summer (old)'!C235</f>
        <v/>
      </c>
      <c r="F235" s="3" t="str">
        <f>'res269 Summer (old)'!D235</f>
        <v/>
      </c>
      <c r="G235" s="3" t="str">
        <f>'res269 Mary Shay'!C235</f>
        <v/>
      </c>
      <c r="H235" s="3" t="str">
        <f>'res269 Mary Shay'!D235</f>
        <v/>
      </c>
    </row>
    <row r="236">
      <c r="C236" s="3"/>
      <c r="D236" s="3"/>
      <c r="E236" s="3" t="str">
        <f>'res269 Summer (old)'!C236</f>
        <v/>
      </c>
      <c r="F236" s="3" t="str">
        <f>'res269 Summer (old)'!D236</f>
        <v/>
      </c>
      <c r="G236" s="3" t="str">
        <f>'res269 Mary Shay'!C236</f>
        <v/>
      </c>
      <c r="H236" s="3" t="str">
        <f>'res269 Mary Shay'!D236</f>
        <v/>
      </c>
    </row>
    <row r="237">
      <c r="C237" s="3"/>
      <c r="D237" s="3"/>
      <c r="E237" s="3" t="str">
        <f>'res269 Summer (old)'!C237</f>
        <v/>
      </c>
      <c r="F237" s="3" t="str">
        <f>'res269 Summer (old)'!D237</f>
        <v/>
      </c>
      <c r="G237" s="3" t="str">
        <f>'res269 Mary Shay'!C237</f>
        <v/>
      </c>
      <c r="H237" s="3" t="str">
        <f>'res269 Mary Shay'!D237</f>
        <v/>
      </c>
    </row>
    <row r="238">
      <c r="C238" s="3"/>
      <c r="D238" s="3"/>
      <c r="E238" s="3" t="str">
        <f>'res269 Summer (old)'!C238</f>
        <v/>
      </c>
      <c r="F238" s="3" t="str">
        <f>'res269 Summer (old)'!D238</f>
        <v/>
      </c>
      <c r="G238" s="3" t="str">
        <f>'res269 Mary Shay'!C238</f>
        <v/>
      </c>
      <c r="H238" s="3" t="str">
        <f>'res269 Mary Shay'!D238</f>
        <v/>
      </c>
    </row>
    <row r="239">
      <c r="C239" s="3"/>
      <c r="D239" s="3"/>
      <c r="E239" s="3" t="str">
        <f>'res269 Summer (old)'!C239</f>
        <v/>
      </c>
      <c r="F239" s="3" t="str">
        <f>'res269 Summer (old)'!D239</f>
        <v/>
      </c>
      <c r="G239" s="3" t="str">
        <f>'res269 Mary Shay'!C239</f>
        <v/>
      </c>
      <c r="H239" s="3" t="str">
        <f>'res269 Mary Shay'!D239</f>
        <v/>
      </c>
    </row>
    <row r="240">
      <c r="C240" s="3"/>
      <c r="D240" s="3"/>
      <c r="E240" s="3" t="str">
        <f>'res269 Summer (old)'!C240</f>
        <v/>
      </c>
      <c r="F240" s="3" t="str">
        <f>'res269 Summer (old)'!D240</f>
        <v/>
      </c>
      <c r="G240" s="3" t="str">
        <f>'res269 Mary Shay'!C240</f>
        <v/>
      </c>
      <c r="H240" s="3" t="str">
        <f>'res269 Mary Shay'!D240</f>
        <v/>
      </c>
    </row>
    <row r="241">
      <c r="C241" s="3"/>
      <c r="D241" s="3"/>
      <c r="E241" s="3" t="str">
        <f>'res269 Summer (old)'!C241</f>
        <v/>
      </c>
      <c r="F241" s="3" t="str">
        <f>'res269 Summer (old)'!D241</f>
        <v/>
      </c>
      <c r="G241" s="3" t="str">
        <f>'res269 Mary Shay'!C241</f>
        <v/>
      </c>
      <c r="H241" s="3" t="str">
        <f>'res269 Mary Shay'!D241</f>
        <v/>
      </c>
    </row>
    <row r="242">
      <c r="C242" s="3"/>
      <c r="D242" s="3"/>
      <c r="E242" s="3" t="str">
        <f>'res269 Summer (old)'!C242</f>
        <v/>
      </c>
      <c r="F242" s="3" t="str">
        <f>'res269 Summer (old)'!D242</f>
        <v/>
      </c>
      <c r="G242" s="3" t="str">
        <f>'res269 Mary Shay'!C242</f>
        <v/>
      </c>
      <c r="H242" s="3" t="str">
        <f>'res269 Mary Shay'!D242</f>
        <v/>
      </c>
    </row>
    <row r="243">
      <c r="C243" s="3"/>
      <c r="D243" s="3"/>
      <c r="E243" s="3" t="str">
        <f>'res269 Summer (old)'!C243</f>
        <v/>
      </c>
      <c r="F243" s="3" t="str">
        <f>'res269 Summer (old)'!D243</f>
        <v/>
      </c>
      <c r="G243" s="3" t="str">
        <f>'res269 Mary Shay'!C243</f>
        <v/>
      </c>
      <c r="H243" s="3" t="str">
        <f>'res269 Mary Shay'!D243</f>
        <v/>
      </c>
    </row>
    <row r="244">
      <c r="C244" s="3"/>
      <c r="D244" s="3"/>
      <c r="E244" s="3" t="str">
        <f>'res269 Summer (old)'!C244</f>
        <v/>
      </c>
      <c r="F244" s="3" t="str">
        <f>'res269 Summer (old)'!D244</f>
        <v/>
      </c>
      <c r="G244" s="3" t="str">
        <f>'res269 Mary Shay'!C244</f>
        <v/>
      </c>
      <c r="H244" s="3" t="str">
        <f>'res269 Mary Shay'!D244</f>
        <v/>
      </c>
    </row>
    <row r="245">
      <c r="C245" s="3"/>
      <c r="D245" s="3"/>
      <c r="E245" s="3" t="str">
        <f>'res269 Summer (old)'!C245</f>
        <v/>
      </c>
      <c r="F245" s="3" t="str">
        <f>'res269 Summer (old)'!D245</f>
        <v/>
      </c>
      <c r="G245" s="3" t="str">
        <f>'res269 Mary Shay'!C245</f>
        <v/>
      </c>
      <c r="H245" s="3" t="str">
        <f>'res269 Mary Shay'!D245</f>
        <v/>
      </c>
    </row>
    <row r="246">
      <c r="C246" s="3"/>
      <c r="D246" s="3"/>
      <c r="E246" s="3" t="str">
        <f>'res269 Summer (old)'!C246</f>
        <v/>
      </c>
      <c r="F246" s="3" t="str">
        <f>'res269 Summer (old)'!D246</f>
        <v/>
      </c>
      <c r="G246" s="3" t="str">
        <f>'res269 Mary Shay'!C246</f>
        <v/>
      </c>
      <c r="H246" s="3" t="str">
        <f>'res269 Mary Shay'!D246</f>
        <v/>
      </c>
    </row>
    <row r="247">
      <c r="C247" s="3"/>
      <c r="D247" s="3"/>
      <c r="E247" s="3" t="str">
        <f>'res269 Summer (old)'!C247</f>
        <v/>
      </c>
      <c r="F247" s="3" t="str">
        <f>'res269 Summer (old)'!D247</f>
        <v/>
      </c>
      <c r="G247" s="3" t="str">
        <f>'res269 Mary Shay'!C247</f>
        <v/>
      </c>
      <c r="H247" s="3" t="str">
        <f>'res269 Mary Shay'!D247</f>
        <v/>
      </c>
    </row>
    <row r="248">
      <c r="C248" s="3"/>
      <c r="D248" s="3"/>
      <c r="E248" s="3" t="str">
        <f>'res269 Summer (old)'!C248</f>
        <v/>
      </c>
      <c r="F248" s="3" t="str">
        <f>'res269 Summer (old)'!D248</f>
        <v/>
      </c>
      <c r="G248" s="3" t="str">
        <f>'res269 Mary Shay'!C248</f>
        <v/>
      </c>
      <c r="H248" s="3" t="str">
        <f>'res269 Mary Shay'!D248</f>
        <v/>
      </c>
    </row>
    <row r="249">
      <c r="C249" s="3"/>
      <c r="D249" s="3"/>
      <c r="E249" s="3" t="str">
        <f>'res269 Summer (old)'!C249</f>
        <v/>
      </c>
      <c r="F249" s="3" t="str">
        <f>'res269 Summer (old)'!D249</f>
        <v/>
      </c>
      <c r="G249" s="3" t="str">
        <f>'res269 Mary Shay'!C249</f>
        <v/>
      </c>
      <c r="H249" s="3" t="str">
        <f>'res269 Mary Shay'!D249</f>
        <v/>
      </c>
    </row>
    <row r="250">
      <c r="C250" s="3"/>
      <c r="D250" s="3"/>
      <c r="E250" s="3" t="str">
        <f>'res269 Summer (old)'!C250</f>
        <v/>
      </c>
      <c r="F250" s="3" t="str">
        <f>'res269 Summer (old)'!D250</f>
        <v/>
      </c>
      <c r="G250" s="3" t="str">
        <f>'res269 Mary Shay'!C250</f>
        <v/>
      </c>
      <c r="H250" s="3" t="str">
        <f>'res269 Mary Shay'!D250</f>
        <v/>
      </c>
    </row>
    <row r="251">
      <c r="C251" s="3"/>
      <c r="D251" s="3"/>
      <c r="E251" s="3" t="str">
        <f>'res269 Summer (old)'!C251</f>
        <v/>
      </c>
      <c r="F251" s="3" t="str">
        <f>'res269 Summer (old)'!D251</f>
        <v/>
      </c>
      <c r="G251" s="3" t="str">
        <f>'res269 Mary Shay'!C251</f>
        <v/>
      </c>
      <c r="H251" s="3" t="str">
        <f>'res269 Mary Shay'!D251</f>
        <v/>
      </c>
    </row>
    <row r="252">
      <c r="C252" s="3"/>
      <c r="D252" s="3"/>
      <c r="E252" s="3" t="str">
        <f>'res269 Summer (old)'!C252</f>
        <v/>
      </c>
      <c r="F252" s="3" t="str">
        <f>'res269 Summer (old)'!D252</f>
        <v/>
      </c>
      <c r="G252" s="3" t="str">
        <f>'res269 Mary Shay'!C252</f>
        <v/>
      </c>
      <c r="H252" s="3" t="str">
        <f>'res269 Mary Shay'!D252</f>
        <v/>
      </c>
    </row>
    <row r="253">
      <c r="C253" s="3"/>
      <c r="D253" s="3"/>
      <c r="E253" s="3" t="str">
        <f>'res269 Summer (old)'!C253</f>
        <v/>
      </c>
      <c r="F253" s="3" t="str">
        <f>'res269 Summer (old)'!D253</f>
        <v/>
      </c>
      <c r="G253" s="3" t="str">
        <f>'res269 Mary Shay'!C253</f>
        <v/>
      </c>
      <c r="H253" s="3" t="str">
        <f>'res269 Mary Shay'!D253</f>
        <v/>
      </c>
    </row>
    <row r="254">
      <c r="C254" s="3"/>
      <c r="D254" s="3"/>
      <c r="E254" s="3" t="str">
        <f>'res269 Summer (old)'!C254</f>
        <v/>
      </c>
      <c r="F254" s="3" t="str">
        <f>'res269 Summer (old)'!D254</f>
        <v/>
      </c>
      <c r="G254" s="3" t="str">
        <f>'res269 Mary Shay'!C254</f>
        <v/>
      </c>
      <c r="H254" s="3" t="str">
        <f>'res269 Mary Shay'!D254</f>
        <v/>
      </c>
    </row>
    <row r="255">
      <c r="C255" s="3"/>
      <c r="D255" s="3"/>
      <c r="E255" s="3" t="str">
        <f>'res269 Summer (old)'!C255</f>
        <v/>
      </c>
      <c r="F255" s="3" t="str">
        <f>'res269 Summer (old)'!D255</f>
        <v/>
      </c>
      <c r="G255" s="3" t="str">
        <f>'res269 Mary Shay'!C255</f>
        <v/>
      </c>
      <c r="H255" s="3" t="str">
        <f>'res269 Mary Shay'!D255</f>
        <v/>
      </c>
    </row>
    <row r="256">
      <c r="C256" s="3"/>
      <c r="D256" s="3"/>
      <c r="E256" s="3" t="str">
        <f>'res269 Summer (old)'!C256</f>
        <v/>
      </c>
      <c r="F256" s="3" t="str">
        <f>'res269 Summer (old)'!D256</f>
        <v/>
      </c>
      <c r="G256" s="3" t="str">
        <f>'res269 Mary Shay'!C256</f>
        <v/>
      </c>
      <c r="H256" s="3" t="str">
        <f>'res269 Mary Shay'!D256</f>
        <v/>
      </c>
    </row>
    <row r="257">
      <c r="C257" s="3"/>
      <c r="D257" s="3"/>
      <c r="E257" s="3" t="str">
        <f>'res269 Summer (old)'!C257</f>
        <v/>
      </c>
      <c r="F257" s="3" t="str">
        <f>'res269 Summer (old)'!D257</f>
        <v/>
      </c>
      <c r="G257" s="3" t="str">
        <f>'res269 Mary Shay'!C257</f>
        <v/>
      </c>
      <c r="H257" s="3" t="str">
        <f>'res269 Mary Shay'!D257</f>
        <v/>
      </c>
    </row>
    <row r="258">
      <c r="C258" s="3"/>
      <c r="D258" s="3"/>
      <c r="E258" s="3" t="str">
        <f>'res269 Summer (old)'!C258</f>
        <v/>
      </c>
      <c r="F258" s="3" t="str">
        <f>'res269 Summer (old)'!D258</f>
        <v/>
      </c>
      <c r="G258" s="3" t="str">
        <f>'res269 Mary Shay'!C258</f>
        <v/>
      </c>
      <c r="H258" s="3" t="str">
        <f>'res269 Mary Shay'!D258</f>
        <v/>
      </c>
    </row>
    <row r="259">
      <c r="C259" s="3"/>
      <c r="D259" s="3"/>
      <c r="E259" s="3" t="str">
        <f>'res269 Summer (old)'!C259</f>
        <v/>
      </c>
      <c r="F259" s="3" t="str">
        <f>'res269 Summer (old)'!D259</f>
        <v/>
      </c>
      <c r="G259" s="3" t="str">
        <f>'res269 Mary Shay'!C259</f>
        <v/>
      </c>
      <c r="H259" s="3" t="str">
        <f>'res269 Mary Shay'!D259</f>
        <v/>
      </c>
    </row>
    <row r="260">
      <c r="C260" s="3"/>
      <c r="D260" s="3"/>
      <c r="E260" s="3" t="str">
        <f>'res269 Summer (old)'!C260</f>
        <v/>
      </c>
      <c r="F260" s="3" t="str">
        <f>'res269 Summer (old)'!D260</f>
        <v/>
      </c>
      <c r="G260" s="3" t="str">
        <f>'res269 Mary Shay'!C260</f>
        <v/>
      </c>
      <c r="H260" s="3" t="str">
        <f>'res269 Mary Shay'!D260</f>
        <v/>
      </c>
    </row>
    <row r="261">
      <c r="C261" s="3"/>
      <c r="D261" s="3"/>
      <c r="E261" s="3" t="str">
        <f>'res269 Summer (old)'!C261</f>
        <v/>
      </c>
      <c r="F261" s="3" t="str">
        <f>'res269 Summer (old)'!D261</f>
        <v/>
      </c>
      <c r="G261" s="3" t="str">
        <f>'res269 Mary Shay'!C261</f>
        <v/>
      </c>
      <c r="H261" s="3" t="str">
        <f>'res269 Mary Shay'!D261</f>
        <v/>
      </c>
    </row>
    <row r="262">
      <c r="C262" s="3"/>
      <c r="D262" s="3"/>
      <c r="E262" s="3" t="str">
        <f>'res269 Summer (old)'!C262</f>
        <v/>
      </c>
      <c r="F262" s="3" t="str">
        <f>'res269 Summer (old)'!D262</f>
        <v/>
      </c>
      <c r="G262" s="3" t="str">
        <f>'res269 Mary Shay'!C262</f>
        <v/>
      </c>
      <c r="H262" s="3" t="str">
        <f>'res269 Mary Shay'!D262</f>
        <v/>
      </c>
    </row>
    <row r="263">
      <c r="C263" s="3"/>
      <c r="D263" s="3"/>
      <c r="E263" s="3" t="str">
        <f>'res269 Summer (old)'!C263</f>
        <v/>
      </c>
      <c r="F263" s="3" t="str">
        <f>'res269 Summer (old)'!D263</f>
        <v/>
      </c>
      <c r="G263" s="3" t="str">
        <f>'res269 Mary Shay'!C263</f>
        <v/>
      </c>
      <c r="H263" s="3" t="str">
        <f>'res269 Mary Shay'!D263</f>
        <v/>
      </c>
    </row>
    <row r="264">
      <c r="C264" s="3"/>
      <c r="D264" s="3"/>
      <c r="E264" s="3" t="str">
        <f>'res269 Summer (old)'!C264</f>
        <v/>
      </c>
      <c r="F264" s="3" t="str">
        <f>'res269 Summer (old)'!D264</f>
        <v/>
      </c>
      <c r="G264" s="3" t="str">
        <f>'res269 Mary Shay'!C264</f>
        <v/>
      </c>
      <c r="H264" s="3" t="str">
        <f>'res269 Mary Shay'!D264</f>
        <v/>
      </c>
    </row>
    <row r="265">
      <c r="C265" s="3"/>
      <c r="D265" s="3"/>
      <c r="E265" s="3" t="str">
        <f>'res269 Summer (old)'!C265</f>
        <v/>
      </c>
      <c r="F265" s="3" t="str">
        <f>'res269 Summer (old)'!D265</f>
        <v/>
      </c>
      <c r="G265" s="3" t="str">
        <f>'res269 Mary Shay'!C265</f>
        <v/>
      </c>
      <c r="H265" s="3" t="str">
        <f>'res269 Mary Shay'!D265</f>
        <v/>
      </c>
    </row>
    <row r="266">
      <c r="C266" s="3"/>
      <c r="D266" s="3"/>
      <c r="E266" s="3" t="str">
        <f>'res269 Summer (old)'!C266</f>
        <v/>
      </c>
      <c r="F266" s="3" t="str">
        <f>'res269 Summer (old)'!D266</f>
        <v/>
      </c>
      <c r="G266" s="3" t="str">
        <f>'res269 Mary Shay'!C266</f>
        <v/>
      </c>
      <c r="H266" s="3" t="str">
        <f>'res269 Mary Shay'!D266</f>
        <v/>
      </c>
    </row>
    <row r="267">
      <c r="C267" s="3"/>
      <c r="D267" s="3"/>
      <c r="E267" s="3" t="str">
        <f>'res269 Summer (old)'!C267</f>
        <v/>
      </c>
      <c r="F267" s="3" t="str">
        <f>'res269 Summer (old)'!D267</f>
        <v/>
      </c>
      <c r="G267" s="3" t="str">
        <f>'res269 Mary Shay'!C267</f>
        <v/>
      </c>
      <c r="H267" s="3" t="str">
        <f>'res269 Mary Shay'!D267</f>
        <v/>
      </c>
    </row>
    <row r="268">
      <c r="C268" s="3"/>
      <c r="D268" s="3"/>
      <c r="E268" s="3" t="str">
        <f>'res269 Summer (old)'!C268</f>
        <v/>
      </c>
      <c r="F268" s="3" t="str">
        <f>'res269 Summer (old)'!D268</f>
        <v/>
      </c>
      <c r="G268" s="3" t="str">
        <f>'res269 Mary Shay'!C268</f>
        <v/>
      </c>
      <c r="H268" s="3" t="str">
        <f>'res269 Mary Shay'!D268</f>
        <v/>
      </c>
    </row>
    <row r="269">
      <c r="C269" s="3"/>
      <c r="D269" s="3"/>
      <c r="E269" s="3" t="str">
        <f>'res269 Summer (old)'!C269</f>
        <v/>
      </c>
      <c r="F269" s="3" t="str">
        <f>'res269 Summer (old)'!D269</f>
        <v/>
      </c>
      <c r="G269" s="3" t="str">
        <f>'res269 Mary Shay'!C269</f>
        <v/>
      </c>
      <c r="H269" s="3" t="str">
        <f>'res269 Mary Shay'!D269</f>
        <v/>
      </c>
    </row>
    <row r="270">
      <c r="C270" s="3"/>
      <c r="D270" s="3"/>
      <c r="E270" s="3" t="str">
        <f>'res269 Summer (old)'!C270</f>
        <v/>
      </c>
      <c r="F270" s="3" t="str">
        <f>'res269 Summer (old)'!D270</f>
        <v/>
      </c>
      <c r="G270" s="3" t="str">
        <f>'res269 Mary Shay'!C270</f>
        <v/>
      </c>
      <c r="H270" s="3" t="str">
        <f>'res269 Mary Shay'!D270</f>
        <v/>
      </c>
    </row>
    <row r="271">
      <c r="C271" s="3"/>
      <c r="D271" s="3"/>
      <c r="E271" s="3" t="str">
        <f>'res269 Summer (old)'!C271</f>
        <v/>
      </c>
      <c r="F271" s="3" t="str">
        <f>'res269 Summer (old)'!D271</f>
        <v/>
      </c>
      <c r="G271" s="3" t="str">
        <f>'res269 Mary Shay'!C271</f>
        <v/>
      </c>
      <c r="H271" s="3" t="str">
        <f>'res269 Mary Shay'!D271</f>
        <v/>
      </c>
    </row>
    <row r="272">
      <c r="C272" s="3"/>
      <c r="D272" s="3"/>
      <c r="E272" s="3" t="str">
        <f>'res269 Summer (old)'!C272</f>
        <v/>
      </c>
      <c r="F272" s="3" t="str">
        <f>'res269 Summer (old)'!D272</f>
        <v/>
      </c>
      <c r="G272" s="3" t="str">
        <f>'res269 Mary Shay'!C272</f>
        <v/>
      </c>
      <c r="H272" s="3" t="str">
        <f>'res269 Mary Shay'!D272</f>
        <v/>
      </c>
    </row>
    <row r="273">
      <c r="C273" s="3"/>
      <c r="D273" s="3"/>
      <c r="E273" s="3" t="str">
        <f>'res269 Summer (old)'!C273</f>
        <v/>
      </c>
      <c r="F273" s="3" t="str">
        <f>'res269 Summer (old)'!D273</f>
        <v/>
      </c>
      <c r="G273" s="3" t="str">
        <f>'res269 Mary Shay'!C273</f>
        <v/>
      </c>
      <c r="H273" s="3" t="str">
        <f>'res269 Mary Shay'!D273</f>
        <v/>
      </c>
    </row>
    <row r="274">
      <c r="C274" s="3"/>
      <c r="D274" s="3"/>
      <c r="E274" s="3" t="str">
        <f>'res269 Summer (old)'!C274</f>
        <v/>
      </c>
      <c r="F274" s="3" t="str">
        <f>'res269 Summer (old)'!D274</f>
        <v/>
      </c>
      <c r="G274" s="3" t="str">
        <f>'res269 Mary Shay'!C274</f>
        <v/>
      </c>
      <c r="H274" s="3" t="str">
        <f>'res269 Mary Shay'!D274</f>
        <v/>
      </c>
    </row>
    <row r="275">
      <c r="C275" s="3"/>
      <c r="D275" s="3"/>
      <c r="E275" s="3" t="str">
        <f>'res269 Summer (old)'!C275</f>
        <v/>
      </c>
      <c r="F275" s="3" t="str">
        <f>'res269 Summer (old)'!D275</f>
        <v/>
      </c>
      <c r="G275" s="3" t="str">
        <f>'res269 Mary Shay'!C275</f>
        <v/>
      </c>
      <c r="H275" s="3" t="str">
        <f>'res269 Mary Shay'!D275</f>
        <v/>
      </c>
    </row>
    <row r="276">
      <c r="C276" s="3"/>
      <c r="D276" s="3"/>
      <c r="E276" s="3" t="str">
        <f>'res269 Summer (old)'!C276</f>
        <v/>
      </c>
      <c r="F276" s="3" t="str">
        <f>'res269 Summer (old)'!D276</f>
        <v/>
      </c>
      <c r="G276" s="3" t="str">
        <f>'res269 Mary Shay'!C276</f>
        <v/>
      </c>
      <c r="H276" s="3" t="str">
        <f>'res269 Mary Shay'!D276</f>
        <v/>
      </c>
    </row>
    <row r="277">
      <c r="C277" s="3"/>
      <c r="D277" s="3"/>
      <c r="E277" s="3" t="str">
        <f>'res269 Summer (old)'!C277</f>
        <v/>
      </c>
      <c r="F277" s="3" t="str">
        <f>'res269 Summer (old)'!D277</f>
        <v/>
      </c>
      <c r="G277" s="3" t="str">
        <f>'res269 Mary Shay'!C277</f>
        <v/>
      </c>
      <c r="H277" s="3" t="str">
        <f>'res269 Mary Shay'!D277</f>
        <v/>
      </c>
    </row>
    <row r="278">
      <c r="C278" s="3"/>
      <c r="D278" s="3"/>
      <c r="E278" s="3" t="str">
        <f>'res269 Summer (old)'!C278</f>
        <v/>
      </c>
      <c r="F278" s="3" t="str">
        <f>'res269 Summer (old)'!D278</f>
        <v/>
      </c>
      <c r="G278" s="3" t="str">
        <f>'res269 Mary Shay'!C278</f>
        <v/>
      </c>
      <c r="H278" s="3" t="str">
        <f>'res269 Mary Shay'!D278</f>
        <v/>
      </c>
    </row>
    <row r="279">
      <c r="C279" s="3"/>
      <c r="D279" s="3"/>
      <c r="E279" s="3" t="str">
        <f>'res269 Summer (old)'!C279</f>
        <v/>
      </c>
      <c r="F279" s="3" t="str">
        <f>'res269 Summer (old)'!D279</f>
        <v/>
      </c>
      <c r="G279" s="3" t="str">
        <f>'res269 Mary Shay'!C279</f>
        <v/>
      </c>
      <c r="H279" s="3" t="str">
        <f>'res269 Mary Shay'!D279</f>
        <v/>
      </c>
    </row>
    <row r="280">
      <c r="C280" s="3"/>
      <c r="D280" s="3"/>
      <c r="E280" s="3" t="str">
        <f>'res269 Summer (old)'!C280</f>
        <v/>
      </c>
      <c r="F280" s="3" t="str">
        <f>'res269 Summer (old)'!D280</f>
        <v/>
      </c>
      <c r="G280" s="3" t="str">
        <f>'res269 Mary Shay'!C280</f>
        <v/>
      </c>
      <c r="H280" s="3" t="str">
        <f>'res269 Mary Shay'!D280</f>
        <v/>
      </c>
    </row>
    <row r="281">
      <c r="C281" s="3"/>
      <c r="D281" s="3"/>
      <c r="E281" s="3" t="str">
        <f>'res269 Summer (old)'!C281</f>
        <v/>
      </c>
      <c r="F281" s="3" t="str">
        <f>'res269 Summer (old)'!D281</f>
        <v/>
      </c>
      <c r="G281" s="3" t="str">
        <f>'res269 Mary Shay'!C281</f>
        <v/>
      </c>
      <c r="H281" s="3" t="str">
        <f>'res269 Mary Shay'!D281</f>
        <v/>
      </c>
    </row>
    <row r="282">
      <c r="C282" s="3"/>
      <c r="D282" s="3"/>
      <c r="E282" s="3" t="str">
        <f>'res269 Summer (old)'!C282</f>
        <v/>
      </c>
      <c r="F282" s="3" t="str">
        <f>'res269 Summer (old)'!D282</f>
        <v/>
      </c>
      <c r="G282" s="3" t="str">
        <f>'res269 Mary Shay'!C282</f>
        <v/>
      </c>
      <c r="H282" s="3" t="str">
        <f>'res269 Mary Shay'!D282</f>
        <v/>
      </c>
    </row>
    <row r="283">
      <c r="C283" s="3"/>
      <c r="D283" s="3"/>
      <c r="E283" s="3" t="str">
        <f>'res269 Summer (old)'!C283</f>
        <v/>
      </c>
      <c r="F283" s="3" t="str">
        <f>'res269 Summer (old)'!D283</f>
        <v/>
      </c>
      <c r="G283" s="3" t="str">
        <f>'res269 Mary Shay'!C283</f>
        <v/>
      </c>
      <c r="H283" s="3" t="str">
        <f>'res269 Mary Shay'!D283</f>
        <v/>
      </c>
    </row>
    <row r="284">
      <c r="C284" s="3"/>
      <c r="D284" s="3"/>
      <c r="E284" s="3" t="str">
        <f>'res269 Summer (old)'!C284</f>
        <v/>
      </c>
      <c r="F284" s="3" t="str">
        <f>'res269 Summer (old)'!D284</f>
        <v/>
      </c>
      <c r="G284" s="3" t="str">
        <f>'res269 Mary Shay'!C284</f>
        <v/>
      </c>
      <c r="H284" s="3" t="str">
        <f>'res269 Mary Shay'!D284</f>
        <v/>
      </c>
    </row>
    <row r="285">
      <c r="C285" s="3"/>
      <c r="D285" s="3"/>
      <c r="E285" s="3" t="str">
        <f>'res269 Summer (old)'!C285</f>
        <v/>
      </c>
      <c r="F285" s="3" t="str">
        <f>'res269 Summer (old)'!D285</f>
        <v/>
      </c>
      <c r="G285" s="3" t="str">
        <f>'res269 Mary Shay'!C285</f>
        <v/>
      </c>
      <c r="H285" s="3" t="str">
        <f>'res269 Mary Shay'!D285</f>
        <v/>
      </c>
    </row>
    <row r="286">
      <c r="C286" s="3"/>
      <c r="D286" s="3"/>
      <c r="E286" s="3" t="str">
        <f>'res269 Summer (old)'!C286</f>
        <v/>
      </c>
      <c r="F286" s="3" t="str">
        <f>'res269 Summer (old)'!D286</f>
        <v/>
      </c>
      <c r="G286" s="3" t="str">
        <f>'res269 Mary Shay'!C286</f>
        <v/>
      </c>
      <c r="H286" s="3" t="str">
        <f>'res269 Mary Shay'!D286</f>
        <v/>
      </c>
    </row>
    <row r="287">
      <c r="C287" s="3"/>
      <c r="D287" s="3"/>
      <c r="E287" s="3" t="str">
        <f>'res269 Summer (old)'!C287</f>
        <v/>
      </c>
      <c r="F287" s="3" t="str">
        <f>'res269 Summer (old)'!D287</f>
        <v/>
      </c>
      <c r="G287" s="3" t="str">
        <f>'res269 Mary Shay'!C287</f>
        <v/>
      </c>
      <c r="H287" s="3" t="str">
        <f>'res269 Mary Shay'!D287</f>
        <v/>
      </c>
    </row>
    <row r="288">
      <c r="C288" s="3"/>
      <c r="D288" s="3"/>
      <c r="E288" s="3" t="str">
        <f>'res269 Summer (old)'!C288</f>
        <v/>
      </c>
      <c r="F288" s="3" t="str">
        <f>'res269 Summer (old)'!D288</f>
        <v/>
      </c>
      <c r="G288" s="3" t="str">
        <f>'res269 Mary Shay'!C288</f>
        <v/>
      </c>
      <c r="H288" s="3" t="str">
        <f>'res269 Mary Shay'!D288</f>
        <v/>
      </c>
    </row>
    <row r="289">
      <c r="C289" s="3"/>
      <c r="D289" s="3"/>
      <c r="E289" s="3" t="str">
        <f>'res269 Summer (old)'!C289</f>
        <v/>
      </c>
      <c r="F289" s="3" t="str">
        <f>'res269 Summer (old)'!D289</f>
        <v/>
      </c>
      <c r="G289" s="3" t="str">
        <f>'res269 Mary Shay'!C289</f>
        <v/>
      </c>
      <c r="H289" s="3" t="str">
        <f>'res269 Mary Shay'!D289</f>
        <v/>
      </c>
    </row>
    <row r="290">
      <c r="C290" s="3"/>
      <c r="D290" s="3"/>
      <c r="E290" s="3" t="str">
        <f>'res269 Summer (old)'!C290</f>
        <v/>
      </c>
      <c r="F290" s="3" t="str">
        <f>'res269 Summer (old)'!D290</f>
        <v/>
      </c>
      <c r="G290" s="3" t="str">
        <f>'res269 Mary Shay'!C290</f>
        <v/>
      </c>
      <c r="H290" s="3" t="str">
        <f>'res269 Mary Shay'!D290</f>
        <v/>
      </c>
    </row>
    <row r="291">
      <c r="C291" s="3"/>
      <c r="D291" s="3"/>
      <c r="E291" s="3" t="str">
        <f>'res269 Summer (old)'!C291</f>
        <v/>
      </c>
      <c r="F291" s="3" t="str">
        <f>'res269 Summer (old)'!D291</f>
        <v/>
      </c>
      <c r="G291" s="3" t="str">
        <f>'res269 Mary Shay'!C291</f>
        <v/>
      </c>
      <c r="H291" s="3" t="str">
        <f>'res269 Mary Shay'!D291</f>
        <v/>
      </c>
    </row>
    <row r="292">
      <c r="C292" s="3"/>
      <c r="D292" s="3"/>
      <c r="E292" s="3" t="str">
        <f>'res269 Summer (old)'!C292</f>
        <v/>
      </c>
      <c r="F292" s="3" t="str">
        <f>'res269 Summer (old)'!D292</f>
        <v/>
      </c>
      <c r="G292" s="3" t="str">
        <f>'res269 Mary Shay'!C292</f>
        <v/>
      </c>
      <c r="H292" s="3" t="str">
        <f>'res269 Mary Shay'!D292</f>
        <v/>
      </c>
    </row>
    <row r="293">
      <c r="C293" s="3"/>
      <c r="D293" s="3"/>
      <c r="E293" s="3" t="str">
        <f>'res269 Summer (old)'!C293</f>
        <v/>
      </c>
      <c r="F293" s="3" t="str">
        <f>'res269 Summer (old)'!D293</f>
        <v/>
      </c>
      <c r="G293" s="3" t="str">
        <f>'res269 Mary Shay'!C293</f>
        <v/>
      </c>
      <c r="H293" s="3" t="str">
        <f>'res269 Mary Shay'!D293</f>
        <v/>
      </c>
    </row>
    <row r="294">
      <c r="C294" s="3"/>
      <c r="D294" s="3"/>
      <c r="E294" s="3" t="str">
        <f>'res269 Summer (old)'!C294</f>
        <v/>
      </c>
      <c r="F294" s="3" t="str">
        <f>'res269 Summer (old)'!D294</f>
        <v/>
      </c>
      <c r="G294" s="3" t="str">
        <f>'res269 Mary Shay'!C294</f>
        <v/>
      </c>
      <c r="H294" s="3" t="str">
        <f>'res269 Mary Shay'!D294</f>
        <v/>
      </c>
    </row>
    <row r="295">
      <c r="C295" s="3"/>
      <c r="D295" s="3"/>
      <c r="E295" s="3" t="str">
        <f>'res269 Summer (old)'!C295</f>
        <v/>
      </c>
      <c r="F295" s="3" t="str">
        <f>'res269 Summer (old)'!D295</f>
        <v/>
      </c>
      <c r="G295" s="3" t="str">
        <f>'res269 Mary Shay'!C295</f>
        <v/>
      </c>
      <c r="H295" s="3" t="str">
        <f>'res269 Mary Shay'!D295</f>
        <v/>
      </c>
    </row>
    <row r="296">
      <c r="C296" s="3"/>
      <c r="D296" s="3"/>
      <c r="E296" s="3" t="str">
        <f>'res269 Summer (old)'!C296</f>
        <v/>
      </c>
      <c r="F296" s="3" t="str">
        <f>'res269 Summer (old)'!D296</f>
        <v/>
      </c>
      <c r="G296" s="3" t="str">
        <f>'res269 Mary Shay'!C296</f>
        <v/>
      </c>
      <c r="H296" s="3" t="str">
        <f>'res269 Mary Shay'!D296</f>
        <v/>
      </c>
    </row>
    <row r="297">
      <c r="C297" s="3"/>
      <c r="D297" s="3"/>
      <c r="E297" s="3" t="str">
        <f>'res269 Summer (old)'!C297</f>
        <v/>
      </c>
      <c r="F297" s="3" t="str">
        <f>'res269 Summer (old)'!D297</f>
        <v/>
      </c>
      <c r="G297" s="3" t="str">
        <f>'res269 Mary Shay'!C297</f>
        <v/>
      </c>
      <c r="H297" s="3" t="str">
        <f>'res269 Mary Shay'!D297</f>
        <v/>
      </c>
    </row>
    <row r="298">
      <c r="C298" s="3"/>
      <c r="D298" s="3"/>
      <c r="E298" s="3" t="str">
        <f>'res269 Summer (old)'!C298</f>
        <v/>
      </c>
      <c r="F298" s="3" t="str">
        <f>'res269 Summer (old)'!D298</f>
        <v/>
      </c>
      <c r="G298" s="3" t="str">
        <f>'res269 Mary Shay'!C298</f>
        <v/>
      </c>
      <c r="H298" s="3" t="str">
        <f>'res269 Mary Shay'!D298</f>
        <v/>
      </c>
    </row>
    <row r="299">
      <c r="C299" s="3"/>
      <c r="D299" s="3"/>
      <c r="E299" s="3" t="str">
        <f>'res269 Summer (old)'!C299</f>
        <v/>
      </c>
      <c r="F299" s="3" t="str">
        <f>'res269 Summer (old)'!D299</f>
        <v/>
      </c>
      <c r="G299" s="3" t="str">
        <f>'res269 Mary Shay'!C299</f>
        <v/>
      </c>
      <c r="H299" s="3" t="str">
        <f>'res269 Mary Shay'!D299</f>
        <v/>
      </c>
    </row>
    <row r="300">
      <c r="C300" s="3"/>
      <c r="D300" s="3"/>
      <c r="E300" s="3" t="str">
        <f>'res269 Summer (old)'!C300</f>
        <v/>
      </c>
      <c r="F300" s="3" t="str">
        <f>'res269 Summer (old)'!D300</f>
        <v/>
      </c>
      <c r="G300" s="3" t="str">
        <f>'res269 Mary Shay'!C300</f>
        <v/>
      </c>
      <c r="H300" s="3" t="str">
        <f>'res269 Mary Shay'!D300</f>
        <v/>
      </c>
    </row>
    <row r="301">
      <c r="C301" s="3"/>
      <c r="D301" s="3"/>
      <c r="E301" s="3" t="str">
        <f>'res269 Summer (old)'!C301</f>
        <v/>
      </c>
      <c r="F301" s="3" t="str">
        <f>'res269 Summer (old)'!D301</f>
        <v/>
      </c>
      <c r="G301" s="3" t="str">
        <f>'res269 Mary Shay'!C301</f>
        <v/>
      </c>
      <c r="H301" s="3" t="str">
        <f>'res269 Mary Shay'!D301</f>
        <v/>
      </c>
    </row>
    <row r="302">
      <c r="C302" s="3"/>
      <c r="D302" s="3"/>
      <c r="E302" s="3" t="str">
        <f>'res269 Summer (old)'!C302</f>
        <v/>
      </c>
      <c r="F302" s="3" t="str">
        <f>'res269 Summer (old)'!D302</f>
        <v/>
      </c>
      <c r="G302" s="3" t="str">
        <f>'res269 Mary Shay'!C302</f>
        <v/>
      </c>
      <c r="H302" s="3" t="str">
        <f>'res269 Mary Shay'!D302</f>
        <v/>
      </c>
    </row>
    <row r="303">
      <c r="C303" s="3"/>
      <c r="D303" s="3"/>
      <c r="E303" s="3" t="str">
        <f>'res269 Summer (old)'!C303</f>
        <v/>
      </c>
      <c r="F303" s="3" t="str">
        <f>'res269 Summer (old)'!D303</f>
        <v/>
      </c>
      <c r="G303" s="3" t="str">
        <f>'res269 Mary Shay'!C303</f>
        <v/>
      </c>
      <c r="H303" s="3" t="str">
        <f>'res269 Mary Shay'!D303</f>
        <v/>
      </c>
    </row>
    <row r="304">
      <c r="C304" s="3"/>
      <c r="D304" s="3"/>
      <c r="E304" s="3" t="str">
        <f>'res269 Summer (old)'!C304</f>
        <v/>
      </c>
      <c r="F304" s="3" t="str">
        <f>'res269 Summer (old)'!D304</f>
        <v/>
      </c>
      <c r="G304" s="3" t="str">
        <f>'res269 Mary Shay'!C304</f>
        <v/>
      </c>
      <c r="H304" s="3" t="str">
        <f>'res269 Mary Shay'!D304</f>
        <v/>
      </c>
    </row>
    <row r="305">
      <c r="C305" s="3"/>
      <c r="D305" s="3"/>
      <c r="E305" s="3" t="str">
        <f>'res269 Summer (old)'!C305</f>
        <v/>
      </c>
      <c r="F305" s="3" t="str">
        <f>'res269 Summer (old)'!D305</f>
        <v/>
      </c>
      <c r="G305" s="3" t="str">
        <f>'res269 Mary Shay'!C305</f>
        <v/>
      </c>
      <c r="H305" s="3" t="str">
        <f>'res269 Mary Shay'!D305</f>
        <v/>
      </c>
    </row>
    <row r="306">
      <c r="C306" s="3"/>
      <c r="D306" s="3"/>
      <c r="E306" s="3" t="str">
        <f>'res269 Summer (old)'!C306</f>
        <v/>
      </c>
      <c r="F306" s="3" t="str">
        <f>'res269 Summer (old)'!D306</f>
        <v/>
      </c>
      <c r="G306" s="3" t="str">
        <f>'res269 Mary Shay'!C306</f>
        <v/>
      </c>
      <c r="H306" s="3" t="str">
        <f>'res269 Mary Shay'!D306</f>
        <v/>
      </c>
    </row>
    <row r="307">
      <c r="C307" s="3"/>
      <c r="D307" s="3"/>
      <c r="E307" s="3" t="str">
        <f>'res269 Summer (old)'!C307</f>
        <v/>
      </c>
      <c r="F307" s="3" t="str">
        <f>'res269 Summer (old)'!D307</f>
        <v/>
      </c>
      <c r="G307" s="3" t="str">
        <f>'res269 Mary Shay'!C307</f>
        <v/>
      </c>
      <c r="H307" s="3" t="str">
        <f>'res269 Mary Shay'!D307</f>
        <v/>
      </c>
    </row>
    <row r="308">
      <c r="C308" s="3"/>
      <c r="D308" s="3"/>
      <c r="E308" s="3" t="str">
        <f>'res269 Summer (old)'!C308</f>
        <v/>
      </c>
      <c r="F308" s="3" t="str">
        <f>'res269 Summer (old)'!D308</f>
        <v/>
      </c>
      <c r="G308" s="3" t="str">
        <f>'res269 Mary Shay'!C308</f>
        <v/>
      </c>
      <c r="H308" s="3" t="str">
        <f>'res269 Mary Shay'!D308</f>
        <v/>
      </c>
    </row>
    <row r="309">
      <c r="C309" s="3"/>
      <c r="D309" s="3"/>
      <c r="E309" s="3" t="str">
        <f>'res269 Summer (old)'!C309</f>
        <v/>
      </c>
      <c r="F309" s="3" t="str">
        <f>'res269 Summer (old)'!D309</f>
        <v/>
      </c>
      <c r="G309" s="3" t="str">
        <f>'res269 Mary Shay'!C309</f>
        <v/>
      </c>
      <c r="H309" s="3" t="str">
        <f>'res269 Mary Shay'!D309</f>
        <v/>
      </c>
    </row>
    <row r="310">
      <c r="C310" s="3"/>
      <c r="D310" s="3"/>
      <c r="E310" s="3" t="str">
        <f>'res269 Summer (old)'!C310</f>
        <v/>
      </c>
      <c r="F310" s="3" t="str">
        <f>'res269 Summer (old)'!D310</f>
        <v/>
      </c>
      <c r="G310" s="3" t="str">
        <f>'res269 Mary Shay'!C310</f>
        <v/>
      </c>
      <c r="H310" s="3" t="str">
        <f>'res269 Mary Shay'!D310</f>
        <v/>
      </c>
    </row>
    <row r="311">
      <c r="C311" s="3"/>
      <c r="D311" s="3"/>
      <c r="E311" s="3" t="str">
        <f>'res269 Summer (old)'!C311</f>
        <v/>
      </c>
      <c r="F311" s="3" t="str">
        <f>'res269 Summer (old)'!D311</f>
        <v/>
      </c>
      <c r="G311" s="3" t="str">
        <f>'res269 Mary Shay'!C311</f>
        <v/>
      </c>
      <c r="H311" s="3" t="str">
        <f>'res269 Mary Shay'!D311</f>
        <v/>
      </c>
    </row>
    <row r="312">
      <c r="C312" s="5"/>
      <c r="D312" s="5"/>
      <c r="E312" s="5"/>
      <c r="F312" s="5"/>
      <c r="G312" s="5"/>
      <c r="H312" s="5"/>
    </row>
    <row r="313">
      <c r="C313" s="5"/>
      <c r="D313" s="5"/>
      <c r="E313" s="5"/>
      <c r="F313" s="5"/>
      <c r="G313" s="5"/>
      <c r="H313" s="5"/>
    </row>
    <row r="314">
      <c r="C314" s="5"/>
      <c r="D314" s="5"/>
      <c r="E314" s="5"/>
      <c r="F314" s="5"/>
      <c r="G314" s="5"/>
      <c r="H314" s="5"/>
    </row>
    <row r="315">
      <c r="C315" s="5"/>
      <c r="D315" s="5"/>
      <c r="E315" s="5"/>
      <c r="F315" s="5"/>
      <c r="G315" s="5"/>
      <c r="H315" s="5"/>
    </row>
    <row r="316">
      <c r="C316" s="5"/>
      <c r="D316" s="5"/>
      <c r="E316" s="5"/>
      <c r="F316" s="5"/>
      <c r="G316" s="5"/>
      <c r="H316" s="5"/>
    </row>
    <row r="317">
      <c r="C317" s="5"/>
      <c r="D317" s="5"/>
      <c r="E317" s="5"/>
      <c r="F317" s="5"/>
      <c r="G317" s="5"/>
      <c r="H317" s="5"/>
    </row>
    <row r="318">
      <c r="C318" s="5"/>
      <c r="D318" s="5"/>
      <c r="E318" s="5"/>
      <c r="F318" s="5"/>
      <c r="G318" s="5"/>
      <c r="H318" s="5"/>
    </row>
    <row r="319">
      <c r="C319" s="5"/>
      <c r="D319" s="5"/>
      <c r="E319" s="5"/>
      <c r="F319" s="5"/>
      <c r="G319" s="5"/>
      <c r="H319" s="5"/>
    </row>
    <row r="320">
      <c r="C320" s="5"/>
      <c r="D320" s="5"/>
      <c r="E320" s="5"/>
      <c r="F320" s="5"/>
      <c r="G320" s="5"/>
      <c r="H320" s="5"/>
    </row>
    <row r="321">
      <c r="C321" s="5"/>
      <c r="D321" s="5"/>
      <c r="E321" s="5"/>
      <c r="F321" s="5"/>
      <c r="G321" s="5"/>
      <c r="H321" s="5"/>
    </row>
    <row r="322">
      <c r="C322" s="5"/>
      <c r="D322" s="5"/>
      <c r="E322" s="5"/>
      <c r="F322" s="5"/>
      <c r="G322" s="5"/>
      <c r="H322" s="5"/>
    </row>
    <row r="323">
      <c r="C323" s="5"/>
      <c r="D323" s="5"/>
      <c r="E323" s="5"/>
      <c r="F323" s="5"/>
      <c r="G323" s="5"/>
      <c r="H323" s="5"/>
    </row>
    <row r="324">
      <c r="C324" s="5"/>
      <c r="D324" s="5"/>
      <c r="E324" s="5"/>
      <c r="F324" s="5"/>
      <c r="G324" s="5"/>
      <c r="H324" s="5"/>
    </row>
    <row r="325">
      <c r="C325" s="5"/>
      <c r="D325" s="5"/>
      <c r="E325" s="5"/>
      <c r="F325" s="5"/>
      <c r="G325" s="5"/>
      <c r="H325" s="5"/>
    </row>
    <row r="326">
      <c r="C326" s="5"/>
      <c r="D326" s="5"/>
      <c r="E326" s="5"/>
      <c r="F326" s="5"/>
      <c r="G326" s="5"/>
      <c r="H326" s="5"/>
    </row>
    <row r="327">
      <c r="C327" s="5"/>
      <c r="D327" s="5"/>
      <c r="E327" s="5"/>
      <c r="F327" s="5"/>
      <c r="G327" s="5"/>
      <c r="H327" s="5"/>
    </row>
    <row r="328">
      <c r="C328" s="5"/>
      <c r="D328" s="5"/>
      <c r="E328" s="5"/>
      <c r="F328" s="5"/>
      <c r="G328" s="5"/>
      <c r="H328" s="5"/>
    </row>
    <row r="329">
      <c r="C329" s="5"/>
      <c r="D329" s="5"/>
      <c r="E329" s="5"/>
      <c r="F329" s="5"/>
      <c r="G329" s="5"/>
      <c r="H329" s="5"/>
    </row>
    <row r="330">
      <c r="C330" s="5"/>
      <c r="D330" s="5"/>
      <c r="E330" s="5"/>
      <c r="F330" s="5"/>
      <c r="G330" s="5"/>
      <c r="H330" s="5"/>
    </row>
    <row r="331">
      <c r="C331" s="5"/>
      <c r="D331" s="5"/>
      <c r="E331" s="5"/>
      <c r="F331" s="5"/>
      <c r="G331" s="5"/>
      <c r="H331" s="5"/>
    </row>
    <row r="332">
      <c r="C332" s="5"/>
      <c r="D332" s="5"/>
      <c r="E332" s="5"/>
      <c r="F332" s="5"/>
      <c r="G332" s="5"/>
      <c r="H332" s="5"/>
    </row>
    <row r="333">
      <c r="C333" s="5"/>
      <c r="D333" s="5"/>
      <c r="E333" s="5"/>
      <c r="F333" s="5"/>
      <c r="G333" s="5"/>
      <c r="H333" s="5"/>
    </row>
    <row r="334">
      <c r="C334" s="5"/>
      <c r="D334" s="5"/>
      <c r="E334" s="5"/>
      <c r="F334" s="5"/>
      <c r="G334" s="5"/>
      <c r="H334" s="5"/>
    </row>
    <row r="335">
      <c r="C335" s="5"/>
      <c r="D335" s="5"/>
      <c r="E335" s="5"/>
      <c r="F335" s="5"/>
      <c r="G335" s="5"/>
      <c r="H335" s="5"/>
    </row>
    <row r="336">
      <c r="C336" s="5"/>
      <c r="D336" s="5"/>
      <c r="E336" s="5"/>
      <c r="F336" s="5"/>
      <c r="G336" s="5"/>
      <c r="H336" s="5"/>
    </row>
    <row r="337">
      <c r="C337" s="5"/>
      <c r="D337" s="5"/>
      <c r="E337" s="5"/>
      <c r="F337" s="5"/>
      <c r="G337" s="5"/>
      <c r="H337" s="5"/>
    </row>
    <row r="338">
      <c r="C338" s="5"/>
      <c r="D338" s="5"/>
      <c r="E338" s="5"/>
      <c r="F338" s="5"/>
      <c r="G338" s="5"/>
      <c r="H338" s="5"/>
    </row>
    <row r="339">
      <c r="C339" s="5"/>
      <c r="D339" s="5"/>
      <c r="E339" s="5"/>
      <c r="F339" s="5"/>
      <c r="G339" s="5"/>
      <c r="H339" s="5"/>
    </row>
    <row r="340">
      <c r="C340" s="5"/>
      <c r="D340" s="5"/>
      <c r="E340" s="5"/>
      <c r="F340" s="5"/>
      <c r="G340" s="5"/>
      <c r="H340" s="5"/>
    </row>
    <row r="341">
      <c r="C341" s="5"/>
      <c r="D341" s="5"/>
      <c r="E341" s="5"/>
      <c r="F341" s="5"/>
      <c r="G341" s="5"/>
      <c r="H341" s="5"/>
    </row>
    <row r="342">
      <c r="C342" s="5"/>
      <c r="D342" s="5"/>
      <c r="E342" s="5"/>
      <c r="F342" s="5"/>
      <c r="G342" s="5"/>
      <c r="H342" s="5"/>
    </row>
    <row r="343">
      <c r="C343" s="5"/>
      <c r="D343" s="5"/>
      <c r="E343" s="5"/>
      <c r="F343" s="5"/>
      <c r="G343" s="5"/>
      <c r="H343" s="5"/>
    </row>
    <row r="344">
      <c r="C344" s="5"/>
      <c r="D344" s="5"/>
      <c r="E344" s="5"/>
      <c r="F344" s="5"/>
      <c r="G344" s="5"/>
      <c r="H344" s="5"/>
    </row>
    <row r="345">
      <c r="C345" s="5"/>
      <c r="D345" s="5"/>
      <c r="E345" s="5"/>
      <c r="F345" s="5"/>
      <c r="G345" s="5"/>
      <c r="H345" s="5"/>
    </row>
    <row r="346">
      <c r="C346" s="5"/>
      <c r="D346" s="5"/>
      <c r="E346" s="5"/>
      <c r="F346" s="5"/>
      <c r="G346" s="5"/>
      <c r="H346" s="5"/>
    </row>
    <row r="347">
      <c r="C347" s="5"/>
      <c r="D347" s="5"/>
      <c r="E347" s="5"/>
      <c r="F347" s="5"/>
      <c r="G347" s="5"/>
      <c r="H347" s="5"/>
    </row>
    <row r="348">
      <c r="C348" s="5"/>
      <c r="D348" s="5"/>
      <c r="E348" s="5"/>
      <c r="F348" s="5"/>
      <c r="G348" s="5"/>
      <c r="H348" s="5"/>
    </row>
    <row r="349">
      <c r="C349" s="5"/>
      <c r="D349" s="5"/>
      <c r="E349" s="5"/>
      <c r="F349" s="5"/>
      <c r="G349" s="5"/>
      <c r="H349" s="5"/>
    </row>
    <row r="350">
      <c r="C350" s="5"/>
      <c r="D350" s="5"/>
      <c r="E350" s="5"/>
      <c r="F350" s="5"/>
      <c r="G350" s="5"/>
      <c r="H350" s="5"/>
    </row>
    <row r="351">
      <c r="C351" s="5"/>
      <c r="D351" s="5"/>
      <c r="E351" s="5"/>
      <c r="F351" s="5"/>
      <c r="G351" s="5"/>
      <c r="H351" s="5"/>
    </row>
    <row r="352">
      <c r="C352" s="5"/>
      <c r="D352" s="5"/>
      <c r="E352" s="5"/>
      <c r="F352" s="5"/>
      <c r="G352" s="5"/>
      <c r="H352" s="5"/>
    </row>
    <row r="353">
      <c r="C353" s="5"/>
      <c r="D353" s="5"/>
      <c r="E353" s="5"/>
      <c r="F353" s="5"/>
      <c r="G353" s="5"/>
      <c r="H353" s="5"/>
    </row>
    <row r="354">
      <c r="C354" s="5"/>
      <c r="D354" s="5"/>
      <c r="E354" s="5"/>
      <c r="F354" s="5"/>
      <c r="G354" s="5"/>
      <c r="H354" s="5"/>
    </row>
    <row r="355">
      <c r="C355" s="5"/>
      <c r="D355" s="5"/>
      <c r="E355" s="5"/>
      <c r="F355" s="5"/>
      <c r="G355" s="5"/>
      <c r="H355" s="5"/>
    </row>
    <row r="356">
      <c r="C356" s="5"/>
      <c r="D356" s="5"/>
      <c r="E356" s="5"/>
      <c r="F356" s="5"/>
      <c r="G356" s="5"/>
      <c r="H356" s="5"/>
    </row>
    <row r="357">
      <c r="C357" s="5"/>
      <c r="D357" s="5"/>
      <c r="E357" s="5"/>
      <c r="F357" s="5"/>
      <c r="G357" s="5"/>
      <c r="H357" s="5"/>
    </row>
    <row r="358">
      <c r="C358" s="5"/>
      <c r="D358" s="5"/>
      <c r="E358" s="5"/>
      <c r="F358" s="5"/>
      <c r="G358" s="5"/>
      <c r="H358" s="5"/>
    </row>
    <row r="359">
      <c r="C359" s="5"/>
      <c r="D359" s="5"/>
      <c r="E359" s="5"/>
      <c r="F359" s="5"/>
      <c r="G359" s="5"/>
      <c r="H359" s="5"/>
    </row>
    <row r="360">
      <c r="C360" s="5"/>
      <c r="D360" s="5"/>
      <c r="E360" s="5"/>
      <c r="F360" s="5"/>
      <c r="G360" s="5"/>
      <c r="H360" s="5"/>
    </row>
    <row r="361">
      <c r="C361" s="5"/>
      <c r="D361" s="5"/>
      <c r="E361" s="5"/>
      <c r="F361" s="5"/>
      <c r="G361" s="5"/>
      <c r="H361" s="5"/>
    </row>
    <row r="362">
      <c r="C362" s="5"/>
      <c r="D362" s="5"/>
      <c r="E362" s="5"/>
      <c r="F362" s="5"/>
      <c r="G362" s="5"/>
      <c r="H362" s="5"/>
    </row>
    <row r="363">
      <c r="C363" s="5"/>
      <c r="D363" s="5"/>
      <c r="E363" s="5"/>
      <c r="F363" s="5"/>
      <c r="G363" s="5"/>
      <c r="H363" s="5"/>
    </row>
    <row r="364">
      <c r="C364" s="5"/>
      <c r="D364" s="5"/>
      <c r="E364" s="5"/>
      <c r="F364" s="5"/>
      <c r="G364" s="5"/>
      <c r="H364" s="5"/>
    </row>
    <row r="365">
      <c r="C365" s="5"/>
      <c r="D365" s="5"/>
      <c r="E365" s="5"/>
      <c r="F365" s="5"/>
      <c r="G365" s="5"/>
      <c r="H365" s="5"/>
    </row>
    <row r="366">
      <c r="C366" s="5"/>
      <c r="D366" s="5"/>
      <c r="E366" s="5"/>
      <c r="F366" s="5"/>
      <c r="G366" s="5"/>
      <c r="H366" s="5"/>
    </row>
    <row r="367">
      <c r="C367" s="5"/>
      <c r="D367" s="5"/>
      <c r="E367" s="5"/>
      <c r="F367" s="5"/>
      <c r="G367" s="5"/>
      <c r="H367" s="5"/>
    </row>
    <row r="368">
      <c r="C368" s="5"/>
      <c r="D368" s="5"/>
      <c r="E368" s="5"/>
      <c r="F368" s="5"/>
      <c r="G368" s="5"/>
      <c r="H368" s="5"/>
    </row>
    <row r="369">
      <c r="C369" s="5"/>
      <c r="D369" s="5"/>
      <c r="E369" s="5"/>
      <c r="F369" s="5"/>
      <c r="G369" s="5"/>
      <c r="H369" s="5"/>
    </row>
    <row r="370">
      <c r="C370" s="5"/>
      <c r="D370" s="5"/>
      <c r="E370" s="5"/>
      <c r="F370" s="5"/>
      <c r="G370" s="5"/>
      <c r="H370" s="5"/>
    </row>
    <row r="371">
      <c r="C371" s="5"/>
      <c r="D371" s="5"/>
      <c r="E371" s="5"/>
      <c r="F371" s="5"/>
      <c r="G371" s="5"/>
      <c r="H371" s="5"/>
    </row>
    <row r="372">
      <c r="C372" s="5"/>
      <c r="D372" s="5"/>
      <c r="E372" s="5"/>
      <c r="F372" s="5"/>
      <c r="G372" s="5"/>
      <c r="H372" s="5"/>
    </row>
    <row r="373">
      <c r="C373" s="5"/>
      <c r="D373" s="5"/>
      <c r="E373" s="5"/>
      <c r="F373" s="5"/>
      <c r="G373" s="5"/>
      <c r="H373" s="5"/>
    </row>
    <row r="374">
      <c r="C374" s="5"/>
      <c r="D374" s="5"/>
      <c r="E374" s="5"/>
      <c r="F374" s="5"/>
      <c r="G374" s="5"/>
      <c r="H374" s="5"/>
    </row>
    <row r="375">
      <c r="C375" s="5"/>
      <c r="D375" s="5"/>
      <c r="E375" s="5"/>
      <c r="F375" s="5"/>
      <c r="G375" s="5"/>
      <c r="H375" s="5"/>
    </row>
    <row r="376">
      <c r="C376" s="5"/>
      <c r="D376" s="5"/>
      <c r="E376" s="5"/>
      <c r="F376" s="5"/>
      <c r="G376" s="5"/>
      <c r="H376" s="5"/>
    </row>
    <row r="377">
      <c r="C377" s="5"/>
      <c r="D377" s="5"/>
      <c r="E377" s="5"/>
      <c r="F377" s="5"/>
      <c r="G377" s="5"/>
      <c r="H377" s="5"/>
    </row>
    <row r="378">
      <c r="C378" s="5"/>
      <c r="D378" s="5"/>
      <c r="E378" s="5"/>
      <c r="F378" s="5"/>
      <c r="G378" s="5"/>
      <c r="H378" s="5"/>
    </row>
    <row r="379">
      <c r="C379" s="5"/>
      <c r="D379" s="5"/>
      <c r="E379" s="5"/>
      <c r="F379" s="5"/>
      <c r="G379" s="5"/>
      <c r="H379" s="5"/>
    </row>
    <row r="380">
      <c r="C380" s="5"/>
      <c r="D380" s="5"/>
      <c r="E380" s="5"/>
      <c r="F380" s="5"/>
      <c r="G380" s="5"/>
      <c r="H380" s="5"/>
    </row>
    <row r="381">
      <c r="C381" s="5"/>
      <c r="D381" s="5"/>
      <c r="E381" s="5"/>
      <c r="F381" s="5"/>
      <c r="G381" s="5"/>
      <c r="H381" s="5"/>
    </row>
    <row r="382">
      <c r="C382" s="5"/>
      <c r="D382" s="5"/>
      <c r="E382" s="5"/>
      <c r="F382" s="5"/>
      <c r="G382" s="5"/>
      <c r="H382" s="5"/>
    </row>
    <row r="383">
      <c r="C383" s="5"/>
      <c r="D383" s="5"/>
      <c r="E383" s="5"/>
      <c r="F383" s="5"/>
      <c r="G383" s="5"/>
      <c r="H383" s="5"/>
    </row>
    <row r="384">
      <c r="C384" s="5"/>
      <c r="D384" s="5"/>
      <c r="E384" s="5"/>
      <c r="F384" s="5"/>
      <c r="G384" s="5"/>
      <c r="H384" s="5"/>
    </row>
    <row r="385">
      <c r="C385" s="5"/>
      <c r="D385" s="5"/>
      <c r="E385" s="5"/>
      <c r="F385" s="5"/>
      <c r="G385" s="5"/>
      <c r="H385" s="5"/>
    </row>
    <row r="386">
      <c r="C386" s="5"/>
      <c r="D386" s="5"/>
      <c r="E386" s="5"/>
      <c r="F386" s="5"/>
      <c r="G386" s="5"/>
      <c r="H386" s="5"/>
    </row>
    <row r="387">
      <c r="C387" s="5"/>
      <c r="D387" s="5"/>
      <c r="E387" s="5"/>
      <c r="F387" s="5"/>
      <c r="G387" s="5"/>
      <c r="H387" s="5"/>
    </row>
    <row r="388">
      <c r="C388" s="5"/>
      <c r="D388" s="5"/>
      <c r="E388" s="5"/>
      <c r="F388" s="5"/>
      <c r="G388" s="5"/>
      <c r="H388" s="5"/>
    </row>
    <row r="389">
      <c r="C389" s="5"/>
      <c r="D389" s="5"/>
      <c r="E389" s="5"/>
      <c r="F389" s="5"/>
      <c r="G389" s="5"/>
      <c r="H389" s="5"/>
    </row>
    <row r="390">
      <c r="C390" s="5"/>
      <c r="D390" s="5"/>
      <c r="E390" s="5"/>
      <c r="F390" s="5"/>
      <c r="G390" s="5"/>
      <c r="H390" s="5"/>
    </row>
    <row r="391">
      <c r="C391" s="5"/>
      <c r="D391" s="5"/>
      <c r="E391" s="5"/>
      <c r="F391" s="5"/>
      <c r="G391" s="5"/>
      <c r="H391" s="5"/>
    </row>
    <row r="392">
      <c r="C392" s="5"/>
      <c r="D392" s="5"/>
      <c r="E392" s="5"/>
      <c r="F392" s="5"/>
      <c r="G392" s="5"/>
      <c r="H392" s="5"/>
    </row>
    <row r="393">
      <c r="C393" s="5"/>
      <c r="D393" s="5"/>
      <c r="E393" s="5"/>
      <c r="F393" s="5"/>
      <c r="G393" s="5"/>
      <c r="H393" s="5"/>
    </row>
    <row r="394">
      <c r="C394" s="5"/>
      <c r="D394" s="5"/>
      <c r="E394" s="5"/>
      <c r="F394" s="5"/>
      <c r="G394" s="5"/>
      <c r="H394" s="5"/>
    </row>
    <row r="395">
      <c r="C395" s="5"/>
      <c r="D395" s="5"/>
      <c r="E395" s="5"/>
      <c r="F395" s="5"/>
      <c r="G395" s="5"/>
      <c r="H395" s="5"/>
    </row>
    <row r="396">
      <c r="C396" s="5"/>
      <c r="D396" s="5"/>
      <c r="E396" s="5"/>
      <c r="F396" s="5"/>
      <c r="G396" s="5"/>
      <c r="H396" s="5"/>
    </row>
    <row r="397">
      <c r="C397" s="5"/>
      <c r="D397" s="5"/>
      <c r="E397" s="5"/>
      <c r="F397" s="5"/>
      <c r="G397" s="5"/>
      <c r="H397" s="5"/>
    </row>
    <row r="398">
      <c r="C398" s="5"/>
      <c r="D398" s="5"/>
      <c r="E398" s="5"/>
      <c r="F398" s="5"/>
      <c r="G398" s="5"/>
      <c r="H398" s="5"/>
    </row>
    <row r="399">
      <c r="C399" s="5"/>
      <c r="D399" s="5"/>
      <c r="E399" s="5"/>
      <c r="F399" s="5"/>
      <c r="G399" s="5"/>
      <c r="H399" s="5"/>
    </row>
    <row r="400">
      <c r="C400" s="5"/>
      <c r="D400" s="5"/>
      <c r="E400" s="5"/>
      <c r="F400" s="5"/>
      <c r="G400" s="5"/>
      <c r="H400" s="5"/>
    </row>
    <row r="401">
      <c r="C401" s="5"/>
      <c r="D401" s="5"/>
      <c r="E401" s="5"/>
      <c r="F401" s="5"/>
      <c r="G401" s="5"/>
      <c r="H401" s="5"/>
    </row>
    <row r="402">
      <c r="C402" s="5"/>
      <c r="D402" s="5"/>
      <c r="E402" s="5"/>
      <c r="F402" s="5"/>
      <c r="G402" s="5"/>
      <c r="H402" s="5"/>
    </row>
    <row r="403">
      <c r="C403" s="5"/>
      <c r="D403" s="5"/>
      <c r="E403" s="5"/>
      <c r="F403" s="5"/>
      <c r="G403" s="5"/>
      <c r="H403" s="5"/>
    </row>
    <row r="404">
      <c r="C404" s="5"/>
      <c r="D404" s="5"/>
      <c r="E404" s="5"/>
      <c r="F404" s="5"/>
      <c r="G404" s="5"/>
      <c r="H404" s="5"/>
    </row>
    <row r="405">
      <c r="C405" s="5"/>
      <c r="D405" s="5"/>
      <c r="E405" s="5"/>
      <c r="F405" s="5"/>
      <c r="G405" s="5"/>
      <c r="H405" s="5"/>
    </row>
    <row r="406">
      <c r="C406" s="5"/>
      <c r="D406" s="5"/>
      <c r="E406" s="5"/>
      <c r="F406" s="5"/>
      <c r="G406" s="5"/>
      <c r="H406" s="5"/>
    </row>
    <row r="407">
      <c r="C407" s="5"/>
      <c r="D407" s="5"/>
      <c r="E407" s="5"/>
      <c r="F407" s="5"/>
      <c r="G407" s="5"/>
      <c r="H407" s="5"/>
    </row>
    <row r="408">
      <c r="C408" s="5"/>
      <c r="D408" s="5"/>
      <c r="E408" s="5"/>
      <c r="F408" s="5"/>
      <c r="G408" s="5"/>
      <c r="H408" s="5"/>
    </row>
    <row r="409">
      <c r="C409" s="5"/>
      <c r="D409" s="5"/>
      <c r="E409" s="5"/>
      <c r="F409" s="5"/>
      <c r="G409" s="5"/>
      <c r="H409" s="5"/>
    </row>
    <row r="410">
      <c r="C410" s="5"/>
      <c r="D410" s="5"/>
      <c r="E410" s="5"/>
      <c r="F410" s="5"/>
      <c r="G410" s="5"/>
      <c r="H410" s="5"/>
    </row>
    <row r="411">
      <c r="C411" s="5"/>
      <c r="D411" s="5"/>
      <c r="E411" s="5"/>
      <c r="F411" s="5"/>
      <c r="G411" s="5"/>
      <c r="H411" s="5"/>
    </row>
    <row r="412">
      <c r="C412" s="5"/>
      <c r="D412" s="5"/>
      <c r="E412" s="5"/>
      <c r="F412" s="5"/>
      <c r="G412" s="5"/>
      <c r="H412" s="5"/>
    </row>
    <row r="413">
      <c r="C413" s="5"/>
      <c r="D413" s="5"/>
      <c r="E413" s="5"/>
      <c r="F413" s="5"/>
      <c r="G413" s="5"/>
      <c r="H413" s="5"/>
    </row>
    <row r="414">
      <c r="C414" s="5"/>
      <c r="D414" s="5"/>
      <c r="E414" s="5"/>
      <c r="F414" s="5"/>
      <c r="G414" s="5"/>
      <c r="H414" s="5"/>
    </row>
    <row r="415">
      <c r="C415" s="5"/>
      <c r="D415" s="5"/>
      <c r="E415" s="5"/>
      <c r="F415" s="5"/>
      <c r="G415" s="5"/>
      <c r="H415" s="5"/>
    </row>
    <row r="416">
      <c r="C416" s="5"/>
      <c r="D416" s="5"/>
      <c r="E416" s="5"/>
      <c r="F416" s="5"/>
      <c r="G416" s="5"/>
      <c r="H416" s="5"/>
    </row>
    <row r="417">
      <c r="C417" s="5"/>
      <c r="D417" s="5"/>
      <c r="E417" s="5"/>
      <c r="F417" s="5"/>
      <c r="G417" s="5"/>
      <c r="H417" s="5"/>
    </row>
    <row r="418">
      <c r="C418" s="5"/>
      <c r="D418" s="5"/>
      <c r="E418" s="5"/>
      <c r="F418" s="5"/>
      <c r="G418" s="5"/>
      <c r="H418" s="5"/>
    </row>
    <row r="419">
      <c r="C419" s="5"/>
      <c r="D419" s="5"/>
      <c r="E419" s="5"/>
      <c r="F419" s="5"/>
      <c r="G419" s="5"/>
      <c r="H419" s="5"/>
    </row>
    <row r="420">
      <c r="C420" s="5"/>
      <c r="D420" s="5"/>
      <c r="E420" s="5"/>
      <c r="F420" s="5"/>
      <c r="G420" s="5"/>
      <c r="H420" s="5"/>
    </row>
    <row r="421">
      <c r="C421" s="5"/>
      <c r="D421" s="5"/>
      <c r="E421" s="5"/>
      <c r="F421" s="5"/>
      <c r="G421" s="5"/>
      <c r="H421" s="5"/>
    </row>
    <row r="422">
      <c r="C422" s="5"/>
      <c r="D422" s="5"/>
      <c r="E422" s="5"/>
      <c r="F422" s="5"/>
      <c r="G422" s="5"/>
      <c r="H422" s="5"/>
    </row>
    <row r="423">
      <c r="C423" s="5"/>
      <c r="D423" s="5"/>
      <c r="E423" s="5"/>
      <c r="F423" s="5"/>
      <c r="G423" s="5"/>
      <c r="H423" s="5"/>
    </row>
    <row r="424">
      <c r="C424" s="5"/>
      <c r="D424" s="5"/>
      <c r="E424" s="5"/>
      <c r="F424" s="5"/>
      <c r="G424" s="5"/>
      <c r="H424" s="5"/>
    </row>
    <row r="425">
      <c r="C425" s="5"/>
      <c r="D425" s="5"/>
      <c r="E425" s="5"/>
      <c r="F425" s="5"/>
      <c r="G425" s="5"/>
      <c r="H425" s="5"/>
    </row>
    <row r="426">
      <c r="C426" s="5"/>
      <c r="D426" s="5"/>
      <c r="E426" s="5"/>
      <c r="F426" s="5"/>
      <c r="G426" s="5"/>
      <c r="H426" s="5"/>
    </row>
    <row r="427">
      <c r="C427" s="5"/>
      <c r="D427" s="5"/>
      <c r="E427" s="5"/>
      <c r="F427" s="5"/>
      <c r="G427" s="5"/>
      <c r="H427" s="5"/>
    </row>
    <row r="428">
      <c r="C428" s="5"/>
      <c r="D428" s="5"/>
      <c r="E428" s="5"/>
      <c r="F428" s="5"/>
      <c r="G428" s="5"/>
      <c r="H428" s="5"/>
    </row>
    <row r="429">
      <c r="C429" s="5"/>
      <c r="D429" s="5"/>
      <c r="E429" s="5"/>
      <c r="F429" s="5"/>
      <c r="G429" s="5"/>
      <c r="H429" s="5"/>
    </row>
    <row r="430">
      <c r="C430" s="5"/>
      <c r="D430" s="5"/>
      <c r="E430" s="5"/>
      <c r="F430" s="5"/>
      <c r="G430" s="5"/>
      <c r="H430" s="5"/>
    </row>
    <row r="431">
      <c r="C431" s="5"/>
      <c r="D431" s="5"/>
      <c r="E431" s="5"/>
      <c r="F431" s="5"/>
      <c r="G431" s="5"/>
      <c r="H431" s="5"/>
    </row>
    <row r="432">
      <c r="C432" s="5"/>
      <c r="D432" s="5"/>
      <c r="E432" s="5"/>
      <c r="F432" s="5"/>
      <c r="G432" s="5"/>
      <c r="H432" s="5"/>
    </row>
    <row r="433">
      <c r="C433" s="5"/>
      <c r="D433" s="5"/>
      <c r="E433" s="5"/>
      <c r="F433" s="5"/>
      <c r="G433" s="5"/>
      <c r="H433" s="5"/>
    </row>
    <row r="434">
      <c r="C434" s="5"/>
      <c r="D434" s="5"/>
      <c r="E434" s="5"/>
      <c r="F434" s="5"/>
      <c r="G434" s="5"/>
      <c r="H434" s="5"/>
    </row>
    <row r="435">
      <c r="C435" s="5"/>
      <c r="D435" s="5"/>
      <c r="E435" s="5"/>
      <c r="F435" s="5"/>
      <c r="G435" s="5"/>
      <c r="H435" s="5"/>
    </row>
    <row r="436">
      <c r="C436" s="5"/>
      <c r="D436" s="5"/>
      <c r="E436" s="5"/>
      <c r="F436" s="5"/>
      <c r="G436" s="5"/>
      <c r="H436" s="5"/>
    </row>
    <row r="437">
      <c r="C437" s="5"/>
      <c r="D437" s="5"/>
      <c r="E437" s="5"/>
      <c r="F437" s="5"/>
      <c r="G437" s="5"/>
      <c r="H437" s="5"/>
    </row>
    <row r="438">
      <c r="C438" s="5"/>
      <c r="D438" s="5"/>
      <c r="E438" s="5"/>
      <c r="F438" s="5"/>
      <c r="G438" s="5"/>
      <c r="H438" s="5"/>
    </row>
    <row r="439">
      <c r="C439" s="5"/>
      <c r="D439" s="5"/>
      <c r="E439" s="5"/>
      <c r="F439" s="5"/>
      <c r="G439" s="5"/>
      <c r="H439" s="5"/>
    </row>
    <row r="440">
      <c r="C440" s="5"/>
      <c r="D440" s="5"/>
      <c r="E440" s="5"/>
      <c r="F440" s="5"/>
      <c r="G440" s="5"/>
      <c r="H440" s="5"/>
    </row>
    <row r="441">
      <c r="C441" s="5"/>
      <c r="D441" s="5"/>
      <c r="E441" s="5"/>
      <c r="F441" s="5"/>
      <c r="G441" s="5"/>
      <c r="H441" s="5"/>
    </row>
    <row r="442">
      <c r="C442" s="5"/>
      <c r="D442" s="5"/>
      <c r="E442" s="5"/>
      <c r="F442" s="5"/>
      <c r="G442" s="5"/>
      <c r="H442" s="5"/>
    </row>
    <row r="443">
      <c r="C443" s="5"/>
      <c r="D443" s="5"/>
      <c r="E443" s="5"/>
      <c r="F443" s="5"/>
      <c r="G443" s="5"/>
      <c r="H443" s="5"/>
    </row>
    <row r="444">
      <c r="C444" s="5"/>
      <c r="D444" s="5"/>
      <c r="E444" s="5"/>
      <c r="F444" s="5"/>
      <c r="G444" s="5"/>
      <c r="H444" s="5"/>
    </row>
    <row r="445">
      <c r="C445" s="5"/>
      <c r="D445" s="5"/>
      <c r="E445" s="5"/>
      <c r="F445" s="5"/>
      <c r="G445" s="5"/>
      <c r="H445" s="5"/>
    </row>
    <row r="446">
      <c r="C446" s="5"/>
      <c r="D446" s="5"/>
      <c r="E446" s="5"/>
      <c r="F446" s="5"/>
      <c r="G446" s="5"/>
      <c r="H446" s="5"/>
    </row>
    <row r="447">
      <c r="C447" s="5"/>
      <c r="D447" s="5"/>
      <c r="E447" s="5"/>
      <c r="F447" s="5"/>
      <c r="G447" s="5"/>
      <c r="H447" s="5"/>
    </row>
    <row r="448">
      <c r="C448" s="5"/>
      <c r="D448" s="5"/>
      <c r="E448" s="5"/>
      <c r="F448" s="5"/>
      <c r="G448" s="5"/>
      <c r="H448" s="5"/>
    </row>
    <row r="449">
      <c r="C449" s="5"/>
      <c r="D449" s="5"/>
      <c r="E449" s="5"/>
      <c r="F449" s="5"/>
      <c r="G449" s="5"/>
      <c r="H449" s="5"/>
    </row>
    <row r="450">
      <c r="C450" s="5"/>
      <c r="D450" s="5"/>
      <c r="E450" s="5"/>
      <c r="F450" s="5"/>
      <c r="G450" s="5"/>
      <c r="H450" s="5"/>
    </row>
    <row r="451">
      <c r="C451" s="5"/>
      <c r="D451" s="5"/>
      <c r="E451" s="5"/>
      <c r="F451" s="5"/>
      <c r="G451" s="5"/>
      <c r="H451" s="5"/>
    </row>
    <row r="452">
      <c r="C452" s="5"/>
      <c r="D452" s="5"/>
      <c r="E452" s="5"/>
      <c r="F452" s="5"/>
      <c r="G452" s="5"/>
      <c r="H452" s="5"/>
    </row>
    <row r="453">
      <c r="C453" s="5"/>
      <c r="D453" s="5"/>
      <c r="E453" s="5"/>
      <c r="F453" s="5"/>
      <c r="G453" s="5"/>
      <c r="H453" s="5"/>
    </row>
    <row r="454">
      <c r="C454" s="5"/>
      <c r="D454" s="5"/>
      <c r="E454" s="5"/>
      <c r="F454" s="5"/>
      <c r="G454" s="5"/>
      <c r="H454" s="5"/>
    </row>
    <row r="455">
      <c r="C455" s="5"/>
      <c r="D455" s="5"/>
      <c r="E455" s="5"/>
      <c r="F455" s="5"/>
      <c r="G455" s="5"/>
      <c r="H455" s="5"/>
    </row>
    <row r="456">
      <c r="C456" s="5"/>
      <c r="D456" s="5"/>
      <c r="E456" s="5"/>
      <c r="F456" s="5"/>
      <c r="G456" s="5"/>
      <c r="H456" s="5"/>
    </row>
    <row r="457">
      <c r="C457" s="5"/>
      <c r="D457" s="5"/>
      <c r="E457" s="5"/>
      <c r="F457" s="5"/>
      <c r="G457" s="5"/>
      <c r="H457" s="5"/>
    </row>
    <row r="458">
      <c r="C458" s="5"/>
      <c r="D458" s="5"/>
      <c r="E458" s="5"/>
      <c r="F458" s="5"/>
      <c r="G458" s="5"/>
      <c r="H458" s="5"/>
    </row>
    <row r="459">
      <c r="C459" s="5"/>
      <c r="D459" s="5"/>
      <c r="E459" s="5"/>
      <c r="F459" s="5"/>
      <c r="G459" s="5"/>
      <c r="H459" s="5"/>
    </row>
    <row r="460">
      <c r="C460" s="5"/>
      <c r="D460" s="5"/>
      <c r="E460" s="5"/>
      <c r="F460" s="5"/>
      <c r="G460" s="5"/>
      <c r="H460" s="5"/>
    </row>
    <row r="461">
      <c r="C461" s="5"/>
      <c r="D461" s="5"/>
      <c r="E461" s="5"/>
      <c r="F461" s="5"/>
      <c r="G461" s="5"/>
      <c r="H461" s="5"/>
    </row>
    <row r="462">
      <c r="C462" s="5"/>
      <c r="D462" s="5"/>
      <c r="E462" s="5"/>
      <c r="F462" s="5"/>
      <c r="G462" s="5"/>
      <c r="H462" s="5"/>
    </row>
    <row r="463">
      <c r="C463" s="5"/>
      <c r="D463" s="5"/>
      <c r="E463" s="5"/>
      <c r="F463" s="5"/>
      <c r="G463" s="5"/>
      <c r="H463" s="5"/>
    </row>
    <row r="464">
      <c r="C464" s="5"/>
      <c r="D464" s="5"/>
      <c r="E464" s="5"/>
      <c r="F464" s="5"/>
      <c r="G464" s="5"/>
      <c r="H464" s="5"/>
    </row>
    <row r="465">
      <c r="C465" s="5"/>
      <c r="D465" s="5"/>
      <c r="E465" s="5"/>
      <c r="F465" s="5"/>
      <c r="G465" s="5"/>
      <c r="H465" s="5"/>
    </row>
    <row r="466">
      <c r="C466" s="5"/>
      <c r="D466" s="5"/>
      <c r="E466" s="5"/>
      <c r="F466" s="5"/>
      <c r="G466" s="5"/>
      <c r="H466" s="5"/>
    </row>
    <row r="467">
      <c r="C467" s="5"/>
      <c r="D467" s="5"/>
      <c r="E467" s="5"/>
      <c r="F467" s="5"/>
      <c r="G467" s="5"/>
      <c r="H467" s="5"/>
    </row>
    <row r="468">
      <c r="C468" s="5"/>
      <c r="D468" s="5"/>
      <c r="E468" s="5"/>
      <c r="F468" s="5"/>
      <c r="G468" s="5"/>
      <c r="H468" s="5"/>
    </row>
    <row r="469">
      <c r="C469" s="5"/>
      <c r="D469" s="5"/>
      <c r="E469" s="5"/>
      <c r="F469" s="5"/>
      <c r="G469" s="5"/>
      <c r="H469" s="5"/>
    </row>
    <row r="470">
      <c r="C470" s="5"/>
      <c r="D470" s="5"/>
      <c r="E470" s="5"/>
      <c r="F470" s="5"/>
      <c r="G470" s="5"/>
      <c r="H470" s="5"/>
    </row>
    <row r="471">
      <c r="C471" s="5"/>
      <c r="D471" s="5"/>
      <c r="E471" s="5"/>
      <c r="F471" s="5"/>
      <c r="G471" s="5"/>
      <c r="H471" s="5"/>
    </row>
    <row r="472">
      <c r="C472" s="5"/>
      <c r="D472" s="5"/>
      <c r="E472" s="5"/>
      <c r="F472" s="5"/>
      <c r="G472" s="5"/>
      <c r="H472" s="5"/>
    </row>
    <row r="473">
      <c r="C473" s="5"/>
      <c r="D473" s="5"/>
      <c r="E473" s="5"/>
      <c r="F473" s="5"/>
      <c r="G473" s="5"/>
      <c r="H473" s="5"/>
    </row>
    <row r="474">
      <c r="C474" s="5"/>
      <c r="D474" s="5"/>
      <c r="E474" s="5"/>
      <c r="F474" s="5"/>
      <c r="G474" s="5"/>
      <c r="H474" s="5"/>
    </row>
    <row r="475">
      <c r="C475" s="5"/>
      <c r="D475" s="5"/>
      <c r="E475" s="5"/>
      <c r="F475" s="5"/>
      <c r="G475" s="5"/>
      <c r="H475" s="5"/>
    </row>
    <row r="476">
      <c r="C476" s="5"/>
      <c r="D476" s="5"/>
      <c r="E476" s="5"/>
      <c r="F476" s="5"/>
      <c r="G476" s="5"/>
      <c r="H476" s="5"/>
    </row>
    <row r="477">
      <c r="C477" s="5"/>
      <c r="D477" s="5"/>
      <c r="E477" s="5"/>
      <c r="F477" s="5"/>
      <c r="G477" s="5"/>
      <c r="H477" s="5"/>
    </row>
    <row r="478">
      <c r="C478" s="5"/>
      <c r="D478" s="5"/>
      <c r="E478" s="5"/>
      <c r="F478" s="5"/>
      <c r="G478" s="5"/>
      <c r="H478" s="5"/>
    </row>
    <row r="479">
      <c r="C479" s="5"/>
      <c r="D479" s="5"/>
      <c r="E479" s="5"/>
      <c r="F479" s="5"/>
      <c r="G479" s="5"/>
      <c r="H479" s="5"/>
    </row>
    <row r="480">
      <c r="C480" s="5"/>
      <c r="D480" s="5"/>
      <c r="E480" s="5"/>
      <c r="F480" s="5"/>
      <c r="G480" s="5"/>
      <c r="H480" s="5"/>
    </row>
    <row r="481">
      <c r="C481" s="5"/>
      <c r="D481" s="5"/>
      <c r="E481" s="5"/>
      <c r="F481" s="5"/>
      <c r="G481" s="5"/>
      <c r="H481" s="5"/>
    </row>
    <row r="482">
      <c r="C482" s="5"/>
      <c r="D482" s="5"/>
      <c r="E482" s="5"/>
      <c r="F482" s="5"/>
      <c r="G482" s="5"/>
      <c r="H482" s="5"/>
    </row>
    <row r="483">
      <c r="C483" s="5"/>
      <c r="D483" s="5"/>
      <c r="E483" s="5"/>
      <c r="F483" s="5"/>
      <c r="G483" s="5"/>
      <c r="H483" s="5"/>
    </row>
    <row r="484">
      <c r="C484" s="5"/>
      <c r="D484" s="5"/>
      <c r="E484" s="5"/>
      <c r="F484" s="5"/>
      <c r="G484" s="5"/>
      <c r="H484" s="5"/>
    </row>
    <row r="485">
      <c r="C485" s="5"/>
      <c r="D485" s="5"/>
      <c r="E485" s="5"/>
      <c r="F485" s="5"/>
      <c r="G485" s="5"/>
      <c r="H485" s="5"/>
    </row>
    <row r="486">
      <c r="C486" s="5"/>
      <c r="D486" s="5"/>
      <c r="E486" s="5"/>
      <c r="F486" s="5"/>
      <c r="G486" s="5"/>
      <c r="H486" s="5"/>
    </row>
    <row r="487">
      <c r="C487" s="5"/>
      <c r="D487" s="5"/>
      <c r="E487" s="5"/>
      <c r="F487" s="5"/>
      <c r="G487" s="5"/>
      <c r="H487" s="5"/>
    </row>
    <row r="488">
      <c r="C488" s="5"/>
      <c r="D488" s="5"/>
      <c r="E488" s="5"/>
      <c r="F488" s="5"/>
      <c r="G488" s="5"/>
      <c r="H488" s="5"/>
    </row>
    <row r="489">
      <c r="C489" s="5"/>
      <c r="D489" s="5"/>
      <c r="E489" s="5"/>
      <c r="F489" s="5"/>
      <c r="G489" s="5"/>
      <c r="H489" s="5"/>
    </row>
    <row r="490">
      <c r="C490" s="5"/>
      <c r="D490" s="5"/>
      <c r="E490" s="5"/>
      <c r="F490" s="5"/>
      <c r="G490" s="5"/>
      <c r="H490" s="5"/>
    </row>
    <row r="491">
      <c r="C491" s="5"/>
      <c r="D491" s="5"/>
      <c r="E491" s="5"/>
      <c r="F491" s="5"/>
      <c r="G491" s="5"/>
      <c r="H491" s="5"/>
    </row>
    <row r="492">
      <c r="C492" s="5"/>
      <c r="D492" s="5"/>
      <c r="E492" s="5"/>
      <c r="F492" s="5"/>
      <c r="G492" s="5"/>
      <c r="H492" s="5"/>
    </row>
    <row r="493">
      <c r="C493" s="5"/>
      <c r="D493" s="5"/>
      <c r="E493" s="5"/>
      <c r="F493" s="5"/>
      <c r="G493" s="5"/>
      <c r="H493" s="5"/>
    </row>
    <row r="494">
      <c r="C494" s="5"/>
      <c r="D494" s="5"/>
      <c r="E494" s="5"/>
      <c r="F494" s="5"/>
      <c r="G494" s="5"/>
      <c r="H494" s="5"/>
    </row>
    <row r="495">
      <c r="C495" s="5"/>
      <c r="D495" s="5"/>
      <c r="E495" s="5"/>
      <c r="F495" s="5"/>
      <c r="G495" s="5"/>
      <c r="H495" s="5"/>
    </row>
    <row r="496">
      <c r="C496" s="5"/>
      <c r="D496" s="5"/>
      <c r="E496" s="5"/>
      <c r="F496" s="5"/>
      <c r="G496" s="5"/>
      <c r="H496" s="5"/>
    </row>
    <row r="497">
      <c r="C497" s="5"/>
      <c r="D497" s="5"/>
      <c r="E497" s="5"/>
      <c r="F497" s="5"/>
      <c r="G497" s="5"/>
      <c r="H497" s="5"/>
    </row>
    <row r="498">
      <c r="C498" s="5"/>
      <c r="D498" s="5"/>
      <c r="E498" s="5"/>
      <c r="F498" s="5"/>
      <c r="G498" s="5"/>
      <c r="H498" s="5"/>
    </row>
    <row r="499">
      <c r="C499" s="5"/>
      <c r="D499" s="5"/>
      <c r="E499" s="5"/>
      <c r="F499" s="5"/>
      <c r="G499" s="5"/>
      <c r="H499" s="5"/>
    </row>
    <row r="500">
      <c r="C500" s="5"/>
      <c r="D500" s="5"/>
      <c r="E500" s="5"/>
      <c r="F500" s="5"/>
      <c r="G500" s="5"/>
      <c r="H500" s="5"/>
    </row>
    <row r="501">
      <c r="C501" s="5"/>
      <c r="D501" s="5"/>
      <c r="E501" s="5"/>
      <c r="F501" s="5"/>
      <c r="G501" s="5"/>
      <c r="H501" s="5"/>
    </row>
    <row r="502">
      <c r="C502" s="5"/>
      <c r="D502" s="5"/>
      <c r="E502" s="5"/>
      <c r="F502" s="5"/>
      <c r="G502" s="5"/>
      <c r="H502" s="5"/>
    </row>
    <row r="503">
      <c r="C503" s="5"/>
      <c r="D503" s="5"/>
      <c r="E503" s="5"/>
      <c r="F503" s="5"/>
      <c r="G503" s="5"/>
      <c r="H503" s="5"/>
    </row>
    <row r="504">
      <c r="C504" s="5"/>
      <c r="D504" s="5"/>
      <c r="E504" s="5"/>
      <c r="F504" s="5"/>
      <c r="G504" s="5"/>
      <c r="H504" s="5"/>
    </row>
    <row r="505">
      <c r="C505" s="5"/>
      <c r="D505" s="5"/>
      <c r="E505" s="5"/>
      <c r="F505" s="5"/>
      <c r="G505" s="5"/>
      <c r="H505" s="5"/>
    </row>
    <row r="506">
      <c r="C506" s="5"/>
      <c r="D506" s="5"/>
      <c r="E506" s="5"/>
      <c r="F506" s="5"/>
      <c r="G506" s="5"/>
      <c r="H506" s="5"/>
    </row>
    <row r="507">
      <c r="C507" s="5"/>
      <c r="D507" s="5"/>
      <c r="E507" s="5"/>
      <c r="F507" s="5"/>
      <c r="G507" s="5"/>
      <c r="H507" s="5"/>
    </row>
    <row r="508">
      <c r="C508" s="5"/>
      <c r="D508" s="5"/>
      <c r="E508" s="5"/>
      <c r="F508" s="5"/>
      <c r="G508" s="5"/>
      <c r="H508" s="5"/>
    </row>
    <row r="509">
      <c r="C509" s="5"/>
      <c r="D509" s="5"/>
      <c r="E509" s="5"/>
      <c r="F509" s="5"/>
      <c r="G509" s="5"/>
      <c r="H509" s="5"/>
    </row>
    <row r="510">
      <c r="C510" s="5"/>
      <c r="D510" s="5"/>
      <c r="E510" s="5"/>
      <c r="F510" s="5"/>
      <c r="G510" s="5"/>
      <c r="H510" s="5"/>
    </row>
    <row r="511">
      <c r="C511" s="5"/>
      <c r="D511" s="5"/>
      <c r="E511" s="5"/>
      <c r="F511" s="5"/>
      <c r="G511" s="5"/>
      <c r="H511" s="5"/>
    </row>
    <row r="512">
      <c r="C512" s="5"/>
      <c r="D512" s="5"/>
      <c r="E512" s="5"/>
      <c r="F512" s="5"/>
      <c r="G512" s="5"/>
      <c r="H512" s="5"/>
    </row>
    <row r="513">
      <c r="C513" s="5"/>
      <c r="D513" s="5"/>
      <c r="E513" s="5"/>
      <c r="F513" s="5"/>
      <c r="G513" s="5"/>
      <c r="H513" s="5"/>
    </row>
    <row r="514">
      <c r="C514" s="5"/>
      <c r="D514" s="5"/>
      <c r="E514" s="5"/>
      <c r="F514" s="5"/>
      <c r="G514" s="5"/>
      <c r="H514" s="5"/>
    </row>
    <row r="515">
      <c r="C515" s="5"/>
      <c r="D515" s="5"/>
      <c r="E515" s="5"/>
      <c r="F515" s="5"/>
      <c r="G515" s="5"/>
      <c r="H515" s="5"/>
    </row>
    <row r="516">
      <c r="C516" s="5"/>
      <c r="D516" s="5"/>
      <c r="E516" s="5"/>
      <c r="F516" s="5"/>
      <c r="G516" s="5"/>
      <c r="H516" s="5"/>
    </row>
    <row r="517">
      <c r="C517" s="5"/>
      <c r="D517" s="5"/>
      <c r="E517" s="5"/>
      <c r="F517" s="5"/>
      <c r="G517" s="5"/>
      <c r="H517" s="5"/>
    </row>
    <row r="518">
      <c r="C518" s="5"/>
      <c r="D518" s="5"/>
      <c r="E518" s="5"/>
      <c r="F518" s="5"/>
      <c r="G518" s="5"/>
      <c r="H518" s="5"/>
    </row>
    <row r="519">
      <c r="C519" s="5"/>
      <c r="D519" s="5"/>
      <c r="E519" s="5"/>
      <c r="F519" s="5"/>
      <c r="G519" s="5"/>
      <c r="H519" s="5"/>
    </row>
    <row r="520">
      <c r="C520" s="5"/>
      <c r="D520" s="5"/>
      <c r="E520" s="5"/>
      <c r="F520" s="5"/>
      <c r="G520" s="5"/>
      <c r="H520" s="5"/>
    </row>
    <row r="521">
      <c r="C521" s="5"/>
      <c r="D521" s="5"/>
      <c r="E521" s="5"/>
      <c r="F521" s="5"/>
      <c r="G521" s="5"/>
      <c r="H521" s="5"/>
    </row>
    <row r="522">
      <c r="C522" s="5"/>
      <c r="D522" s="5"/>
      <c r="E522" s="5"/>
      <c r="F522" s="5"/>
      <c r="G522" s="5"/>
      <c r="H522" s="5"/>
    </row>
    <row r="523">
      <c r="C523" s="5"/>
      <c r="D523" s="5"/>
      <c r="E523" s="5"/>
      <c r="F523" s="5"/>
      <c r="G523" s="5"/>
      <c r="H523" s="5"/>
    </row>
    <row r="524">
      <c r="C524" s="5"/>
      <c r="D524" s="5"/>
      <c r="E524" s="5"/>
      <c r="F524" s="5"/>
      <c r="G524" s="5"/>
      <c r="H524" s="5"/>
    </row>
    <row r="525">
      <c r="C525" s="5"/>
      <c r="D525" s="5"/>
      <c r="E525" s="5"/>
      <c r="F525" s="5"/>
      <c r="G525" s="5"/>
      <c r="H525" s="5"/>
    </row>
    <row r="526">
      <c r="C526" s="5"/>
      <c r="D526" s="5"/>
      <c r="E526" s="5"/>
      <c r="F526" s="5"/>
      <c r="G526" s="5"/>
      <c r="H526" s="5"/>
    </row>
    <row r="527">
      <c r="C527" s="5"/>
      <c r="D527" s="5"/>
      <c r="E527" s="5"/>
      <c r="F527" s="5"/>
      <c r="G527" s="5"/>
      <c r="H527" s="5"/>
    </row>
    <row r="528">
      <c r="C528" s="5"/>
      <c r="D528" s="5"/>
      <c r="E528" s="5"/>
      <c r="F528" s="5"/>
      <c r="G528" s="5"/>
      <c r="H528" s="5"/>
    </row>
    <row r="529">
      <c r="C529" s="5"/>
      <c r="D529" s="5"/>
      <c r="E529" s="5"/>
      <c r="F529" s="5"/>
      <c r="G529" s="5"/>
      <c r="H529" s="5"/>
    </row>
    <row r="530">
      <c r="C530" s="5"/>
      <c r="D530" s="5"/>
      <c r="E530" s="5"/>
      <c r="F530" s="5"/>
      <c r="G530" s="5"/>
      <c r="H530" s="5"/>
    </row>
    <row r="531">
      <c r="C531" s="5"/>
      <c r="D531" s="5"/>
      <c r="E531" s="5"/>
      <c r="F531" s="5"/>
      <c r="G531" s="5"/>
      <c r="H531" s="5"/>
    </row>
    <row r="532">
      <c r="C532" s="5"/>
      <c r="D532" s="5"/>
      <c r="E532" s="5"/>
      <c r="F532" s="5"/>
      <c r="G532" s="5"/>
      <c r="H532" s="5"/>
    </row>
    <row r="533">
      <c r="C533" s="5"/>
      <c r="D533" s="5"/>
      <c r="E533" s="5"/>
      <c r="F533" s="5"/>
      <c r="G533" s="5"/>
      <c r="H533" s="5"/>
    </row>
    <row r="534">
      <c r="C534" s="5"/>
      <c r="D534" s="5"/>
      <c r="E534" s="5"/>
      <c r="F534" s="5"/>
      <c r="G534" s="5"/>
      <c r="H534" s="5"/>
    </row>
    <row r="535">
      <c r="C535" s="5"/>
      <c r="D535" s="5"/>
      <c r="E535" s="5"/>
      <c r="F535" s="5"/>
      <c r="G535" s="5"/>
      <c r="H535" s="5"/>
    </row>
    <row r="536">
      <c r="C536" s="5"/>
      <c r="D536" s="5"/>
      <c r="E536" s="5"/>
      <c r="F536" s="5"/>
      <c r="G536" s="5"/>
      <c r="H536" s="5"/>
    </row>
    <row r="537">
      <c r="C537" s="5"/>
      <c r="D537" s="5"/>
      <c r="E537" s="5"/>
      <c r="F537" s="5"/>
      <c r="G537" s="5"/>
      <c r="H537" s="5"/>
    </row>
    <row r="538">
      <c r="C538" s="5"/>
      <c r="D538" s="5"/>
      <c r="E538" s="5"/>
      <c r="F538" s="5"/>
      <c r="G538" s="5"/>
      <c r="H538" s="5"/>
    </row>
    <row r="539">
      <c r="C539" s="5"/>
      <c r="D539" s="5"/>
      <c r="E539" s="5"/>
      <c r="F539" s="5"/>
      <c r="G539" s="5"/>
      <c r="H539" s="5"/>
    </row>
    <row r="540">
      <c r="C540" s="5"/>
      <c r="D540" s="5"/>
      <c r="E540" s="5"/>
      <c r="F540" s="5"/>
      <c r="G540" s="5"/>
      <c r="H540" s="5"/>
    </row>
    <row r="541">
      <c r="C541" s="5"/>
      <c r="D541" s="5"/>
      <c r="E541" s="5"/>
      <c r="F541" s="5"/>
      <c r="G541" s="5"/>
      <c r="H541" s="5"/>
    </row>
    <row r="542">
      <c r="C542" s="5"/>
      <c r="D542" s="5"/>
      <c r="E542" s="5"/>
      <c r="F542" s="5"/>
      <c r="G542" s="5"/>
      <c r="H542" s="5"/>
    </row>
    <row r="543">
      <c r="C543" s="5"/>
      <c r="D543" s="5"/>
      <c r="E543" s="5"/>
      <c r="F543" s="5"/>
      <c r="G543" s="5"/>
      <c r="H543" s="5"/>
    </row>
    <row r="544">
      <c r="C544" s="5"/>
      <c r="D544" s="5"/>
      <c r="E544" s="5"/>
      <c r="F544" s="5"/>
      <c r="G544" s="5"/>
      <c r="H544" s="5"/>
    </row>
    <row r="545">
      <c r="C545" s="5"/>
      <c r="D545" s="5"/>
      <c r="E545" s="5"/>
      <c r="F545" s="5"/>
      <c r="G545" s="5"/>
      <c r="H545" s="5"/>
    </row>
    <row r="546">
      <c r="C546" s="5"/>
      <c r="D546" s="5"/>
      <c r="E546" s="5"/>
      <c r="F546" s="5"/>
      <c r="G546" s="5"/>
      <c r="H546" s="5"/>
    </row>
    <row r="547">
      <c r="C547" s="5"/>
      <c r="D547" s="5"/>
      <c r="E547" s="5"/>
      <c r="F547" s="5"/>
      <c r="G547" s="5"/>
      <c r="H547" s="5"/>
    </row>
    <row r="548">
      <c r="C548" s="5"/>
      <c r="D548" s="5"/>
      <c r="E548" s="5"/>
      <c r="F548" s="5"/>
      <c r="G548" s="5"/>
      <c r="H548" s="5"/>
    </row>
    <row r="549">
      <c r="C549" s="5"/>
      <c r="D549" s="5"/>
      <c r="E549" s="5"/>
      <c r="F549" s="5"/>
      <c r="G549" s="5"/>
      <c r="H549" s="5"/>
    </row>
    <row r="550">
      <c r="C550" s="5"/>
      <c r="D550" s="5"/>
      <c r="E550" s="5"/>
      <c r="F550" s="5"/>
      <c r="G550" s="5"/>
      <c r="H550" s="5"/>
    </row>
    <row r="551">
      <c r="C551" s="5"/>
      <c r="D551" s="5"/>
      <c r="E551" s="5"/>
      <c r="F551" s="5"/>
      <c r="G551" s="5"/>
      <c r="H551" s="5"/>
    </row>
    <row r="552">
      <c r="C552" s="5"/>
      <c r="D552" s="5"/>
      <c r="E552" s="5"/>
      <c r="F552" s="5"/>
      <c r="G552" s="5"/>
      <c r="H552" s="5"/>
    </row>
    <row r="553">
      <c r="C553" s="5"/>
      <c r="D553" s="5"/>
      <c r="E553" s="5"/>
      <c r="F553" s="5"/>
      <c r="G553" s="5"/>
      <c r="H553" s="5"/>
    </row>
    <row r="554">
      <c r="C554" s="5"/>
      <c r="D554" s="5"/>
      <c r="E554" s="5"/>
      <c r="F554" s="5"/>
      <c r="G554" s="5"/>
      <c r="H554" s="5"/>
    </row>
    <row r="555">
      <c r="C555" s="5"/>
      <c r="D555" s="5"/>
      <c r="E555" s="5"/>
      <c r="F555" s="5"/>
      <c r="G555" s="5"/>
      <c r="H555" s="5"/>
    </row>
    <row r="556">
      <c r="C556" s="5"/>
      <c r="D556" s="5"/>
      <c r="E556" s="5"/>
      <c r="F556" s="5"/>
      <c r="G556" s="5"/>
      <c r="H556" s="5"/>
    </row>
    <row r="557">
      <c r="C557" s="5"/>
      <c r="D557" s="5"/>
      <c r="E557" s="5"/>
      <c r="F557" s="5"/>
      <c r="G557" s="5"/>
      <c r="H557" s="5"/>
    </row>
    <row r="558">
      <c r="C558" s="5"/>
      <c r="D558" s="5"/>
      <c r="E558" s="5"/>
      <c r="F558" s="5"/>
      <c r="G558" s="5"/>
      <c r="H558" s="5"/>
    </row>
    <row r="559">
      <c r="C559" s="5"/>
      <c r="D559" s="5"/>
      <c r="E559" s="5"/>
      <c r="F559" s="5"/>
      <c r="G559" s="5"/>
      <c r="H559" s="5"/>
    </row>
    <row r="560">
      <c r="C560" s="5"/>
      <c r="D560" s="5"/>
      <c r="E560" s="5"/>
      <c r="F560" s="5"/>
      <c r="G560" s="5"/>
      <c r="H560" s="5"/>
    </row>
    <row r="561">
      <c r="C561" s="5"/>
      <c r="D561" s="5"/>
      <c r="E561" s="5"/>
      <c r="F561" s="5"/>
      <c r="G561" s="5"/>
      <c r="H561" s="5"/>
    </row>
    <row r="562">
      <c r="C562" s="5"/>
      <c r="D562" s="5"/>
      <c r="E562" s="5"/>
      <c r="F562" s="5"/>
      <c r="G562" s="5"/>
      <c r="H562" s="5"/>
    </row>
    <row r="563">
      <c r="C563" s="5"/>
      <c r="D563" s="5"/>
      <c r="E563" s="5"/>
      <c r="F563" s="5"/>
      <c r="G563" s="5"/>
      <c r="H563" s="5"/>
    </row>
    <row r="564">
      <c r="C564" s="5"/>
      <c r="D564" s="5"/>
      <c r="E564" s="5"/>
      <c r="F564" s="5"/>
      <c r="G564" s="5"/>
      <c r="H564" s="5"/>
    </row>
    <row r="565">
      <c r="C565" s="5"/>
      <c r="D565" s="5"/>
      <c r="E565" s="5"/>
      <c r="F565" s="5"/>
      <c r="G565" s="5"/>
      <c r="H565" s="5"/>
    </row>
    <row r="566">
      <c r="C566" s="5"/>
      <c r="D566" s="5"/>
      <c r="E566" s="5"/>
      <c r="F566" s="5"/>
      <c r="G566" s="5"/>
      <c r="H566" s="5"/>
    </row>
    <row r="567">
      <c r="C567" s="5"/>
      <c r="D567" s="5"/>
      <c r="E567" s="5"/>
      <c r="F567" s="5"/>
      <c r="G567" s="5"/>
      <c r="H567" s="5"/>
    </row>
    <row r="568">
      <c r="C568" s="5"/>
      <c r="D568" s="5"/>
      <c r="E568" s="5"/>
      <c r="F568" s="5"/>
      <c r="G568" s="5"/>
      <c r="H568" s="5"/>
    </row>
    <row r="569">
      <c r="C569" s="5"/>
      <c r="D569" s="5"/>
      <c r="E569" s="5"/>
      <c r="F569" s="5"/>
      <c r="G569" s="5"/>
      <c r="H569" s="5"/>
    </row>
    <row r="570">
      <c r="C570" s="5"/>
      <c r="D570" s="5"/>
      <c r="E570" s="5"/>
      <c r="F570" s="5"/>
      <c r="G570" s="5"/>
      <c r="H570" s="5"/>
    </row>
    <row r="571">
      <c r="C571" s="5"/>
      <c r="D571" s="5"/>
      <c r="E571" s="5"/>
      <c r="F571" s="5"/>
      <c r="G571" s="5"/>
      <c r="H571" s="5"/>
    </row>
    <row r="572">
      <c r="C572" s="5"/>
      <c r="D572" s="5"/>
      <c r="E572" s="5"/>
      <c r="F572" s="5"/>
      <c r="G572" s="5"/>
      <c r="H572" s="5"/>
    </row>
    <row r="573">
      <c r="C573" s="5"/>
      <c r="D573" s="5"/>
      <c r="E573" s="5"/>
      <c r="F573" s="5"/>
      <c r="G573" s="5"/>
      <c r="H573" s="5"/>
    </row>
    <row r="574">
      <c r="C574" s="5"/>
      <c r="D574" s="5"/>
      <c r="E574" s="5"/>
      <c r="F574" s="5"/>
      <c r="G574" s="5"/>
      <c r="H574" s="5"/>
    </row>
    <row r="575">
      <c r="C575" s="5"/>
      <c r="D575" s="5"/>
      <c r="E575" s="5"/>
      <c r="F575" s="5"/>
      <c r="G575" s="5"/>
      <c r="H575" s="5"/>
    </row>
    <row r="576">
      <c r="C576" s="5"/>
      <c r="D576" s="5"/>
      <c r="E576" s="5"/>
      <c r="F576" s="5"/>
      <c r="G576" s="5"/>
      <c r="H576" s="5"/>
    </row>
    <row r="577">
      <c r="C577" s="5"/>
      <c r="D577" s="5"/>
      <c r="E577" s="5"/>
      <c r="F577" s="5"/>
      <c r="G577" s="5"/>
      <c r="H577" s="5"/>
    </row>
    <row r="578">
      <c r="C578" s="5"/>
      <c r="D578" s="5"/>
      <c r="E578" s="5"/>
      <c r="F578" s="5"/>
      <c r="G578" s="5"/>
      <c r="H578" s="5"/>
    </row>
    <row r="579">
      <c r="C579" s="5"/>
      <c r="D579" s="5"/>
      <c r="E579" s="5"/>
      <c r="F579" s="5"/>
      <c r="G579" s="5"/>
      <c r="H579" s="5"/>
    </row>
    <row r="580">
      <c r="C580" s="5"/>
      <c r="D580" s="5"/>
      <c r="E580" s="5"/>
      <c r="F580" s="5"/>
      <c r="G580" s="5"/>
      <c r="H580" s="5"/>
    </row>
    <row r="581">
      <c r="C581" s="5"/>
      <c r="D581" s="5"/>
      <c r="E581" s="5"/>
      <c r="F581" s="5"/>
      <c r="G581" s="5"/>
      <c r="H581" s="5"/>
    </row>
    <row r="582">
      <c r="C582" s="5"/>
      <c r="D582" s="5"/>
      <c r="E582" s="5"/>
      <c r="F582" s="5"/>
      <c r="G582" s="5"/>
      <c r="H582" s="5"/>
    </row>
    <row r="583">
      <c r="C583" s="5"/>
      <c r="D583" s="5"/>
      <c r="E583" s="5"/>
      <c r="F583" s="5"/>
      <c r="G583" s="5"/>
      <c r="H583" s="5"/>
    </row>
    <row r="584">
      <c r="C584" s="5"/>
      <c r="D584" s="5"/>
      <c r="E584" s="5"/>
      <c r="F584" s="5"/>
      <c r="G584" s="5"/>
      <c r="H584" s="5"/>
    </row>
    <row r="585">
      <c r="C585" s="5"/>
      <c r="D585" s="5"/>
      <c r="E585" s="5"/>
      <c r="F585" s="5"/>
      <c r="G585" s="5"/>
      <c r="H585" s="5"/>
    </row>
    <row r="586">
      <c r="C586" s="5"/>
      <c r="D586" s="5"/>
      <c r="E586" s="5"/>
      <c r="F586" s="5"/>
      <c r="G586" s="5"/>
      <c r="H586" s="5"/>
    </row>
    <row r="587">
      <c r="C587" s="5"/>
      <c r="D587" s="5"/>
      <c r="E587" s="5"/>
      <c r="F587" s="5"/>
      <c r="G587" s="5"/>
      <c r="H587" s="5"/>
    </row>
    <row r="588">
      <c r="C588" s="5"/>
      <c r="D588" s="5"/>
      <c r="E588" s="5"/>
      <c r="F588" s="5"/>
      <c r="G588" s="5"/>
      <c r="H588" s="5"/>
    </row>
    <row r="589">
      <c r="C589" s="5"/>
      <c r="D589" s="5"/>
      <c r="E589" s="5"/>
      <c r="F589" s="5"/>
      <c r="G589" s="5"/>
      <c r="H589" s="5"/>
    </row>
    <row r="590">
      <c r="C590" s="5"/>
      <c r="D590" s="5"/>
      <c r="E590" s="5"/>
      <c r="F590" s="5"/>
      <c r="G590" s="5"/>
      <c r="H590" s="5"/>
    </row>
    <row r="591">
      <c r="C591" s="5"/>
      <c r="D591" s="5"/>
      <c r="E591" s="5"/>
      <c r="F591" s="5"/>
      <c r="G591" s="5"/>
      <c r="H591" s="5"/>
    </row>
    <row r="592">
      <c r="C592" s="5"/>
      <c r="D592" s="5"/>
      <c r="E592" s="5"/>
      <c r="F592" s="5"/>
      <c r="G592" s="5"/>
      <c r="H592" s="5"/>
    </row>
    <row r="593">
      <c r="C593" s="5"/>
      <c r="D593" s="5"/>
      <c r="E593" s="5"/>
      <c r="F593" s="5"/>
      <c r="G593" s="5"/>
      <c r="H593" s="5"/>
    </row>
    <row r="594">
      <c r="C594" s="5"/>
      <c r="D594" s="5"/>
      <c r="E594" s="5"/>
      <c r="F594" s="5"/>
      <c r="G594" s="5"/>
      <c r="H594" s="5"/>
    </row>
    <row r="595">
      <c r="C595" s="5"/>
      <c r="D595" s="5"/>
      <c r="E595" s="5"/>
      <c r="F595" s="5"/>
      <c r="G595" s="5"/>
      <c r="H595" s="5"/>
    </row>
    <row r="596">
      <c r="C596" s="5"/>
      <c r="D596" s="5"/>
      <c r="E596" s="5"/>
      <c r="F596" s="5"/>
      <c r="G596" s="5"/>
      <c r="H596" s="5"/>
    </row>
    <row r="597">
      <c r="C597" s="5"/>
      <c r="D597" s="5"/>
      <c r="E597" s="5"/>
      <c r="F597" s="5"/>
      <c r="G597" s="5"/>
      <c r="H597" s="5"/>
    </row>
    <row r="598">
      <c r="C598" s="5"/>
      <c r="D598" s="5"/>
      <c r="E598" s="5"/>
      <c r="F598" s="5"/>
      <c r="G598" s="5"/>
      <c r="H598" s="5"/>
    </row>
    <row r="599">
      <c r="C599" s="5"/>
      <c r="D599" s="5"/>
      <c r="E599" s="5"/>
      <c r="F599" s="5"/>
      <c r="G599" s="5"/>
      <c r="H599" s="5"/>
    </row>
    <row r="600">
      <c r="C600" s="5"/>
      <c r="D600" s="5"/>
      <c r="E600" s="5"/>
      <c r="F600" s="5"/>
      <c r="G600" s="5"/>
      <c r="H600" s="5"/>
    </row>
    <row r="601">
      <c r="C601" s="5"/>
      <c r="D601" s="5"/>
      <c r="E601" s="5"/>
      <c r="F601" s="5"/>
      <c r="G601" s="5"/>
      <c r="H601" s="5"/>
    </row>
    <row r="602">
      <c r="C602" s="5"/>
      <c r="D602" s="5"/>
      <c r="E602" s="5"/>
      <c r="F602" s="5"/>
      <c r="G602" s="5"/>
      <c r="H602" s="5"/>
    </row>
    <row r="603">
      <c r="C603" s="5"/>
      <c r="D603" s="5"/>
      <c r="E603" s="5"/>
      <c r="F603" s="5"/>
      <c r="G603" s="5"/>
      <c r="H603" s="5"/>
    </row>
    <row r="604">
      <c r="C604" s="5"/>
      <c r="D604" s="5"/>
      <c r="E604" s="5"/>
      <c r="F604" s="5"/>
      <c r="G604" s="5"/>
      <c r="H604" s="5"/>
    </row>
    <row r="605">
      <c r="C605" s="5"/>
      <c r="D605" s="5"/>
      <c r="E605" s="5"/>
      <c r="F605" s="5"/>
      <c r="G605" s="5"/>
      <c r="H605" s="5"/>
    </row>
    <row r="606">
      <c r="C606" s="5"/>
      <c r="D606" s="5"/>
      <c r="E606" s="5"/>
      <c r="F606" s="5"/>
      <c r="G606" s="5"/>
      <c r="H606" s="5"/>
    </row>
    <row r="607">
      <c r="C607" s="5"/>
      <c r="D607" s="5"/>
      <c r="E607" s="5"/>
      <c r="F607" s="5"/>
      <c r="G607" s="5"/>
      <c r="H607" s="5"/>
    </row>
    <row r="608">
      <c r="C608" s="5"/>
      <c r="D608" s="5"/>
      <c r="E608" s="5"/>
      <c r="F608" s="5"/>
      <c r="G608" s="5"/>
      <c r="H608" s="5"/>
    </row>
    <row r="609">
      <c r="C609" s="5"/>
      <c r="D609" s="5"/>
      <c r="E609" s="5"/>
      <c r="F609" s="5"/>
      <c r="G609" s="5"/>
      <c r="H609" s="5"/>
    </row>
    <row r="610">
      <c r="C610" s="5"/>
      <c r="D610" s="5"/>
      <c r="E610" s="5"/>
      <c r="F610" s="5"/>
      <c r="G610" s="5"/>
      <c r="H610" s="5"/>
    </row>
    <row r="611">
      <c r="C611" s="5"/>
      <c r="D611" s="5"/>
      <c r="E611" s="5"/>
      <c r="F611" s="5"/>
      <c r="G611" s="5"/>
      <c r="H611" s="5"/>
    </row>
    <row r="612">
      <c r="C612" s="5"/>
      <c r="D612" s="5"/>
      <c r="E612" s="5"/>
      <c r="F612" s="5"/>
      <c r="G612" s="5"/>
      <c r="H612" s="5"/>
    </row>
    <row r="613">
      <c r="C613" s="5"/>
      <c r="D613" s="5"/>
      <c r="E613" s="5"/>
      <c r="F613" s="5"/>
      <c r="G613" s="5"/>
      <c r="H613" s="5"/>
    </row>
    <row r="614">
      <c r="C614" s="5"/>
      <c r="D614" s="5"/>
      <c r="E614" s="5"/>
      <c r="F614" s="5"/>
      <c r="G614" s="5"/>
      <c r="H614" s="5"/>
    </row>
    <row r="615">
      <c r="C615" s="5"/>
      <c r="D615" s="5"/>
      <c r="E615" s="5"/>
      <c r="F615" s="5"/>
      <c r="G615" s="5"/>
      <c r="H615" s="5"/>
    </row>
    <row r="616">
      <c r="C616" s="5"/>
      <c r="D616" s="5"/>
      <c r="E616" s="5"/>
      <c r="F616" s="5"/>
      <c r="G616" s="5"/>
      <c r="H616" s="5"/>
    </row>
    <row r="617">
      <c r="C617" s="5"/>
      <c r="D617" s="5"/>
      <c r="E617" s="5"/>
      <c r="F617" s="5"/>
      <c r="G617" s="5"/>
      <c r="H617" s="5"/>
    </row>
    <row r="618">
      <c r="C618" s="5"/>
      <c r="D618" s="5"/>
      <c r="E618" s="5"/>
      <c r="F618" s="5"/>
      <c r="G618" s="5"/>
      <c r="H618" s="5"/>
    </row>
    <row r="619">
      <c r="C619" s="5"/>
      <c r="D619" s="5"/>
      <c r="E619" s="5"/>
      <c r="F619" s="5"/>
      <c r="G619" s="5"/>
      <c r="H619" s="5"/>
    </row>
    <row r="620">
      <c r="C620" s="5"/>
      <c r="D620" s="5"/>
      <c r="E620" s="5"/>
      <c r="F620" s="5"/>
      <c r="G620" s="5"/>
      <c r="H620" s="5"/>
    </row>
    <row r="621">
      <c r="C621" s="5"/>
      <c r="D621" s="5"/>
      <c r="E621" s="5"/>
      <c r="F621" s="5"/>
      <c r="G621" s="5"/>
      <c r="H621" s="5"/>
    </row>
    <row r="622">
      <c r="C622" s="5"/>
      <c r="D622" s="5"/>
      <c r="E622" s="5"/>
      <c r="F622" s="5"/>
      <c r="G622" s="5"/>
      <c r="H622" s="5"/>
    </row>
    <row r="623">
      <c r="C623" s="5"/>
      <c r="D623" s="5"/>
      <c r="E623" s="5"/>
      <c r="F623" s="5"/>
      <c r="G623" s="5"/>
      <c r="H623" s="5"/>
    </row>
    <row r="624">
      <c r="C624" s="5"/>
      <c r="D624" s="5"/>
      <c r="E624" s="5"/>
      <c r="F624" s="5"/>
      <c r="G624" s="5"/>
      <c r="H624" s="5"/>
    </row>
    <row r="625">
      <c r="C625" s="5"/>
      <c r="D625" s="5"/>
      <c r="E625" s="5"/>
      <c r="F625" s="5"/>
      <c r="G625" s="5"/>
      <c r="H625" s="5"/>
    </row>
    <row r="626">
      <c r="C626" s="5"/>
      <c r="D626" s="5"/>
      <c r="E626" s="5"/>
      <c r="F626" s="5"/>
      <c r="G626" s="5"/>
      <c r="H626" s="5"/>
    </row>
    <row r="627">
      <c r="C627" s="5"/>
      <c r="D627" s="5"/>
      <c r="E627" s="5"/>
      <c r="F627" s="5"/>
      <c r="G627" s="5"/>
      <c r="H627" s="5"/>
    </row>
    <row r="628">
      <c r="C628" s="5"/>
      <c r="D628" s="5"/>
      <c r="E628" s="5"/>
      <c r="F628" s="5"/>
      <c r="G628" s="5"/>
      <c r="H628" s="5"/>
    </row>
    <row r="629">
      <c r="C629" s="5"/>
      <c r="D629" s="5"/>
      <c r="E629" s="5"/>
      <c r="F629" s="5"/>
      <c r="G629" s="5"/>
      <c r="H629" s="5"/>
    </row>
    <row r="630">
      <c r="C630" s="5"/>
      <c r="D630" s="5"/>
      <c r="E630" s="5"/>
      <c r="F630" s="5"/>
      <c r="G630" s="5"/>
      <c r="H630" s="5"/>
    </row>
    <row r="631">
      <c r="C631" s="5"/>
      <c r="D631" s="5"/>
      <c r="E631" s="5"/>
      <c r="F631" s="5"/>
      <c r="G631" s="5"/>
      <c r="H631" s="5"/>
    </row>
    <row r="632">
      <c r="C632" s="5"/>
      <c r="D632" s="5"/>
      <c r="E632" s="5"/>
      <c r="F632" s="5"/>
      <c r="G632" s="5"/>
      <c r="H632" s="5"/>
    </row>
    <row r="633">
      <c r="C633" s="5"/>
      <c r="D633" s="5"/>
      <c r="E633" s="5"/>
      <c r="F633" s="5"/>
      <c r="G633" s="5"/>
      <c r="H633" s="5"/>
    </row>
    <row r="634">
      <c r="C634" s="5"/>
      <c r="D634" s="5"/>
      <c r="E634" s="5"/>
      <c r="F634" s="5"/>
      <c r="G634" s="5"/>
      <c r="H634" s="5"/>
    </row>
    <row r="635">
      <c r="C635" s="5"/>
      <c r="D635" s="5"/>
      <c r="E635" s="5"/>
      <c r="F635" s="5"/>
      <c r="G635" s="5"/>
      <c r="H635" s="5"/>
    </row>
    <row r="636">
      <c r="C636" s="5"/>
      <c r="D636" s="5"/>
      <c r="E636" s="5"/>
      <c r="F636" s="5"/>
      <c r="G636" s="5"/>
      <c r="H636" s="5"/>
    </row>
    <row r="637">
      <c r="C637" s="5"/>
      <c r="D637" s="5"/>
      <c r="E637" s="5"/>
      <c r="F637" s="5"/>
      <c r="G637" s="5"/>
      <c r="H637" s="5"/>
    </row>
    <row r="638">
      <c r="C638" s="5"/>
      <c r="D638" s="5"/>
      <c r="E638" s="5"/>
      <c r="F638" s="5"/>
      <c r="G638" s="5"/>
      <c r="H638" s="5"/>
    </row>
    <row r="639">
      <c r="C639" s="5"/>
      <c r="D639" s="5"/>
      <c r="E639" s="5"/>
      <c r="F639" s="5"/>
      <c r="G639" s="5"/>
      <c r="H639" s="5"/>
    </row>
    <row r="640">
      <c r="C640" s="5"/>
      <c r="D640" s="5"/>
      <c r="E640" s="5"/>
      <c r="F640" s="5"/>
      <c r="G640" s="5"/>
      <c r="H640" s="5"/>
    </row>
    <row r="641">
      <c r="C641" s="5"/>
      <c r="D641" s="5"/>
      <c r="E641" s="5"/>
      <c r="F641" s="5"/>
      <c r="G641" s="5"/>
      <c r="H641" s="5"/>
    </row>
    <row r="642">
      <c r="C642" s="5"/>
      <c r="D642" s="5"/>
      <c r="E642" s="5"/>
      <c r="F642" s="5"/>
      <c r="G642" s="5"/>
      <c r="H642" s="5"/>
    </row>
    <row r="643">
      <c r="C643" s="5"/>
      <c r="D643" s="5"/>
      <c r="E643" s="5"/>
      <c r="F643" s="5"/>
      <c r="G643" s="5"/>
      <c r="H643" s="5"/>
    </row>
    <row r="644">
      <c r="C644" s="5"/>
      <c r="D644" s="5"/>
      <c r="E644" s="5"/>
      <c r="F644" s="5"/>
      <c r="G644" s="5"/>
      <c r="H644" s="5"/>
    </row>
    <row r="645">
      <c r="C645" s="5"/>
      <c r="D645" s="5"/>
      <c r="E645" s="5"/>
      <c r="F645" s="5"/>
      <c r="G645" s="5"/>
      <c r="H645" s="5"/>
    </row>
    <row r="646">
      <c r="C646" s="5"/>
      <c r="D646" s="5"/>
      <c r="E646" s="5"/>
      <c r="F646" s="5"/>
      <c r="G646" s="5"/>
      <c r="H646" s="5"/>
    </row>
    <row r="647">
      <c r="C647" s="5"/>
      <c r="D647" s="5"/>
      <c r="E647" s="5"/>
      <c r="F647" s="5"/>
      <c r="G647" s="5"/>
      <c r="H647" s="5"/>
    </row>
    <row r="648">
      <c r="C648" s="5"/>
      <c r="D648" s="5"/>
      <c r="E648" s="5"/>
      <c r="F648" s="5"/>
      <c r="G648" s="5"/>
      <c r="H648" s="5"/>
    </row>
    <row r="649">
      <c r="C649" s="5"/>
      <c r="D649" s="5"/>
      <c r="E649" s="5"/>
      <c r="F649" s="5"/>
      <c r="G649" s="5"/>
      <c r="H649" s="5"/>
    </row>
    <row r="650">
      <c r="C650" s="5"/>
      <c r="D650" s="5"/>
      <c r="E650" s="5"/>
      <c r="F650" s="5"/>
      <c r="G650" s="5"/>
      <c r="H650" s="5"/>
    </row>
    <row r="651">
      <c r="C651" s="5"/>
      <c r="D651" s="5"/>
      <c r="E651" s="5"/>
      <c r="F651" s="5"/>
      <c r="G651" s="5"/>
      <c r="H651" s="5"/>
    </row>
    <row r="652">
      <c r="C652" s="5"/>
      <c r="D652" s="5"/>
      <c r="E652" s="5"/>
      <c r="F652" s="5"/>
      <c r="G652" s="5"/>
      <c r="H652" s="5"/>
    </row>
    <row r="653">
      <c r="C653" s="5"/>
      <c r="D653" s="5"/>
      <c r="E653" s="5"/>
      <c r="F653" s="5"/>
      <c r="G653" s="5"/>
      <c r="H653" s="5"/>
    </row>
    <row r="654">
      <c r="C654" s="5"/>
      <c r="D654" s="5"/>
      <c r="E654" s="5"/>
      <c r="F654" s="5"/>
      <c r="G654" s="5"/>
      <c r="H654" s="5"/>
    </row>
    <row r="655">
      <c r="C655" s="5"/>
      <c r="D655" s="5"/>
      <c r="E655" s="5"/>
      <c r="F655" s="5"/>
      <c r="G655" s="5"/>
      <c r="H655" s="5"/>
    </row>
    <row r="656">
      <c r="C656" s="5"/>
      <c r="D656" s="5"/>
      <c r="E656" s="5"/>
      <c r="F656" s="5"/>
      <c r="G656" s="5"/>
      <c r="H656" s="5"/>
    </row>
    <row r="657">
      <c r="C657" s="5"/>
      <c r="D657" s="5"/>
      <c r="E657" s="5"/>
      <c r="F657" s="5"/>
      <c r="G657" s="5"/>
      <c r="H657" s="5"/>
    </row>
    <row r="658">
      <c r="C658" s="5"/>
      <c r="D658" s="5"/>
      <c r="E658" s="5"/>
      <c r="F658" s="5"/>
      <c r="G658" s="5"/>
      <c r="H658" s="5"/>
    </row>
    <row r="659">
      <c r="C659" s="5"/>
      <c r="D659" s="5"/>
      <c r="E659" s="5"/>
      <c r="F659" s="5"/>
      <c r="G659" s="5"/>
      <c r="H659" s="5"/>
    </row>
    <row r="660">
      <c r="C660" s="5"/>
      <c r="D660" s="5"/>
      <c r="E660" s="5"/>
      <c r="F660" s="5"/>
      <c r="G660" s="5"/>
      <c r="H660" s="5"/>
    </row>
    <row r="661">
      <c r="C661" s="5"/>
      <c r="D661" s="5"/>
      <c r="E661" s="5"/>
      <c r="F661" s="5"/>
      <c r="G661" s="5"/>
      <c r="H661" s="5"/>
    </row>
    <row r="662">
      <c r="C662" s="5"/>
      <c r="D662" s="5"/>
      <c r="E662" s="5"/>
      <c r="F662" s="5"/>
      <c r="G662" s="5"/>
      <c r="H662" s="5"/>
    </row>
    <row r="663">
      <c r="C663" s="5"/>
      <c r="D663" s="5"/>
      <c r="E663" s="5"/>
      <c r="F663" s="5"/>
      <c r="G663" s="5"/>
      <c r="H663" s="5"/>
    </row>
    <row r="664">
      <c r="C664" s="5"/>
      <c r="D664" s="5"/>
      <c r="E664" s="5"/>
      <c r="F664" s="5"/>
      <c r="G664" s="5"/>
      <c r="H664" s="5"/>
    </row>
    <row r="665">
      <c r="C665" s="5"/>
      <c r="D665" s="5"/>
      <c r="E665" s="5"/>
      <c r="F665" s="5"/>
      <c r="G665" s="5"/>
      <c r="H665" s="5"/>
    </row>
    <row r="666">
      <c r="C666" s="5"/>
      <c r="D666" s="5"/>
      <c r="E666" s="5"/>
      <c r="F666" s="5"/>
      <c r="G666" s="5"/>
      <c r="H666" s="5"/>
    </row>
    <row r="667">
      <c r="C667" s="5"/>
      <c r="D667" s="5"/>
      <c r="E667" s="5"/>
      <c r="F667" s="5"/>
      <c r="G667" s="5"/>
      <c r="H667" s="5"/>
    </row>
    <row r="668">
      <c r="C668" s="5"/>
      <c r="D668" s="5"/>
      <c r="E668" s="5"/>
      <c r="F668" s="5"/>
      <c r="G668" s="5"/>
      <c r="H668" s="5"/>
    </row>
    <row r="669">
      <c r="C669" s="5"/>
      <c r="D669" s="5"/>
      <c r="E669" s="5"/>
      <c r="F669" s="5"/>
      <c r="G669" s="5"/>
      <c r="H669" s="5"/>
    </row>
    <row r="670">
      <c r="C670" s="5"/>
      <c r="D670" s="5"/>
      <c r="E670" s="5"/>
      <c r="F670" s="5"/>
      <c r="G670" s="5"/>
      <c r="H670" s="5"/>
    </row>
    <row r="671">
      <c r="C671" s="5"/>
      <c r="D671" s="5"/>
      <c r="E671" s="5"/>
      <c r="F671" s="5"/>
      <c r="G671" s="5"/>
      <c r="H671" s="5"/>
    </row>
    <row r="672">
      <c r="C672" s="5"/>
      <c r="D672" s="5"/>
      <c r="E672" s="5"/>
      <c r="F672" s="5"/>
      <c r="G672" s="5"/>
      <c r="H672" s="5"/>
    </row>
    <row r="673">
      <c r="C673" s="5"/>
      <c r="D673" s="5"/>
      <c r="E673" s="5"/>
      <c r="F673" s="5"/>
      <c r="G673" s="5"/>
      <c r="H673" s="5"/>
    </row>
    <row r="674">
      <c r="C674" s="5"/>
      <c r="D674" s="5"/>
      <c r="E674" s="5"/>
      <c r="F674" s="5"/>
      <c r="G674" s="5"/>
      <c r="H674" s="5"/>
    </row>
    <row r="675">
      <c r="C675" s="5"/>
      <c r="D675" s="5"/>
      <c r="E675" s="5"/>
      <c r="F675" s="5"/>
      <c r="G675" s="5"/>
      <c r="H675" s="5"/>
    </row>
    <row r="676">
      <c r="C676" s="5"/>
      <c r="D676" s="5"/>
      <c r="E676" s="5"/>
      <c r="F676" s="5"/>
      <c r="G676" s="5"/>
      <c r="H676" s="5"/>
    </row>
    <row r="677">
      <c r="C677" s="5"/>
      <c r="D677" s="5"/>
      <c r="E677" s="5"/>
      <c r="F677" s="5"/>
      <c r="G677" s="5"/>
      <c r="H677" s="5"/>
    </row>
    <row r="678">
      <c r="C678" s="5"/>
      <c r="D678" s="5"/>
      <c r="E678" s="5"/>
      <c r="F678" s="5"/>
      <c r="G678" s="5"/>
      <c r="H678" s="5"/>
    </row>
    <row r="679">
      <c r="C679" s="5"/>
      <c r="D679" s="5"/>
      <c r="E679" s="5"/>
      <c r="F679" s="5"/>
      <c r="G679" s="5"/>
      <c r="H679" s="5"/>
    </row>
    <row r="680">
      <c r="C680" s="5"/>
      <c r="D680" s="5"/>
      <c r="E680" s="5"/>
      <c r="F680" s="5"/>
      <c r="G680" s="5"/>
      <c r="H680" s="5"/>
    </row>
    <row r="681">
      <c r="C681" s="5"/>
      <c r="D681" s="5"/>
      <c r="E681" s="5"/>
      <c r="F681" s="5"/>
      <c r="G681" s="5"/>
      <c r="H681" s="5"/>
    </row>
    <row r="682">
      <c r="C682" s="5"/>
      <c r="D682" s="5"/>
      <c r="E682" s="5"/>
      <c r="F682" s="5"/>
      <c r="G682" s="5"/>
      <c r="H682" s="5"/>
    </row>
    <row r="683">
      <c r="C683" s="5"/>
      <c r="D683" s="5"/>
      <c r="E683" s="5"/>
      <c r="F683" s="5"/>
      <c r="G683" s="5"/>
      <c r="H683" s="5"/>
    </row>
    <row r="684">
      <c r="C684" s="5"/>
      <c r="D684" s="5"/>
      <c r="E684" s="5"/>
      <c r="F684" s="5"/>
      <c r="G684" s="5"/>
      <c r="H684" s="5"/>
    </row>
    <row r="685">
      <c r="C685" s="5"/>
      <c r="D685" s="5"/>
      <c r="E685" s="5"/>
      <c r="F685" s="5"/>
      <c r="G685" s="5"/>
      <c r="H685" s="5"/>
    </row>
    <row r="686">
      <c r="C686" s="5"/>
      <c r="D686" s="5"/>
      <c r="E686" s="5"/>
      <c r="F686" s="5"/>
      <c r="G686" s="5"/>
      <c r="H686" s="5"/>
    </row>
    <row r="687">
      <c r="C687" s="5"/>
      <c r="D687" s="5"/>
      <c r="E687" s="5"/>
      <c r="F687" s="5"/>
      <c r="G687" s="5"/>
      <c r="H687" s="5"/>
    </row>
    <row r="688">
      <c r="C688" s="5"/>
      <c r="D688" s="5"/>
      <c r="E688" s="5"/>
      <c r="F688" s="5"/>
      <c r="G688" s="5"/>
      <c r="H688" s="5"/>
    </row>
    <row r="689">
      <c r="C689" s="5"/>
      <c r="D689" s="5"/>
      <c r="E689" s="5"/>
      <c r="F689" s="5"/>
      <c r="G689" s="5"/>
      <c r="H689" s="5"/>
    </row>
    <row r="690">
      <c r="C690" s="5"/>
      <c r="D690" s="5"/>
      <c r="E690" s="5"/>
      <c r="F690" s="5"/>
      <c r="G690" s="5"/>
      <c r="H690" s="5"/>
    </row>
  </sheetData>
  <conditionalFormatting sqref="C1:C690 E1:E690 G1:G690 D2:D311 F2:F311 H2:H311">
    <cfRule type="containsText" dxfId="0" priority="1" operator="containsText" text="yes">
      <formula>NOT(ISERROR(SEARCH(("yes"),(C1))))</formula>
    </cfRule>
  </conditionalFormatting>
  <conditionalFormatting sqref="C1:C690 E1:E690 G1:G690 D2:D311 F2:F311 H2:H311">
    <cfRule type="containsText" dxfId="1" priority="2" operator="containsText" text="decent">
      <formula>NOT(ISERROR(SEARCH(("decent"),(C1))))</formula>
    </cfRule>
  </conditionalFormatting>
  <conditionalFormatting sqref="C1:C690 E1:E690 G1:G690 D2:D311 F2:F311 H2:H311">
    <cfRule type="containsText" dxfId="2" priority="3" operator="containsText" text="maybe">
      <formula>NOT(ISERROR(SEARCH(("maybe"),(C1))))</formula>
    </cfRule>
  </conditionalFormatting>
  <conditionalFormatting sqref="C1:C690 E1:E690 G1:G690 D2:D311 F2:F311 H2:H311">
    <cfRule type="containsText" dxfId="3" priority="4" operator="containsText" text="no">
      <formula>NOT(ISERROR(SEARCH(("no"),(C1))))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2" max="4" width="20.88"/>
  </cols>
  <sheetData>
    <row r="1">
      <c r="A1" s="1" t="s">
        <v>0</v>
      </c>
      <c r="B1" s="1" t="s">
        <v>1</v>
      </c>
      <c r="C1" s="3" t="s">
        <v>3</v>
      </c>
      <c r="D1" s="3" t="s">
        <v>4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</row>
    <row r="2">
      <c r="A2" s="1" t="s">
        <v>188</v>
      </c>
      <c r="B2" s="1" t="s">
        <v>22</v>
      </c>
      <c r="C2" s="3" t="s">
        <v>24</v>
      </c>
      <c r="D2" s="3" t="s">
        <v>25</v>
      </c>
      <c r="E2" s="1" t="str">
        <f>IFERROR(__xludf.DUMMYFUNCTION("IFERROR(REGEXEXTRACT(A2, ""res(269|122)""), ""none"")"),"122")</f>
        <v>122</v>
      </c>
      <c r="F2" s="1">
        <v>-15.535781</v>
      </c>
      <c r="G2" s="1">
        <v>9.0</v>
      </c>
      <c r="H2" s="1">
        <v>3.0</v>
      </c>
      <c r="I2" s="1">
        <v>0.444444</v>
      </c>
      <c r="J2" s="1">
        <v>2.0</v>
      </c>
      <c r="K2" s="1">
        <v>-1.719191</v>
      </c>
      <c r="L2" s="1">
        <v>100.0</v>
      </c>
      <c r="M2" s="1">
        <v>0.0</v>
      </c>
      <c r="N2" s="1">
        <v>0.0</v>
      </c>
      <c r="O2" s="1">
        <v>97.189472</v>
      </c>
    </row>
    <row r="3">
      <c r="A3" s="1" t="s">
        <v>189</v>
      </c>
      <c r="B3" s="1" t="s">
        <v>190</v>
      </c>
      <c r="C3" s="3" t="s">
        <v>24</v>
      </c>
      <c r="D3" s="3" t="s">
        <v>395</v>
      </c>
      <c r="E3" s="1" t="str">
        <f>IFERROR(__xludf.DUMMYFUNCTION("IFERROR(REGEXEXTRACT(A3, ""res(269|122)""), ""none"")"),"122")</f>
        <v>122</v>
      </c>
      <c r="F3" s="1">
        <v>-17.372141</v>
      </c>
      <c r="G3" s="1">
        <v>10.0</v>
      </c>
      <c r="H3" s="1">
        <v>2.0</v>
      </c>
      <c r="I3" s="1">
        <v>0.3</v>
      </c>
      <c r="J3" s="1">
        <v>2.0</v>
      </c>
      <c r="K3" s="1">
        <v>-1.44699499999999</v>
      </c>
      <c r="L3" s="1">
        <v>100.0</v>
      </c>
      <c r="M3" s="1">
        <v>0.0</v>
      </c>
      <c r="N3" s="1">
        <v>0.0</v>
      </c>
      <c r="O3" s="1">
        <v>95.480864</v>
      </c>
    </row>
    <row r="4">
      <c r="A4" s="1" t="s">
        <v>191</v>
      </c>
      <c r="B4" s="1" t="s">
        <v>192</v>
      </c>
      <c r="C4" s="3" t="s">
        <v>24</v>
      </c>
      <c r="D4" s="3" t="s">
        <v>396</v>
      </c>
      <c r="E4" s="1" t="str">
        <f>IFERROR(__xludf.DUMMYFUNCTION("IFERROR(REGEXEXTRACT(A4, ""res(269|122)""), ""none"")"),"122")</f>
        <v>122</v>
      </c>
      <c r="F4" s="1">
        <v>-15.13854</v>
      </c>
      <c r="G4" s="1">
        <v>9.0</v>
      </c>
      <c r="H4" s="1">
        <v>4.0</v>
      </c>
      <c r="I4" s="1">
        <v>0.333333</v>
      </c>
      <c r="J4" s="1">
        <v>2.0</v>
      </c>
      <c r="K4" s="1">
        <v>-1.065005</v>
      </c>
      <c r="L4" s="1">
        <v>100.0</v>
      </c>
      <c r="M4" s="1">
        <v>0.0</v>
      </c>
      <c r="N4" s="1">
        <v>0.0</v>
      </c>
      <c r="O4" s="1">
        <v>99.129788</v>
      </c>
    </row>
    <row r="5">
      <c r="A5" s="1" t="s">
        <v>193</v>
      </c>
      <c r="B5" s="1" t="s">
        <v>194</v>
      </c>
      <c r="C5" s="3" t="s">
        <v>24</v>
      </c>
      <c r="D5" s="3" t="s">
        <v>397</v>
      </c>
      <c r="E5" s="1" t="str">
        <f>IFERROR(__xludf.DUMMYFUNCTION("IFERROR(REGEXEXTRACT(A5, ""res(269|122)""), ""none"")"),"122")</f>
        <v>122</v>
      </c>
      <c r="F5" s="1">
        <v>-15.55909</v>
      </c>
      <c r="G5" s="1">
        <v>12.0</v>
      </c>
      <c r="H5" s="1">
        <v>4.0</v>
      </c>
      <c r="I5" s="1">
        <v>0.25</v>
      </c>
      <c r="J5" s="1">
        <v>2.0</v>
      </c>
      <c r="K5" s="1">
        <v>-0.857348</v>
      </c>
      <c r="L5" s="1">
        <v>100.0</v>
      </c>
      <c r="M5" s="1">
        <v>0.0</v>
      </c>
      <c r="N5" s="1">
        <v>0.0</v>
      </c>
      <c r="O5" s="1">
        <v>101.833562</v>
      </c>
    </row>
    <row r="6">
      <c r="A6" s="1" t="s">
        <v>195</v>
      </c>
      <c r="B6" s="1" t="s">
        <v>196</v>
      </c>
      <c r="C6" s="3" t="s">
        <v>24</v>
      </c>
      <c r="D6" s="3" t="s">
        <v>398</v>
      </c>
      <c r="E6" s="1" t="str">
        <f>IFERROR(__xludf.DUMMYFUNCTION("IFERROR(REGEXEXTRACT(A6, ""res(269|122)""), ""none"")"),"122")</f>
        <v>122</v>
      </c>
      <c r="F6" s="1">
        <v>-16.502904</v>
      </c>
      <c r="G6" s="1">
        <v>8.0</v>
      </c>
      <c r="H6" s="1">
        <v>3.0</v>
      </c>
      <c r="I6" s="1">
        <v>0.25</v>
      </c>
      <c r="J6" s="1">
        <v>3.0</v>
      </c>
      <c r="K6" s="1">
        <v>-0.998347</v>
      </c>
      <c r="L6" s="1">
        <v>100.0</v>
      </c>
      <c r="M6" s="1">
        <v>0.0</v>
      </c>
      <c r="N6" s="1">
        <v>0.0</v>
      </c>
      <c r="O6" s="1">
        <v>96.748749</v>
      </c>
    </row>
    <row r="7">
      <c r="A7" s="1" t="s">
        <v>197</v>
      </c>
      <c r="B7" s="1" t="s">
        <v>94</v>
      </c>
      <c r="C7" s="3" t="s">
        <v>33</v>
      </c>
      <c r="D7" s="3" t="s">
        <v>399</v>
      </c>
      <c r="E7" s="1" t="str">
        <f>IFERROR(__xludf.DUMMYFUNCTION("IFERROR(REGEXEXTRACT(A7, ""res(269|122)""), ""none"")"),"122")</f>
        <v>122</v>
      </c>
      <c r="F7" s="1">
        <v>-16.222639</v>
      </c>
      <c r="G7" s="1">
        <v>10.0</v>
      </c>
      <c r="H7" s="1">
        <v>3.0</v>
      </c>
      <c r="I7" s="1">
        <v>0.3</v>
      </c>
      <c r="J7" s="1">
        <v>2.0</v>
      </c>
      <c r="K7" s="1">
        <v>-1.763647</v>
      </c>
      <c r="L7" s="1">
        <v>100.0</v>
      </c>
      <c r="M7" s="1">
        <v>0.0</v>
      </c>
      <c r="N7" s="1">
        <v>0.0</v>
      </c>
      <c r="O7" s="1">
        <v>97.313714</v>
      </c>
    </row>
    <row r="8">
      <c r="A8" s="1" t="s">
        <v>198</v>
      </c>
      <c r="B8" s="1" t="s">
        <v>30</v>
      </c>
      <c r="C8" s="3" t="s">
        <v>24</v>
      </c>
      <c r="D8" s="3" t="s">
        <v>32</v>
      </c>
      <c r="E8" s="1" t="str">
        <f>IFERROR(__xludf.DUMMYFUNCTION("IFERROR(REGEXEXTRACT(A8, ""res(269|122)""), ""none"")"),"122")</f>
        <v>122</v>
      </c>
      <c r="F8" s="1">
        <v>-15.296063</v>
      </c>
      <c r="G8" s="1">
        <v>8.0</v>
      </c>
      <c r="H8" s="1">
        <v>3.0</v>
      </c>
      <c r="I8" s="1">
        <v>0.25</v>
      </c>
      <c r="J8" s="1">
        <v>2.0</v>
      </c>
      <c r="K8" s="1">
        <v>-1.293353</v>
      </c>
      <c r="L8" s="1">
        <v>100.0</v>
      </c>
      <c r="M8" s="1">
        <v>0.0</v>
      </c>
      <c r="N8" s="1">
        <v>0.0</v>
      </c>
      <c r="O8" s="1">
        <v>96.660584</v>
      </c>
    </row>
    <row r="9">
      <c r="A9" s="1" t="s">
        <v>199</v>
      </c>
      <c r="B9" s="1" t="s">
        <v>200</v>
      </c>
      <c r="C9" s="3" t="s">
        <v>33</v>
      </c>
      <c r="D9" s="3"/>
      <c r="E9" s="1" t="str">
        <f>IFERROR(__xludf.DUMMYFUNCTION("IFERROR(REGEXEXTRACT(A9, ""res(269|122)""), ""none"")"),"122")</f>
        <v>122</v>
      </c>
      <c r="F9" s="1">
        <v>-15.047575</v>
      </c>
      <c r="G9" s="1">
        <v>8.0</v>
      </c>
      <c r="H9" s="1">
        <v>4.0</v>
      </c>
      <c r="I9" s="1">
        <v>0.25</v>
      </c>
      <c r="J9" s="1">
        <v>2.0</v>
      </c>
      <c r="K9" s="1">
        <v>-1.824829</v>
      </c>
      <c r="L9" s="1">
        <v>100.0</v>
      </c>
      <c r="M9" s="1">
        <v>0.0</v>
      </c>
      <c r="N9" s="1">
        <v>0.0</v>
      </c>
      <c r="O9" s="1">
        <v>97.377596</v>
      </c>
    </row>
    <row r="10">
      <c r="A10" s="1" t="s">
        <v>201</v>
      </c>
      <c r="B10" s="1" t="s">
        <v>35</v>
      </c>
      <c r="C10" s="3" t="s">
        <v>33</v>
      </c>
      <c r="D10" s="3" t="s">
        <v>37</v>
      </c>
      <c r="E10" s="1" t="str">
        <f>IFERROR(__xludf.DUMMYFUNCTION("IFERROR(REGEXEXTRACT(A10, ""res(269|122)""), ""none"")"),"122")</f>
        <v>122</v>
      </c>
      <c r="F10" s="1">
        <v>-15.950047</v>
      </c>
      <c r="G10" s="1">
        <v>7.0</v>
      </c>
      <c r="H10" s="1">
        <v>3.0</v>
      </c>
      <c r="I10" s="1">
        <v>0.285714</v>
      </c>
      <c r="J10" s="1">
        <v>3.0</v>
      </c>
      <c r="K10" s="1">
        <v>-1.505897</v>
      </c>
      <c r="L10" s="1">
        <v>100.0</v>
      </c>
      <c r="M10" s="1">
        <v>0.0</v>
      </c>
      <c r="N10" s="1">
        <v>0.0</v>
      </c>
      <c r="O10" s="1">
        <v>95.82977</v>
      </c>
    </row>
    <row r="11">
      <c r="A11" s="1" t="s">
        <v>202</v>
      </c>
      <c r="B11" s="1" t="s">
        <v>203</v>
      </c>
      <c r="C11" s="3" t="s">
        <v>24</v>
      </c>
      <c r="D11" s="3" t="s">
        <v>400</v>
      </c>
      <c r="E11" s="1" t="str">
        <f>IFERROR(__xludf.DUMMYFUNCTION("IFERROR(REGEXEXTRACT(A11, ""res(269|122)""), ""none"")"),"122")</f>
        <v>122</v>
      </c>
      <c r="F11" s="1">
        <v>-15.642859</v>
      </c>
      <c r="G11" s="1">
        <v>11.0</v>
      </c>
      <c r="H11" s="1">
        <v>3.0</v>
      </c>
      <c r="I11" s="1">
        <v>0.272727</v>
      </c>
      <c r="J11" s="1">
        <v>2.0</v>
      </c>
      <c r="K11" s="1">
        <v>-1.1816</v>
      </c>
      <c r="L11" s="1">
        <v>100.0</v>
      </c>
      <c r="M11" s="1">
        <v>0.0</v>
      </c>
      <c r="N11" s="1">
        <v>0.0</v>
      </c>
      <c r="O11" s="1">
        <v>99.448268</v>
      </c>
    </row>
    <row r="12">
      <c r="A12" s="1" t="s">
        <v>204</v>
      </c>
      <c r="B12" s="1" t="s">
        <v>99</v>
      </c>
      <c r="C12" s="3" t="s">
        <v>24</v>
      </c>
      <c r="D12" s="3" t="s">
        <v>401</v>
      </c>
      <c r="E12" s="1" t="str">
        <f>IFERROR(__xludf.DUMMYFUNCTION("IFERROR(REGEXEXTRACT(A12, ""res(269|122)""), ""none"")"),"122")</f>
        <v>122</v>
      </c>
      <c r="F12" s="1">
        <v>-15.476613</v>
      </c>
      <c r="G12" s="1">
        <v>12.0</v>
      </c>
      <c r="H12" s="1">
        <v>4.0</v>
      </c>
      <c r="I12" s="1">
        <v>0.333333</v>
      </c>
      <c r="J12" s="1">
        <v>2.0</v>
      </c>
      <c r="K12" s="1">
        <v>-0.623346</v>
      </c>
      <c r="L12" s="1">
        <v>100.0</v>
      </c>
      <c r="M12" s="1">
        <v>0.0</v>
      </c>
      <c r="N12" s="1">
        <v>0.0</v>
      </c>
      <c r="O12" s="1">
        <v>102.233374</v>
      </c>
    </row>
    <row r="13">
      <c r="A13" s="1" t="s">
        <v>205</v>
      </c>
      <c r="B13" s="1" t="s">
        <v>206</v>
      </c>
      <c r="C13" s="3" t="s">
        <v>33</v>
      </c>
      <c r="D13" s="3"/>
      <c r="E13" s="1" t="str">
        <f>IFERROR(__xludf.DUMMYFUNCTION("IFERROR(REGEXEXTRACT(A13, ""res(269|122)""), ""none"")"),"122")</f>
        <v>122</v>
      </c>
      <c r="F13" s="1">
        <v>-16.216217</v>
      </c>
      <c r="G13" s="1">
        <v>7.0</v>
      </c>
      <c r="H13" s="1">
        <v>4.0</v>
      </c>
      <c r="I13" s="1">
        <v>0.285714</v>
      </c>
      <c r="J13" s="1">
        <v>2.0</v>
      </c>
      <c r="K13" s="1">
        <v>-0.930066</v>
      </c>
      <c r="L13" s="1">
        <v>100.0</v>
      </c>
      <c r="M13" s="1">
        <v>0.0</v>
      </c>
      <c r="N13" s="1">
        <v>0.0</v>
      </c>
      <c r="O13" s="1">
        <v>96.139431</v>
      </c>
    </row>
    <row r="14">
      <c r="A14" s="1" t="s">
        <v>207</v>
      </c>
      <c r="B14" s="1" t="s">
        <v>208</v>
      </c>
      <c r="C14" s="3" t="s">
        <v>24</v>
      </c>
      <c r="D14" s="3"/>
      <c r="E14" s="1" t="str">
        <f>IFERROR(__xludf.DUMMYFUNCTION("IFERROR(REGEXEXTRACT(A14, ""res(269|122)""), ""none"")"),"122")</f>
        <v>122</v>
      </c>
      <c r="F14" s="1">
        <v>-15.113702</v>
      </c>
      <c r="G14" s="1">
        <v>8.0</v>
      </c>
      <c r="H14" s="1">
        <v>3.0</v>
      </c>
      <c r="I14" s="1">
        <v>0.25</v>
      </c>
      <c r="J14" s="1">
        <v>2.0</v>
      </c>
      <c r="K14" s="1">
        <v>-0.761492</v>
      </c>
      <c r="L14" s="1">
        <v>100.0</v>
      </c>
      <c r="M14" s="1">
        <v>0.0</v>
      </c>
      <c r="N14" s="1">
        <v>0.0</v>
      </c>
      <c r="O14" s="1">
        <v>97.374806</v>
      </c>
    </row>
    <row r="15">
      <c r="A15" s="1" t="s">
        <v>209</v>
      </c>
      <c r="B15" s="1" t="s">
        <v>210</v>
      </c>
      <c r="C15" s="3" t="s">
        <v>24</v>
      </c>
      <c r="D15" s="3" t="s">
        <v>402</v>
      </c>
      <c r="E15" s="1" t="str">
        <f>IFERROR(__xludf.DUMMYFUNCTION("IFERROR(REGEXEXTRACT(A15, ""res(269|122)""), ""none"")"),"122")</f>
        <v>122</v>
      </c>
      <c r="F15" s="1">
        <v>-15.419001</v>
      </c>
      <c r="G15" s="1">
        <v>8.0</v>
      </c>
      <c r="H15" s="1">
        <v>5.0</v>
      </c>
      <c r="I15" s="1">
        <v>0.5</v>
      </c>
      <c r="J15" s="1">
        <v>3.0</v>
      </c>
      <c r="K15" s="1">
        <v>-1.097048</v>
      </c>
      <c r="L15" s="1">
        <v>100.0</v>
      </c>
      <c r="M15" s="1">
        <v>0.0</v>
      </c>
      <c r="N15" s="1">
        <v>0.0</v>
      </c>
      <c r="O15" s="1">
        <v>99.983951</v>
      </c>
    </row>
    <row r="16">
      <c r="A16" s="1" t="s">
        <v>211</v>
      </c>
      <c r="B16" s="1" t="s">
        <v>212</v>
      </c>
      <c r="C16" s="3" t="s">
        <v>24</v>
      </c>
      <c r="D16" s="3" t="s">
        <v>403</v>
      </c>
      <c r="E16" s="1" t="str">
        <f>IFERROR(__xludf.DUMMYFUNCTION("IFERROR(REGEXEXTRACT(A16, ""res(269|122)""), ""none"")"),"122")</f>
        <v>122</v>
      </c>
      <c r="F16" s="1">
        <v>-15.695975</v>
      </c>
      <c r="G16" s="1">
        <v>7.0</v>
      </c>
      <c r="H16" s="1">
        <v>5.0</v>
      </c>
      <c r="I16" s="1">
        <v>0.428571</v>
      </c>
      <c r="J16" s="1">
        <v>2.0</v>
      </c>
      <c r="K16" s="1">
        <v>-0.51858</v>
      </c>
      <c r="L16" s="1">
        <v>100.0</v>
      </c>
      <c r="M16" s="1">
        <v>0.0</v>
      </c>
      <c r="N16" s="1">
        <v>0.0</v>
      </c>
      <c r="O16" s="1">
        <v>98.214016</v>
      </c>
    </row>
    <row r="17">
      <c r="A17" s="1" t="s">
        <v>213</v>
      </c>
      <c r="B17" s="1" t="s">
        <v>40</v>
      </c>
      <c r="C17" s="3" t="s">
        <v>24</v>
      </c>
      <c r="D17" s="3"/>
      <c r="E17" s="1" t="str">
        <f>IFERROR(__xludf.DUMMYFUNCTION("IFERROR(REGEXEXTRACT(A17, ""res(269|122)""), ""none"")"),"122")</f>
        <v>122</v>
      </c>
      <c r="F17" s="1">
        <v>-15.040718</v>
      </c>
      <c r="G17" s="1">
        <v>6.0</v>
      </c>
      <c r="H17" s="1">
        <v>3.0</v>
      </c>
      <c r="I17" s="1">
        <v>0.333333</v>
      </c>
      <c r="J17" s="1">
        <v>2.0</v>
      </c>
      <c r="K17" s="1">
        <v>-1.138986</v>
      </c>
      <c r="L17" s="1">
        <v>100.0</v>
      </c>
      <c r="M17" s="1">
        <v>0.0</v>
      </c>
      <c r="N17" s="1">
        <v>0.0</v>
      </c>
      <c r="O17" s="1">
        <v>95.153629</v>
      </c>
    </row>
    <row r="18">
      <c r="A18" s="1" t="s">
        <v>214</v>
      </c>
      <c r="B18" s="1" t="s">
        <v>44</v>
      </c>
      <c r="C18" s="3" t="s">
        <v>33</v>
      </c>
      <c r="D18" s="3" t="s">
        <v>46</v>
      </c>
      <c r="E18" s="1" t="str">
        <f>IFERROR(__xludf.DUMMYFUNCTION("IFERROR(REGEXEXTRACT(A18, ""res(269|122)""), ""none"")"),"122")</f>
        <v>122</v>
      </c>
      <c r="F18" s="1">
        <v>-15.260381</v>
      </c>
      <c r="G18" s="1">
        <v>8.0</v>
      </c>
      <c r="H18" s="1">
        <v>3.0</v>
      </c>
      <c r="I18" s="1">
        <v>0.25</v>
      </c>
      <c r="J18" s="1">
        <v>3.0</v>
      </c>
      <c r="K18" s="1">
        <v>-1.428861</v>
      </c>
      <c r="L18" s="1">
        <v>100.0</v>
      </c>
      <c r="M18" s="1">
        <v>0.0</v>
      </c>
      <c r="N18" s="1">
        <v>0.0</v>
      </c>
      <c r="O18" s="1">
        <v>97.560758</v>
      </c>
    </row>
    <row r="19">
      <c r="A19" s="1" t="s">
        <v>215</v>
      </c>
      <c r="B19" s="1" t="s">
        <v>216</v>
      </c>
      <c r="C19" s="3" t="s">
        <v>33</v>
      </c>
      <c r="D19" s="3" t="s">
        <v>404</v>
      </c>
      <c r="E19" s="1" t="str">
        <f>IFERROR(__xludf.DUMMYFUNCTION("IFERROR(REGEXEXTRACT(A19, ""res(269|122)""), ""none"")"),"122")</f>
        <v>122</v>
      </c>
      <c r="F19" s="1">
        <v>-16.747691</v>
      </c>
      <c r="G19" s="1">
        <v>10.0</v>
      </c>
      <c r="H19" s="1">
        <v>4.0</v>
      </c>
      <c r="I19" s="1">
        <v>0.4</v>
      </c>
      <c r="J19" s="1">
        <v>2.0</v>
      </c>
      <c r="K19" s="1">
        <v>-1.533959</v>
      </c>
      <c r="L19" s="1">
        <v>100.0</v>
      </c>
      <c r="M19" s="1">
        <v>0.0</v>
      </c>
      <c r="N19" s="1">
        <v>0.0</v>
      </c>
      <c r="O19" s="1">
        <v>98.11835</v>
      </c>
    </row>
    <row r="20">
      <c r="A20" s="1" t="s">
        <v>217</v>
      </c>
      <c r="B20" s="1" t="s">
        <v>218</v>
      </c>
      <c r="C20" s="3" t="s">
        <v>24</v>
      </c>
      <c r="D20" s="3"/>
      <c r="E20" s="1" t="str">
        <f>IFERROR(__xludf.DUMMYFUNCTION("IFERROR(REGEXEXTRACT(A20, ""res(269|122)""), ""none"")"),"122")</f>
        <v>122</v>
      </c>
      <c r="F20" s="1">
        <v>-15.251888</v>
      </c>
      <c r="G20" s="1">
        <v>10.0</v>
      </c>
      <c r="H20" s="1">
        <v>4.0</v>
      </c>
      <c r="I20" s="1">
        <v>0.4</v>
      </c>
      <c r="J20" s="1">
        <v>2.0</v>
      </c>
      <c r="K20" s="1">
        <v>-0.922495</v>
      </c>
      <c r="L20" s="1">
        <v>100.0</v>
      </c>
      <c r="M20" s="1">
        <v>0.0</v>
      </c>
      <c r="N20" s="1">
        <v>0.0</v>
      </c>
      <c r="O20" s="1">
        <v>100.225617</v>
      </c>
    </row>
    <row r="21">
      <c r="A21" s="1" t="s">
        <v>219</v>
      </c>
      <c r="B21" s="1" t="s">
        <v>220</v>
      </c>
      <c r="C21" s="3" t="s">
        <v>24</v>
      </c>
      <c r="D21" s="3"/>
      <c r="E21" s="1" t="str">
        <f>IFERROR(__xludf.DUMMYFUNCTION("IFERROR(REGEXEXTRACT(A21, ""res(269|122)""), ""none"")"),"122")</f>
        <v>122</v>
      </c>
      <c r="F21" s="1">
        <v>-15.933583</v>
      </c>
      <c r="G21" s="1">
        <v>10.0</v>
      </c>
      <c r="H21" s="1">
        <v>4.0</v>
      </c>
      <c r="I21" s="1">
        <v>0.4</v>
      </c>
      <c r="J21" s="1">
        <v>3.0</v>
      </c>
      <c r="K21" s="1">
        <v>-0.861401</v>
      </c>
      <c r="L21" s="1">
        <v>100.0</v>
      </c>
      <c r="M21" s="1">
        <v>0.0</v>
      </c>
      <c r="N21" s="1">
        <v>0.0</v>
      </c>
      <c r="O21" s="1">
        <v>100.605016</v>
      </c>
    </row>
    <row r="22">
      <c r="A22" s="1" t="s">
        <v>221</v>
      </c>
      <c r="B22" s="1" t="s">
        <v>222</v>
      </c>
      <c r="C22" s="3" t="s">
        <v>24</v>
      </c>
      <c r="D22" s="3"/>
      <c r="E22" s="1" t="str">
        <f>IFERROR(__xludf.DUMMYFUNCTION("IFERROR(REGEXEXTRACT(A22, ""res(269|122)""), ""none"")"),"122")</f>
        <v>122</v>
      </c>
      <c r="F22" s="1">
        <v>-15.3418</v>
      </c>
      <c r="G22" s="1">
        <v>9.0</v>
      </c>
      <c r="H22" s="1">
        <v>4.0</v>
      </c>
      <c r="I22" s="1">
        <v>0.333333</v>
      </c>
      <c r="J22" s="1">
        <v>2.0</v>
      </c>
      <c r="K22" s="1">
        <v>-1.486109</v>
      </c>
      <c r="L22" s="1">
        <v>100.0</v>
      </c>
      <c r="M22" s="1">
        <v>0.0</v>
      </c>
      <c r="N22" s="1">
        <v>0.0</v>
      </c>
      <c r="O22" s="1">
        <v>98.505424</v>
      </c>
    </row>
    <row r="23">
      <c r="A23" s="1" t="s">
        <v>223</v>
      </c>
      <c r="B23" s="1" t="s">
        <v>49</v>
      </c>
      <c r="C23" s="3" t="s">
        <v>24</v>
      </c>
      <c r="D23" s="3"/>
      <c r="E23" s="1" t="str">
        <f>IFERROR(__xludf.DUMMYFUNCTION("IFERROR(REGEXEXTRACT(A23, ""res(269|122)""), ""none"")"),"122")</f>
        <v>122</v>
      </c>
      <c r="F23" s="1">
        <v>-16.481134</v>
      </c>
      <c r="G23" s="1">
        <v>7.0</v>
      </c>
      <c r="H23" s="1">
        <v>3.0</v>
      </c>
      <c r="I23" s="1">
        <v>0.285714</v>
      </c>
      <c r="J23" s="1">
        <v>2.0</v>
      </c>
      <c r="K23" s="1">
        <v>-1.079586</v>
      </c>
      <c r="L23" s="1">
        <v>100.0</v>
      </c>
      <c r="M23" s="1">
        <v>0.0</v>
      </c>
      <c r="N23" s="1">
        <v>0.0</v>
      </c>
      <c r="O23" s="1">
        <v>94.724994</v>
      </c>
    </row>
    <row r="24">
      <c r="A24" s="1" t="s">
        <v>224</v>
      </c>
      <c r="B24" s="1" t="s">
        <v>53</v>
      </c>
      <c r="C24" s="3" t="s">
        <v>33</v>
      </c>
      <c r="D24" s="3" t="s">
        <v>55</v>
      </c>
      <c r="E24" s="1" t="str">
        <f>IFERROR(__xludf.DUMMYFUNCTION("IFERROR(REGEXEXTRACT(A24, ""res(269|122)""), ""none"")"),"122")</f>
        <v>122</v>
      </c>
      <c r="F24" s="1">
        <v>-15.209335</v>
      </c>
      <c r="G24" s="1">
        <v>9.0</v>
      </c>
      <c r="H24" s="1">
        <v>3.0</v>
      </c>
      <c r="I24" s="1">
        <v>0.555556</v>
      </c>
      <c r="J24" s="1">
        <v>2.0</v>
      </c>
      <c r="K24" s="1">
        <v>-0.616797</v>
      </c>
      <c r="L24" s="1">
        <v>100.0</v>
      </c>
      <c r="M24" s="1">
        <v>0.0</v>
      </c>
      <c r="N24" s="1">
        <v>0.0</v>
      </c>
      <c r="O24" s="1">
        <v>98.729424</v>
      </c>
    </row>
    <row r="25">
      <c r="A25" s="1" t="s">
        <v>225</v>
      </c>
      <c r="B25" s="1" t="s">
        <v>226</v>
      </c>
      <c r="C25" s="3" t="s">
        <v>33</v>
      </c>
      <c r="D25" s="3"/>
      <c r="E25" s="1" t="str">
        <f>IFERROR(__xludf.DUMMYFUNCTION("IFERROR(REGEXEXTRACT(A25, ""res(269|122)""), ""none"")"),"122")</f>
        <v>122</v>
      </c>
      <c r="F25" s="1">
        <v>-16.256898</v>
      </c>
      <c r="G25" s="1">
        <v>11.0</v>
      </c>
      <c r="H25" s="1">
        <v>4.0</v>
      </c>
      <c r="I25" s="1">
        <v>0.272727</v>
      </c>
      <c r="J25" s="1">
        <v>2.0</v>
      </c>
      <c r="K25" s="1">
        <v>-1.787076</v>
      </c>
      <c r="L25" s="1">
        <v>100.0</v>
      </c>
      <c r="M25" s="1">
        <v>0.0</v>
      </c>
      <c r="N25" s="1">
        <v>0.0</v>
      </c>
      <c r="O25" s="1">
        <v>99.228753</v>
      </c>
    </row>
    <row r="26">
      <c r="A26" s="1" t="s">
        <v>227</v>
      </c>
      <c r="B26" s="1" t="s">
        <v>228</v>
      </c>
      <c r="C26" s="3" t="s">
        <v>24</v>
      </c>
      <c r="D26" s="3"/>
      <c r="E26" s="1" t="str">
        <f>IFERROR(__xludf.DUMMYFUNCTION("IFERROR(REGEXEXTRACT(A26, ""res(269|122)""), ""none"")"),"122")</f>
        <v>122</v>
      </c>
      <c r="F26" s="1">
        <v>-17.376492</v>
      </c>
      <c r="G26" s="1">
        <v>6.0</v>
      </c>
      <c r="H26" s="1">
        <v>3.0</v>
      </c>
      <c r="I26" s="1">
        <v>0.333333</v>
      </c>
      <c r="J26" s="1">
        <v>2.0</v>
      </c>
      <c r="K26" s="1">
        <v>-0.775723</v>
      </c>
      <c r="L26" s="1">
        <v>100.0</v>
      </c>
      <c r="M26" s="1">
        <v>0.0</v>
      </c>
      <c r="N26" s="1">
        <v>0.0</v>
      </c>
      <c r="O26" s="1">
        <v>93.181118</v>
      </c>
    </row>
    <row r="27">
      <c r="A27" s="1" t="s">
        <v>229</v>
      </c>
      <c r="B27" s="1" t="s">
        <v>58</v>
      </c>
      <c r="C27" s="3" t="s">
        <v>24</v>
      </c>
      <c r="D27" s="3"/>
      <c r="E27" s="1" t="str">
        <f>IFERROR(__xludf.DUMMYFUNCTION("IFERROR(REGEXEXTRACT(A27, ""res(269|122)""), ""none"")"),"122")</f>
        <v>122</v>
      </c>
      <c r="F27" s="1">
        <v>-17.724274</v>
      </c>
      <c r="G27" s="1">
        <v>8.0</v>
      </c>
      <c r="H27" s="1">
        <v>3.0</v>
      </c>
      <c r="I27" s="1">
        <v>0.25</v>
      </c>
      <c r="J27" s="1">
        <v>2.0</v>
      </c>
      <c r="K27" s="1">
        <v>-1.29152999999999</v>
      </c>
      <c r="L27" s="1">
        <v>100.0</v>
      </c>
      <c r="M27" s="1">
        <v>0.0</v>
      </c>
      <c r="N27" s="1">
        <v>0.0</v>
      </c>
      <c r="O27" s="1">
        <v>94.234196</v>
      </c>
    </row>
    <row r="28">
      <c r="A28" s="1" t="s">
        <v>230</v>
      </c>
      <c r="B28" s="1" t="s">
        <v>231</v>
      </c>
      <c r="C28" s="3" t="s">
        <v>24</v>
      </c>
      <c r="D28" s="3"/>
      <c r="E28" s="1" t="str">
        <f>IFERROR(__xludf.DUMMYFUNCTION("IFERROR(REGEXEXTRACT(A28, ""res(269|122)""), ""none"")"),"122")</f>
        <v>122</v>
      </c>
      <c r="F28" s="1">
        <v>-16.569372</v>
      </c>
      <c r="G28" s="1">
        <v>8.0</v>
      </c>
      <c r="H28" s="1">
        <v>3.0</v>
      </c>
      <c r="I28" s="1">
        <v>0.5</v>
      </c>
      <c r="J28" s="1">
        <v>2.0</v>
      </c>
      <c r="K28" s="1">
        <v>-0.987431</v>
      </c>
      <c r="L28" s="1">
        <v>100.0</v>
      </c>
      <c r="M28" s="1">
        <v>0.0</v>
      </c>
      <c r="N28" s="1">
        <v>0.0</v>
      </c>
      <c r="O28" s="1">
        <v>95.943197</v>
      </c>
    </row>
    <row r="29">
      <c r="A29" s="1" t="s">
        <v>232</v>
      </c>
      <c r="B29" s="1" t="s">
        <v>62</v>
      </c>
      <c r="C29" s="3" t="s">
        <v>24</v>
      </c>
      <c r="D29" s="3"/>
      <c r="E29" s="1" t="str">
        <f>IFERROR(__xludf.DUMMYFUNCTION("IFERROR(REGEXEXTRACT(A29, ""res(269|122)""), ""none"")"),"122")</f>
        <v>122</v>
      </c>
      <c r="F29" s="1">
        <v>-16.448389</v>
      </c>
      <c r="G29" s="1">
        <v>9.0</v>
      </c>
      <c r="H29" s="1">
        <v>3.0</v>
      </c>
      <c r="I29" s="1">
        <v>0.333333</v>
      </c>
      <c r="J29" s="1">
        <v>2.0</v>
      </c>
      <c r="K29" s="1">
        <v>-1.562614</v>
      </c>
      <c r="L29" s="1">
        <v>100.0</v>
      </c>
      <c r="M29" s="1">
        <v>0.0</v>
      </c>
      <c r="N29" s="1">
        <v>0.0</v>
      </c>
      <c r="O29" s="1">
        <v>96.32233</v>
      </c>
    </row>
    <row r="30">
      <c r="A30" s="1" t="s">
        <v>233</v>
      </c>
      <c r="B30" s="1" t="s">
        <v>103</v>
      </c>
      <c r="C30" s="3" t="s">
        <v>24</v>
      </c>
      <c r="D30" s="3"/>
      <c r="E30" s="1" t="str">
        <f>IFERROR(__xludf.DUMMYFUNCTION("IFERROR(REGEXEXTRACT(A30, ""res(269|122)""), ""none"")"),"122")</f>
        <v>122</v>
      </c>
      <c r="F30" s="1">
        <v>-16.810235</v>
      </c>
      <c r="G30" s="1">
        <v>9.0</v>
      </c>
      <c r="H30" s="1">
        <v>3.0</v>
      </c>
      <c r="I30" s="1">
        <v>0.444444</v>
      </c>
      <c r="J30" s="1">
        <v>2.0</v>
      </c>
      <c r="K30" s="1">
        <v>-0.880047</v>
      </c>
      <c r="L30" s="1">
        <v>100.0</v>
      </c>
      <c r="M30" s="1">
        <v>0.0</v>
      </c>
      <c r="N30" s="1">
        <v>0.0</v>
      </c>
      <c r="O30" s="1">
        <v>96.754162</v>
      </c>
    </row>
    <row r="31">
      <c r="A31" s="1" t="s">
        <v>234</v>
      </c>
      <c r="B31" s="1" t="s">
        <v>235</v>
      </c>
      <c r="C31" s="3" t="s">
        <v>24</v>
      </c>
      <c r="D31" s="3"/>
      <c r="E31" s="1" t="str">
        <f>IFERROR(__xludf.DUMMYFUNCTION("IFERROR(REGEXEXTRACT(A31, ""res(269|122)""), ""none"")"),"122")</f>
        <v>122</v>
      </c>
      <c r="F31" s="1">
        <v>-15.466932</v>
      </c>
      <c r="G31" s="1">
        <v>7.0</v>
      </c>
      <c r="H31" s="1">
        <v>3.0</v>
      </c>
      <c r="I31" s="1">
        <v>0.285714</v>
      </c>
      <c r="J31" s="1">
        <v>2.0</v>
      </c>
      <c r="K31" s="1">
        <v>-1.068929</v>
      </c>
      <c r="L31" s="1">
        <v>100.0</v>
      </c>
      <c r="M31" s="1">
        <v>0.0</v>
      </c>
      <c r="N31" s="1">
        <v>0.0</v>
      </c>
      <c r="O31" s="1">
        <v>95.749853</v>
      </c>
    </row>
    <row r="32">
      <c r="A32" s="1" t="s">
        <v>236</v>
      </c>
      <c r="B32" s="1" t="s">
        <v>107</v>
      </c>
      <c r="C32" s="3" t="s">
        <v>24</v>
      </c>
      <c r="D32" s="3"/>
      <c r="E32" s="1" t="str">
        <f>IFERROR(__xludf.DUMMYFUNCTION("IFERROR(REGEXEXTRACT(A32, ""res(269|122)""), ""none"")"),"122")</f>
        <v>122</v>
      </c>
      <c r="F32" s="1">
        <v>-15.035637</v>
      </c>
      <c r="G32" s="1">
        <v>8.0</v>
      </c>
      <c r="H32" s="1">
        <v>4.0</v>
      </c>
      <c r="I32" s="1">
        <v>0.25</v>
      </c>
      <c r="J32" s="1">
        <v>2.0</v>
      </c>
      <c r="K32" s="1">
        <v>-0.915905</v>
      </c>
      <c r="L32" s="1">
        <v>100.0</v>
      </c>
      <c r="M32" s="1">
        <v>0.0</v>
      </c>
      <c r="N32" s="1">
        <v>0.0</v>
      </c>
      <c r="O32" s="1">
        <v>98.298458</v>
      </c>
    </row>
    <row r="33">
      <c r="A33" s="1" t="s">
        <v>237</v>
      </c>
      <c r="B33" s="1" t="s">
        <v>238</v>
      </c>
      <c r="C33" s="3" t="s">
        <v>24</v>
      </c>
      <c r="D33" s="3"/>
      <c r="E33" s="1" t="str">
        <f>IFERROR(__xludf.DUMMYFUNCTION("IFERROR(REGEXEXTRACT(A33, ""res(269|122)""), ""none"")"),"122")</f>
        <v>122</v>
      </c>
      <c r="F33" s="1">
        <v>-16.448683</v>
      </c>
      <c r="G33" s="1">
        <v>7.0</v>
      </c>
      <c r="H33" s="1">
        <v>4.0</v>
      </c>
      <c r="I33" s="1">
        <v>0.428571</v>
      </c>
      <c r="J33" s="1">
        <v>2.0</v>
      </c>
      <c r="K33" s="1">
        <v>-1.118176</v>
      </c>
      <c r="L33" s="1">
        <v>100.0</v>
      </c>
      <c r="M33" s="1">
        <v>0.0</v>
      </c>
      <c r="N33" s="1">
        <v>0.0</v>
      </c>
      <c r="O33" s="1">
        <v>95.861712</v>
      </c>
    </row>
    <row r="34">
      <c r="A34" s="1" t="s">
        <v>239</v>
      </c>
      <c r="B34" s="1" t="s">
        <v>240</v>
      </c>
      <c r="C34" s="3" t="s">
        <v>24</v>
      </c>
      <c r="D34" s="3"/>
      <c r="E34" s="1" t="str">
        <f>IFERROR(__xludf.DUMMYFUNCTION("IFERROR(REGEXEXTRACT(A34, ""res(269|122)""), ""none"")"),"122")</f>
        <v>122</v>
      </c>
      <c r="F34" s="1">
        <v>-15.291041</v>
      </c>
      <c r="G34" s="1">
        <v>8.0</v>
      </c>
      <c r="H34" s="1">
        <v>3.0</v>
      </c>
      <c r="I34" s="1">
        <v>0.375</v>
      </c>
      <c r="J34" s="1">
        <v>2.0</v>
      </c>
      <c r="K34" s="1">
        <v>-0.739298999999999</v>
      </c>
      <c r="L34" s="1">
        <v>100.0</v>
      </c>
      <c r="M34" s="1">
        <v>0.0</v>
      </c>
      <c r="N34" s="1">
        <v>0.0</v>
      </c>
      <c r="O34" s="1">
        <v>97.34466</v>
      </c>
    </row>
    <row r="35">
      <c r="A35" s="1" t="s">
        <v>241</v>
      </c>
      <c r="B35" s="1" t="s">
        <v>242</v>
      </c>
      <c r="C35" s="3" t="s">
        <v>24</v>
      </c>
      <c r="D35" s="3"/>
      <c r="E35" s="1" t="str">
        <f>IFERROR(__xludf.DUMMYFUNCTION("IFERROR(REGEXEXTRACT(A35, ""res(269|122)""), ""none"")"),"122")</f>
        <v>122</v>
      </c>
      <c r="F35" s="1">
        <v>-15.786774</v>
      </c>
      <c r="G35" s="1">
        <v>8.0</v>
      </c>
      <c r="H35" s="1">
        <v>4.0</v>
      </c>
      <c r="I35" s="1">
        <v>0.25</v>
      </c>
      <c r="J35" s="1">
        <v>3.0</v>
      </c>
      <c r="K35" s="1">
        <v>-1.312683</v>
      </c>
      <c r="L35" s="1">
        <v>100.0</v>
      </c>
      <c r="M35" s="1">
        <v>0.0</v>
      </c>
      <c r="N35" s="1">
        <v>0.0</v>
      </c>
      <c r="O35" s="1">
        <v>98.150543</v>
      </c>
    </row>
    <row r="36">
      <c r="A36" s="1" t="s">
        <v>243</v>
      </c>
      <c r="B36" s="1" t="s">
        <v>244</v>
      </c>
      <c r="C36" s="3" t="s">
        <v>24</v>
      </c>
      <c r="D36" s="3"/>
      <c r="E36" s="1" t="str">
        <f>IFERROR(__xludf.DUMMYFUNCTION("IFERROR(REGEXEXTRACT(A36, ""res(269|122)""), ""none"")"),"122")</f>
        <v>122</v>
      </c>
      <c r="F36" s="1">
        <v>-15.074335</v>
      </c>
      <c r="G36" s="1">
        <v>8.0</v>
      </c>
      <c r="H36" s="1">
        <v>3.0</v>
      </c>
      <c r="I36" s="1">
        <v>0.25</v>
      </c>
      <c r="J36" s="1">
        <v>3.0</v>
      </c>
      <c r="K36" s="1">
        <v>-2.102802</v>
      </c>
      <c r="L36" s="1">
        <v>100.0</v>
      </c>
      <c r="M36" s="1">
        <v>0.0</v>
      </c>
      <c r="N36" s="1">
        <v>0.0</v>
      </c>
      <c r="O36" s="1">
        <v>97.072863</v>
      </c>
    </row>
    <row r="37">
      <c r="A37" s="1" t="s">
        <v>245</v>
      </c>
      <c r="B37" s="1" t="s">
        <v>246</v>
      </c>
      <c r="C37" s="3" t="s">
        <v>33</v>
      </c>
      <c r="D37" s="3" t="s">
        <v>405</v>
      </c>
      <c r="E37" s="1" t="str">
        <f>IFERROR(__xludf.DUMMYFUNCTION("IFERROR(REGEXEXTRACT(A37, ""res(269|122)""), ""none"")"),"122")</f>
        <v>122</v>
      </c>
      <c r="F37" s="1">
        <v>-16.056932</v>
      </c>
      <c r="G37" s="1">
        <v>7.0</v>
      </c>
      <c r="H37" s="1">
        <v>3.0</v>
      </c>
      <c r="I37" s="1">
        <v>0.571429</v>
      </c>
      <c r="J37" s="1">
        <v>2.0</v>
      </c>
      <c r="K37" s="1">
        <v>-0.884192</v>
      </c>
      <c r="L37" s="1">
        <v>100.0</v>
      </c>
      <c r="M37" s="1">
        <v>0.0</v>
      </c>
      <c r="N37" s="1">
        <v>0.0</v>
      </c>
      <c r="O37" s="1">
        <v>95.630305</v>
      </c>
    </row>
    <row r="38">
      <c r="A38" s="1" t="s">
        <v>247</v>
      </c>
      <c r="B38" s="1" t="s">
        <v>110</v>
      </c>
      <c r="C38" s="3" t="s">
        <v>24</v>
      </c>
      <c r="D38" s="3"/>
      <c r="E38" s="1" t="str">
        <f>IFERROR(__xludf.DUMMYFUNCTION("IFERROR(REGEXEXTRACT(A38, ""res(269|122)""), ""none"")"),"122")</f>
        <v>122</v>
      </c>
      <c r="F38" s="1">
        <v>-17.375967</v>
      </c>
      <c r="G38" s="1">
        <v>8.0</v>
      </c>
      <c r="H38" s="1">
        <v>3.0</v>
      </c>
      <c r="I38" s="1">
        <v>0.25</v>
      </c>
      <c r="J38" s="1">
        <v>2.0</v>
      </c>
      <c r="K38" s="1">
        <v>-1.320226</v>
      </c>
      <c r="L38" s="1">
        <v>100.0</v>
      </c>
      <c r="M38" s="1">
        <v>0.0</v>
      </c>
      <c r="N38" s="1">
        <v>0.0</v>
      </c>
      <c r="O38" s="1">
        <v>94.553807</v>
      </c>
    </row>
    <row r="39">
      <c r="A39" s="1" t="s">
        <v>248</v>
      </c>
      <c r="B39" s="1" t="s">
        <v>249</v>
      </c>
      <c r="C39" s="3" t="s">
        <v>24</v>
      </c>
      <c r="D39" s="3"/>
      <c r="E39" s="1" t="str">
        <f>IFERROR(__xludf.DUMMYFUNCTION("IFERROR(REGEXEXTRACT(A39, ""res(269|122)""), ""none"")"),"122")</f>
        <v>122</v>
      </c>
      <c r="F39" s="1">
        <v>-17.093997</v>
      </c>
      <c r="G39" s="1">
        <v>10.0</v>
      </c>
      <c r="H39" s="1">
        <v>3.0</v>
      </c>
      <c r="I39" s="1">
        <v>0.3</v>
      </c>
      <c r="J39" s="1">
        <v>2.0</v>
      </c>
      <c r="K39" s="1">
        <v>-0.77841</v>
      </c>
      <c r="L39" s="1">
        <v>100.0</v>
      </c>
      <c r="M39" s="1">
        <v>0.0</v>
      </c>
      <c r="N39" s="1">
        <v>0.0</v>
      </c>
      <c r="O39" s="1">
        <v>97.427593</v>
      </c>
    </row>
    <row r="40">
      <c r="A40" s="1" t="s">
        <v>250</v>
      </c>
      <c r="B40" s="1" t="s">
        <v>65</v>
      </c>
      <c r="C40" s="3" t="s">
        <v>26</v>
      </c>
      <c r="D40" s="3" t="s">
        <v>67</v>
      </c>
      <c r="E40" s="1" t="str">
        <f>IFERROR(__xludf.DUMMYFUNCTION("IFERROR(REGEXEXTRACT(A40, ""res(269|122)""), ""none"")"),"122")</f>
        <v>122</v>
      </c>
      <c r="F40" s="1">
        <v>-17.086206</v>
      </c>
      <c r="G40" s="1">
        <v>7.0</v>
      </c>
      <c r="H40" s="1">
        <v>4.0</v>
      </c>
      <c r="I40" s="1">
        <v>0.285714</v>
      </c>
      <c r="J40" s="1">
        <v>3.0</v>
      </c>
      <c r="K40" s="1">
        <v>-1.038701</v>
      </c>
      <c r="L40" s="1">
        <v>100.0</v>
      </c>
      <c r="M40" s="1">
        <v>0.0</v>
      </c>
      <c r="N40" s="1">
        <v>0.0</v>
      </c>
      <c r="O40" s="1">
        <v>96.160807</v>
      </c>
    </row>
    <row r="41">
      <c r="A41" s="1" t="s">
        <v>251</v>
      </c>
      <c r="B41" s="1" t="s">
        <v>69</v>
      </c>
      <c r="C41" s="3" t="s">
        <v>33</v>
      </c>
      <c r="D41" s="3"/>
      <c r="E41" s="1" t="str">
        <f>IFERROR(__xludf.DUMMYFUNCTION("IFERROR(REGEXEXTRACT(A41, ""res(269|122)""), ""none"")"),"122")</f>
        <v>122</v>
      </c>
      <c r="F41" s="1">
        <v>-15.386234</v>
      </c>
      <c r="G41" s="1">
        <v>11.0</v>
      </c>
      <c r="H41" s="1">
        <v>4.0</v>
      </c>
      <c r="I41" s="1">
        <v>0.454545</v>
      </c>
      <c r="J41" s="1">
        <v>2.0</v>
      </c>
      <c r="K41" s="1">
        <v>-0.508212</v>
      </c>
      <c r="L41" s="1">
        <v>100.0</v>
      </c>
      <c r="M41" s="1">
        <v>0.0</v>
      </c>
      <c r="N41" s="1">
        <v>0.0</v>
      </c>
      <c r="O41" s="1">
        <v>101.560099</v>
      </c>
    </row>
    <row r="42">
      <c r="A42" s="1" t="s">
        <v>252</v>
      </c>
      <c r="B42" s="1" t="s">
        <v>114</v>
      </c>
      <c r="C42" s="3" t="s">
        <v>33</v>
      </c>
      <c r="D42" s="3"/>
      <c r="E42" s="1" t="str">
        <f>IFERROR(__xludf.DUMMYFUNCTION("IFERROR(REGEXEXTRACT(A42, ""res(269|122)""), ""none"")"),"122")</f>
        <v>122</v>
      </c>
      <c r="F42" s="1">
        <v>-16.231911</v>
      </c>
      <c r="G42" s="1">
        <v>12.0</v>
      </c>
      <c r="H42" s="1">
        <v>2.0</v>
      </c>
      <c r="I42" s="1">
        <v>0.25</v>
      </c>
      <c r="J42" s="1">
        <v>2.0</v>
      </c>
      <c r="K42" s="1">
        <v>-0.38947</v>
      </c>
      <c r="L42" s="1">
        <v>100.0</v>
      </c>
      <c r="M42" s="1">
        <v>0.0</v>
      </c>
      <c r="N42" s="1">
        <v>0.0</v>
      </c>
      <c r="O42" s="1">
        <v>99.628619</v>
      </c>
    </row>
    <row r="43">
      <c r="A43" s="1" t="s">
        <v>253</v>
      </c>
      <c r="B43" s="1" t="s">
        <v>254</v>
      </c>
      <c r="C43" s="3" t="s">
        <v>24</v>
      </c>
      <c r="D43" s="3" t="s">
        <v>406</v>
      </c>
      <c r="E43" s="1" t="str">
        <f>IFERROR(__xludf.DUMMYFUNCTION("IFERROR(REGEXEXTRACT(A43, ""res(269|122)""), ""none"")"),"122")</f>
        <v>122</v>
      </c>
      <c r="F43" s="1">
        <v>-15.527357</v>
      </c>
      <c r="G43" s="1">
        <v>8.0</v>
      </c>
      <c r="H43" s="1">
        <v>3.0</v>
      </c>
      <c r="I43" s="1">
        <v>0.25</v>
      </c>
      <c r="J43" s="1">
        <v>2.0</v>
      </c>
      <c r="K43" s="1">
        <v>-0.966032</v>
      </c>
      <c r="L43" s="1">
        <v>100.0</v>
      </c>
      <c r="M43" s="1">
        <v>0.0</v>
      </c>
      <c r="N43" s="1">
        <v>0.0</v>
      </c>
      <c r="O43" s="1">
        <v>96.756611</v>
      </c>
    </row>
    <row r="44">
      <c r="A44" s="1" t="s">
        <v>255</v>
      </c>
      <c r="B44" s="1" t="s">
        <v>256</v>
      </c>
      <c r="C44" s="3" t="s">
        <v>24</v>
      </c>
      <c r="D44" s="3"/>
      <c r="E44" s="1" t="str">
        <f>IFERROR(__xludf.DUMMYFUNCTION("IFERROR(REGEXEXTRACT(A44, ""res(269|122)""), ""none"")"),"122")</f>
        <v>122</v>
      </c>
      <c r="F44" s="1">
        <v>-15.777823</v>
      </c>
      <c r="G44" s="1">
        <v>9.0</v>
      </c>
      <c r="H44" s="1">
        <v>4.0</v>
      </c>
      <c r="I44" s="1">
        <v>0.333333</v>
      </c>
      <c r="J44" s="1">
        <v>2.0</v>
      </c>
      <c r="K44" s="1">
        <v>-1.671146</v>
      </c>
      <c r="L44" s="1">
        <v>100.0</v>
      </c>
      <c r="M44" s="1">
        <v>0.0</v>
      </c>
      <c r="N44" s="1">
        <v>0.0</v>
      </c>
      <c r="O44" s="1">
        <v>97.884364</v>
      </c>
    </row>
    <row r="45">
      <c r="C45" s="5"/>
      <c r="D45" s="5"/>
    </row>
    <row r="46">
      <c r="C46" s="5"/>
      <c r="D46" s="5"/>
    </row>
    <row r="47">
      <c r="C47" s="5"/>
      <c r="D47" s="5"/>
    </row>
    <row r="48">
      <c r="C48" s="5"/>
      <c r="D48" s="5"/>
    </row>
    <row r="49">
      <c r="C49" s="5"/>
      <c r="D49" s="5"/>
    </row>
    <row r="50">
      <c r="C50" s="5"/>
      <c r="D50" s="5"/>
    </row>
    <row r="51">
      <c r="C51" s="5"/>
      <c r="D51" s="5"/>
    </row>
    <row r="52">
      <c r="C52" s="5"/>
      <c r="D52" s="5"/>
    </row>
    <row r="53">
      <c r="C53" s="5"/>
      <c r="D53" s="5"/>
    </row>
    <row r="54">
      <c r="C54" s="5"/>
      <c r="D54" s="5"/>
    </row>
    <row r="55">
      <c r="C55" s="5"/>
      <c r="D55" s="5"/>
    </row>
    <row r="56">
      <c r="C56" s="5"/>
      <c r="D56" s="5"/>
    </row>
    <row r="57">
      <c r="C57" s="5"/>
      <c r="D57" s="5"/>
    </row>
    <row r="58">
      <c r="C58" s="5"/>
      <c r="D58" s="5"/>
    </row>
    <row r="59">
      <c r="C59" s="5"/>
      <c r="D59" s="5"/>
    </row>
    <row r="60">
      <c r="C60" s="5"/>
      <c r="D60" s="5"/>
    </row>
    <row r="61">
      <c r="C61" s="5"/>
      <c r="D61" s="5"/>
    </row>
    <row r="62">
      <c r="C62" s="5"/>
      <c r="D62" s="5"/>
    </row>
    <row r="63">
      <c r="C63" s="5"/>
      <c r="D63" s="5"/>
    </row>
    <row r="64">
      <c r="C64" s="5"/>
      <c r="D64" s="5"/>
    </row>
    <row r="65">
      <c r="C65" s="5"/>
      <c r="D65" s="5"/>
    </row>
    <row r="66">
      <c r="C66" s="5"/>
      <c r="D66" s="5"/>
    </row>
    <row r="67">
      <c r="C67" s="5"/>
      <c r="D67" s="5"/>
    </row>
    <row r="68">
      <c r="C68" s="5"/>
      <c r="D68" s="5"/>
    </row>
    <row r="69">
      <c r="C69" s="5"/>
      <c r="D69" s="5"/>
    </row>
    <row r="70">
      <c r="C70" s="5"/>
      <c r="D70" s="5"/>
    </row>
    <row r="71">
      <c r="C71" s="5"/>
      <c r="D71" s="5"/>
    </row>
    <row r="72">
      <c r="C72" s="5"/>
      <c r="D72" s="5"/>
    </row>
    <row r="73">
      <c r="C73" s="5"/>
      <c r="D73" s="5"/>
    </row>
    <row r="74">
      <c r="C74" s="5"/>
      <c r="D74" s="5"/>
    </row>
    <row r="75">
      <c r="C75" s="5"/>
      <c r="D75" s="5"/>
    </row>
    <row r="76">
      <c r="C76" s="5"/>
      <c r="D76" s="5"/>
    </row>
    <row r="77">
      <c r="C77" s="5"/>
      <c r="D77" s="5"/>
    </row>
    <row r="78">
      <c r="C78" s="5"/>
      <c r="D78" s="5"/>
    </row>
    <row r="79">
      <c r="C79" s="5"/>
      <c r="D79" s="5"/>
    </row>
    <row r="80">
      <c r="C80" s="5"/>
      <c r="D80" s="5"/>
    </row>
    <row r="81">
      <c r="C81" s="5"/>
      <c r="D81" s="5"/>
    </row>
    <row r="82">
      <c r="C82" s="5"/>
      <c r="D82" s="5"/>
    </row>
    <row r="83">
      <c r="C83" s="5"/>
      <c r="D83" s="5"/>
    </row>
    <row r="84">
      <c r="C84" s="5"/>
      <c r="D84" s="5"/>
    </row>
    <row r="85">
      <c r="C85" s="5"/>
      <c r="D85" s="5"/>
    </row>
    <row r="86">
      <c r="C86" s="5"/>
      <c r="D86" s="5"/>
    </row>
    <row r="87">
      <c r="C87" s="5"/>
      <c r="D87" s="5"/>
    </row>
    <row r="88">
      <c r="C88" s="5"/>
      <c r="D88" s="5"/>
    </row>
    <row r="89">
      <c r="C89" s="5"/>
      <c r="D89" s="5"/>
    </row>
    <row r="90">
      <c r="C90" s="5"/>
      <c r="D90" s="5"/>
    </row>
    <row r="91">
      <c r="C91" s="5"/>
      <c r="D91" s="5"/>
    </row>
    <row r="92">
      <c r="C92" s="5"/>
      <c r="D92" s="5"/>
    </row>
    <row r="93">
      <c r="C93" s="5"/>
      <c r="D93" s="5"/>
    </row>
    <row r="94">
      <c r="C94" s="5"/>
      <c r="D94" s="5"/>
    </row>
    <row r="95">
      <c r="C95" s="5"/>
      <c r="D95" s="5"/>
    </row>
    <row r="96">
      <c r="C96" s="5"/>
      <c r="D96" s="5"/>
    </row>
    <row r="97">
      <c r="C97" s="5"/>
      <c r="D97" s="5"/>
    </row>
    <row r="98">
      <c r="C98" s="5"/>
      <c r="D98" s="5"/>
    </row>
    <row r="99">
      <c r="C99" s="5"/>
      <c r="D99" s="5"/>
    </row>
    <row r="100">
      <c r="C100" s="5"/>
      <c r="D100" s="5"/>
    </row>
    <row r="101">
      <c r="C101" s="5"/>
      <c r="D101" s="5"/>
    </row>
    <row r="102">
      <c r="C102" s="5"/>
      <c r="D102" s="5"/>
    </row>
    <row r="103">
      <c r="C103" s="5"/>
      <c r="D103" s="5"/>
    </row>
    <row r="104">
      <c r="C104" s="5"/>
      <c r="D104" s="5"/>
    </row>
    <row r="105">
      <c r="C105" s="5"/>
      <c r="D105" s="5"/>
    </row>
    <row r="106">
      <c r="C106" s="5"/>
      <c r="D106" s="5"/>
    </row>
    <row r="107">
      <c r="C107" s="5"/>
      <c r="D107" s="5"/>
    </row>
    <row r="108">
      <c r="C108" s="5"/>
      <c r="D108" s="5"/>
    </row>
    <row r="109">
      <c r="C109" s="5"/>
      <c r="D109" s="5"/>
    </row>
    <row r="110">
      <c r="C110" s="5"/>
      <c r="D110" s="5"/>
    </row>
    <row r="111">
      <c r="C111" s="5"/>
      <c r="D111" s="5"/>
    </row>
    <row r="112">
      <c r="C112" s="5"/>
      <c r="D112" s="5"/>
    </row>
    <row r="113">
      <c r="C113" s="5"/>
      <c r="D113" s="5"/>
    </row>
    <row r="114">
      <c r="C114" s="5"/>
      <c r="D114" s="5"/>
    </row>
    <row r="115">
      <c r="C115" s="5"/>
      <c r="D115" s="5"/>
    </row>
    <row r="116">
      <c r="C116" s="5"/>
      <c r="D116" s="5"/>
    </row>
    <row r="117">
      <c r="C117" s="5"/>
      <c r="D117" s="5"/>
    </row>
    <row r="118">
      <c r="C118" s="5"/>
      <c r="D118" s="5"/>
    </row>
    <row r="119">
      <c r="C119" s="5"/>
      <c r="D119" s="5"/>
    </row>
    <row r="120">
      <c r="C120" s="5"/>
      <c r="D120" s="5"/>
    </row>
    <row r="121">
      <c r="C121" s="5"/>
      <c r="D121" s="5"/>
    </row>
    <row r="122">
      <c r="C122" s="5"/>
      <c r="D122" s="5"/>
    </row>
    <row r="123">
      <c r="C123" s="5"/>
      <c r="D123" s="5"/>
    </row>
    <row r="124">
      <c r="C124" s="5"/>
      <c r="D124" s="5"/>
    </row>
    <row r="125">
      <c r="C125" s="5"/>
      <c r="D125" s="5"/>
    </row>
    <row r="126">
      <c r="C126" s="5"/>
      <c r="D126" s="5"/>
    </row>
    <row r="127">
      <c r="C127" s="5"/>
      <c r="D127" s="5"/>
    </row>
    <row r="128">
      <c r="C128" s="5"/>
      <c r="D128" s="5"/>
    </row>
    <row r="129">
      <c r="C129" s="5"/>
      <c r="D129" s="5"/>
    </row>
    <row r="130">
      <c r="C130" s="5"/>
      <c r="D130" s="5"/>
    </row>
    <row r="131">
      <c r="C131" s="5"/>
      <c r="D131" s="5"/>
    </row>
    <row r="132">
      <c r="C132" s="5"/>
      <c r="D132" s="5"/>
    </row>
    <row r="133">
      <c r="C133" s="5"/>
      <c r="D133" s="5"/>
    </row>
    <row r="134">
      <c r="C134" s="5"/>
      <c r="D134" s="5"/>
    </row>
    <row r="135">
      <c r="C135" s="5"/>
      <c r="D135" s="5"/>
    </row>
    <row r="136">
      <c r="C136" s="5"/>
      <c r="D136" s="5"/>
    </row>
    <row r="137">
      <c r="C137" s="5"/>
      <c r="D137" s="5"/>
    </row>
    <row r="138">
      <c r="C138" s="5"/>
      <c r="D138" s="5"/>
    </row>
    <row r="139">
      <c r="C139" s="5"/>
      <c r="D139" s="5"/>
    </row>
    <row r="140">
      <c r="C140" s="5"/>
      <c r="D140" s="5"/>
    </row>
    <row r="141">
      <c r="C141" s="5"/>
      <c r="D141" s="5"/>
    </row>
    <row r="142">
      <c r="C142" s="5"/>
      <c r="D142" s="5"/>
    </row>
    <row r="143">
      <c r="C143" s="5"/>
      <c r="D143" s="5"/>
    </row>
    <row r="144">
      <c r="C144" s="5"/>
      <c r="D144" s="5"/>
    </row>
    <row r="145">
      <c r="C145" s="5"/>
      <c r="D145" s="5"/>
    </row>
    <row r="146">
      <c r="C146" s="5"/>
      <c r="D146" s="5"/>
    </row>
    <row r="147">
      <c r="C147" s="5"/>
      <c r="D147" s="5"/>
    </row>
    <row r="148">
      <c r="C148" s="5"/>
      <c r="D148" s="5"/>
    </row>
    <row r="149">
      <c r="C149" s="5"/>
      <c r="D149" s="5"/>
    </row>
    <row r="150">
      <c r="C150" s="5"/>
      <c r="D150" s="5"/>
    </row>
    <row r="151">
      <c r="C151" s="5"/>
      <c r="D151" s="5"/>
    </row>
    <row r="152">
      <c r="C152" s="5"/>
      <c r="D152" s="5"/>
    </row>
    <row r="153">
      <c r="C153" s="5"/>
      <c r="D153" s="5"/>
    </row>
    <row r="154">
      <c r="C154" s="5"/>
      <c r="D154" s="5"/>
    </row>
    <row r="155">
      <c r="C155" s="5"/>
      <c r="D155" s="5"/>
    </row>
    <row r="156">
      <c r="C156" s="5"/>
      <c r="D156" s="5"/>
    </row>
    <row r="157">
      <c r="C157" s="5"/>
      <c r="D157" s="5"/>
    </row>
    <row r="158">
      <c r="C158" s="5"/>
      <c r="D158" s="5"/>
    </row>
    <row r="159">
      <c r="C159" s="5"/>
      <c r="D159" s="5"/>
    </row>
    <row r="160">
      <c r="C160" s="5"/>
      <c r="D160" s="5"/>
    </row>
    <row r="161">
      <c r="C161" s="5"/>
      <c r="D161" s="5"/>
    </row>
    <row r="162">
      <c r="C162" s="5"/>
      <c r="D162" s="5"/>
    </row>
    <row r="163">
      <c r="C163" s="5"/>
      <c r="D163" s="5"/>
    </row>
    <row r="164">
      <c r="C164" s="5"/>
      <c r="D164" s="5"/>
    </row>
    <row r="165">
      <c r="C165" s="5"/>
      <c r="D165" s="5"/>
    </row>
    <row r="166">
      <c r="C166" s="5"/>
      <c r="D166" s="5"/>
    </row>
    <row r="167">
      <c r="C167" s="5"/>
      <c r="D167" s="5"/>
    </row>
    <row r="168">
      <c r="C168" s="5"/>
      <c r="D168" s="5"/>
    </row>
    <row r="169">
      <c r="C169" s="5"/>
      <c r="D169" s="5"/>
    </row>
    <row r="170">
      <c r="C170" s="5"/>
      <c r="D170" s="5"/>
    </row>
    <row r="171">
      <c r="C171" s="5"/>
      <c r="D171" s="5"/>
    </row>
    <row r="172">
      <c r="C172" s="5"/>
      <c r="D172" s="5"/>
    </row>
    <row r="173">
      <c r="C173" s="5"/>
      <c r="D173" s="5"/>
    </row>
    <row r="174">
      <c r="C174" s="5"/>
      <c r="D174" s="5"/>
    </row>
    <row r="175">
      <c r="C175" s="5"/>
      <c r="D175" s="5"/>
    </row>
    <row r="176">
      <c r="C176" s="5"/>
      <c r="D176" s="5"/>
    </row>
    <row r="177">
      <c r="C177" s="5"/>
      <c r="D177" s="5"/>
    </row>
    <row r="178">
      <c r="C178" s="5"/>
      <c r="D178" s="5"/>
    </row>
    <row r="179">
      <c r="C179" s="5"/>
      <c r="D179" s="5"/>
    </row>
    <row r="180">
      <c r="C180" s="5"/>
      <c r="D180" s="5"/>
    </row>
    <row r="181">
      <c r="C181" s="5"/>
      <c r="D181" s="5"/>
    </row>
    <row r="182">
      <c r="C182" s="5"/>
      <c r="D182" s="5"/>
    </row>
    <row r="183">
      <c r="C183" s="5"/>
      <c r="D183" s="5"/>
    </row>
    <row r="184">
      <c r="C184" s="5"/>
      <c r="D184" s="5"/>
    </row>
    <row r="185">
      <c r="C185" s="5"/>
      <c r="D185" s="5"/>
    </row>
    <row r="186">
      <c r="C186" s="5"/>
      <c r="D186" s="5"/>
    </row>
    <row r="187">
      <c r="C187" s="5"/>
      <c r="D187" s="5"/>
    </row>
    <row r="188">
      <c r="C188" s="5"/>
      <c r="D188" s="5"/>
    </row>
    <row r="189">
      <c r="C189" s="5"/>
      <c r="D189" s="5"/>
    </row>
    <row r="190">
      <c r="C190" s="5"/>
      <c r="D190" s="5"/>
    </row>
    <row r="191">
      <c r="C191" s="5"/>
      <c r="D191" s="5"/>
    </row>
    <row r="192">
      <c r="C192" s="5"/>
      <c r="D192" s="5"/>
    </row>
    <row r="193">
      <c r="C193" s="5"/>
      <c r="D193" s="5"/>
    </row>
    <row r="194">
      <c r="C194" s="5"/>
      <c r="D194" s="5"/>
    </row>
    <row r="195">
      <c r="C195" s="5"/>
      <c r="D195" s="5"/>
    </row>
    <row r="196">
      <c r="C196" s="5"/>
      <c r="D196" s="5"/>
    </row>
    <row r="197">
      <c r="C197" s="5"/>
      <c r="D197" s="5"/>
    </row>
    <row r="198">
      <c r="C198" s="5"/>
      <c r="D198" s="5"/>
    </row>
    <row r="199">
      <c r="C199" s="5"/>
      <c r="D199" s="5"/>
    </row>
    <row r="200">
      <c r="C200" s="5"/>
      <c r="D200" s="5"/>
    </row>
    <row r="201">
      <c r="C201" s="5"/>
      <c r="D201" s="5"/>
    </row>
    <row r="202">
      <c r="C202" s="5"/>
      <c r="D202" s="5"/>
    </row>
    <row r="203">
      <c r="C203" s="5"/>
      <c r="D203" s="5"/>
    </row>
    <row r="204">
      <c r="C204" s="5"/>
      <c r="D204" s="5"/>
    </row>
    <row r="205">
      <c r="C205" s="5"/>
      <c r="D205" s="5"/>
    </row>
    <row r="206">
      <c r="C206" s="5"/>
      <c r="D206" s="5"/>
    </row>
    <row r="207">
      <c r="C207" s="5"/>
      <c r="D207" s="5"/>
    </row>
    <row r="208">
      <c r="C208" s="5"/>
      <c r="D208" s="5"/>
    </row>
    <row r="209">
      <c r="C209" s="5"/>
      <c r="D209" s="5"/>
    </row>
    <row r="210">
      <c r="C210" s="5"/>
      <c r="D210" s="5"/>
    </row>
    <row r="211">
      <c r="C211" s="5"/>
      <c r="D211" s="5"/>
    </row>
    <row r="212">
      <c r="C212" s="5"/>
      <c r="D212" s="5"/>
    </row>
    <row r="213">
      <c r="C213" s="5"/>
      <c r="D213" s="5"/>
    </row>
    <row r="214">
      <c r="C214" s="5"/>
      <c r="D214" s="5"/>
    </row>
    <row r="215">
      <c r="C215" s="5"/>
      <c r="D215" s="5"/>
    </row>
    <row r="216">
      <c r="C216" s="5"/>
      <c r="D216" s="5"/>
    </row>
    <row r="217">
      <c r="C217" s="5"/>
      <c r="D217" s="5"/>
    </row>
    <row r="218">
      <c r="C218" s="5"/>
      <c r="D218" s="5"/>
    </row>
    <row r="219">
      <c r="C219" s="5"/>
      <c r="D219" s="5"/>
    </row>
    <row r="220">
      <c r="C220" s="5"/>
      <c r="D220" s="5"/>
    </row>
    <row r="221">
      <c r="C221" s="5"/>
      <c r="D221" s="5"/>
    </row>
    <row r="222">
      <c r="C222" s="5"/>
      <c r="D222" s="5"/>
    </row>
    <row r="223">
      <c r="C223" s="5"/>
      <c r="D223" s="5"/>
    </row>
    <row r="224">
      <c r="C224" s="5"/>
      <c r="D224" s="5"/>
    </row>
    <row r="225">
      <c r="C225" s="5"/>
      <c r="D225" s="5"/>
    </row>
    <row r="226">
      <c r="C226" s="5"/>
      <c r="D226" s="5"/>
    </row>
    <row r="227">
      <c r="C227" s="5"/>
      <c r="D227" s="5"/>
    </row>
    <row r="228">
      <c r="C228" s="5"/>
      <c r="D228" s="5"/>
    </row>
    <row r="229">
      <c r="C229" s="5"/>
      <c r="D229" s="5"/>
    </row>
    <row r="230">
      <c r="C230" s="5"/>
      <c r="D230" s="5"/>
    </row>
    <row r="231">
      <c r="C231" s="5"/>
      <c r="D231" s="5"/>
    </row>
    <row r="232">
      <c r="C232" s="5"/>
      <c r="D232" s="5"/>
    </row>
    <row r="233">
      <c r="C233" s="5"/>
      <c r="D233" s="5"/>
    </row>
    <row r="234">
      <c r="C234" s="5"/>
      <c r="D234" s="5"/>
    </row>
    <row r="235">
      <c r="C235" s="5"/>
      <c r="D235" s="5"/>
    </row>
    <row r="236">
      <c r="C236" s="5"/>
      <c r="D236" s="5"/>
    </row>
    <row r="237">
      <c r="C237" s="5"/>
      <c r="D237" s="5"/>
    </row>
    <row r="238">
      <c r="C238" s="5"/>
      <c r="D238" s="5"/>
    </row>
    <row r="239">
      <c r="C239" s="5"/>
      <c r="D239" s="5"/>
    </row>
    <row r="240">
      <c r="C240" s="5"/>
      <c r="D240" s="5"/>
    </row>
    <row r="241">
      <c r="C241" s="5"/>
      <c r="D241" s="5"/>
    </row>
    <row r="242">
      <c r="C242" s="5"/>
      <c r="D242" s="5"/>
    </row>
    <row r="243">
      <c r="C243" s="5"/>
      <c r="D243" s="5"/>
    </row>
    <row r="244">
      <c r="C244" s="5"/>
      <c r="D244" s="5"/>
    </row>
    <row r="245">
      <c r="C245" s="5"/>
      <c r="D245" s="5"/>
    </row>
    <row r="246">
      <c r="C246" s="5"/>
      <c r="D246" s="5"/>
    </row>
    <row r="247">
      <c r="C247" s="5"/>
      <c r="D247" s="5"/>
    </row>
    <row r="248">
      <c r="C248" s="5"/>
      <c r="D248" s="5"/>
    </row>
    <row r="249">
      <c r="C249" s="5"/>
      <c r="D249" s="5"/>
    </row>
    <row r="250">
      <c r="C250" s="5"/>
      <c r="D250" s="5"/>
    </row>
    <row r="251">
      <c r="C251" s="5"/>
      <c r="D251" s="5"/>
    </row>
    <row r="252">
      <c r="C252" s="5"/>
      <c r="D252" s="5"/>
    </row>
    <row r="253">
      <c r="C253" s="5"/>
      <c r="D253" s="5"/>
    </row>
    <row r="254">
      <c r="C254" s="5"/>
      <c r="D254" s="5"/>
    </row>
    <row r="255">
      <c r="C255" s="5"/>
      <c r="D255" s="5"/>
    </row>
    <row r="256">
      <c r="C256" s="5"/>
      <c r="D256" s="5"/>
    </row>
    <row r="257">
      <c r="C257" s="5"/>
      <c r="D257" s="5"/>
    </row>
    <row r="258">
      <c r="C258" s="5"/>
      <c r="D258" s="5"/>
    </row>
    <row r="259">
      <c r="C259" s="5"/>
      <c r="D259" s="5"/>
    </row>
    <row r="260">
      <c r="C260" s="5"/>
      <c r="D260" s="5"/>
    </row>
    <row r="261">
      <c r="C261" s="5"/>
      <c r="D261" s="5"/>
    </row>
    <row r="262">
      <c r="C262" s="5"/>
      <c r="D262" s="5"/>
    </row>
    <row r="263">
      <c r="C263" s="5"/>
      <c r="D263" s="5"/>
    </row>
    <row r="264">
      <c r="C264" s="5"/>
      <c r="D264" s="5"/>
    </row>
    <row r="265">
      <c r="C265" s="5"/>
      <c r="D265" s="5"/>
    </row>
    <row r="266">
      <c r="C266" s="5"/>
      <c r="D266" s="5"/>
    </row>
    <row r="267">
      <c r="C267" s="5"/>
      <c r="D267" s="5"/>
    </row>
    <row r="268">
      <c r="C268" s="5"/>
      <c r="D268" s="5"/>
    </row>
    <row r="269">
      <c r="C269" s="5"/>
      <c r="D269" s="5"/>
    </row>
    <row r="270">
      <c r="C270" s="5"/>
      <c r="D270" s="5"/>
    </row>
    <row r="271">
      <c r="C271" s="5"/>
      <c r="D271" s="5"/>
    </row>
    <row r="272">
      <c r="C272" s="5"/>
      <c r="D272" s="5"/>
    </row>
    <row r="273">
      <c r="C273" s="5"/>
      <c r="D273" s="5"/>
    </row>
    <row r="274">
      <c r="C274" s="5"/>
      <c r="D274" s="5"/>
    </row>
    <row r="275">
      <c r="C275" s="5"/>
      <c r="D275" s="5"/>
    </row>
    <row r="276">
      <c r="C276" s="5"/>
      <c r="D276" s="5"/>
    </row>
    <row r="277">
      <c r="C277" s="5"/>
      <c r="D277" s="5"/>
    </row>
    <row r="278">
      <c r="C278" s="5"/>
      <c r="D278" s="5"/>
    </row>
    <row r="279">
      <c r="C279" s="5"/>
      <c r="D279" s="5"/>
    </row>
    <row r="280">
      <c r="C280" s="5"/>
      <c r="D280" s="5"/>
    </row>
    <row r="281">
      <c r="C281" s="5"/>
      <c r="D281" s="5"/>
    </row>
    <row r="282">
      <c r="C282" s="5"/>
      <c r="D282" s="5"/>
    </row>
    <row r="283">
      <c r="C283" s="5"/>
      <c r="D283" s="5"/>
    </row>
    <row r="284">
      <c r="C284" s="5"/>
      <c r="D284" s="5"/>
    </row>
    <row r="285">
      <c r="C285" s="5"/>
      <c r="D285" s="5"/>
    </row>
    <row r="286">
      <c r="C286" s="5"/>
      <c r="D286" s="5"/>
    </row>
    <row r="287">
      <c r="C287" s="5"/>
      <c r="D287" s="5"/>
    </row>
    <row r="288">
      <c r="C288" s="5"/>
      <c r="D288" s="5"/>
    </row>
    <row r="289">
      <c r="C289" s="5"/>
      <c r="D289" s="5"/>
    </row>
    <row r="290">
      <c r="C290" s="5"/>
      <c r="D290" s="5"/>
    </row>
    <row r="291">
      <c r="C291" s="5"/>
      <c r="D291" s="5"/>
    </row>
    <row r="292">
      <c r="C292" s="5"/>
      <c r="D292" s="5"/>
    </row>
    <row r="293">
      <c r="C293" s="5"/>
      <c r="D293" s="5"/>
    </row>
    <row r="294">
      <c r="C294" s="5"/>
      <c r="D294" s="5"/>
    </row>
    <row r="295">
      <c r="C295" s="5"/>
      <c r="D295" s="5"/>
    </row>
    <row r="296">
      <c r="C296" s="5"/>
      <c r="D296" s="5"/>
    </row>
    <row r="297">
      <c r="C297" s="5"/>
      <c r="D297" s="5"/>
    </row>
    <row r="298">
      <c r="C298" s="5"/>
      <c r="D298" s="5"/>
    </row>
    <row r="299">
      <c r="C299" s="5"/>
      <c r="D299" s="5"/>
    </row>
    <row r="300">
      <c r="C300" s="5"/>
      <c r="D300" s="5"/>
    </row>
    <row r="301">
      <c r="C301" s="5"/>
      <c r="D301" s="5"/>
    </row>
    <row r="302">
      <c r="C302" s="5"/>
      <c r="D302" s="5"/>
    </row>
    <row r="303">
      <c r="C303" s="5"/>
      <c r="D303" s="5"/>
    </row>
    <row r="304">
      <c r="C304" s="5"/>
      <c r="D304" s="5"/>
    </row>
    <row r="305">
      <c r="C305" s="5"/>
      <c r="D305" s="5"/>
    </row>
    <row r="306">
      <c r="C306" s="5"/>
      <c r="D306" s="5"/>
    </row>
    <row r="307">
      <c r="C307" s="5"/>
      <c r="D307" s="5"/>
    </row>
    <row r="308">
      <c r="C308" s="5"/>
      <c r="D308" s="5"/>
    </row>
    <row r="309">
      <c r="C309" s="5"/>
      <c r="D309" s="5"/>
    </row>
    <row r="310">
      <c r="C310" s="5"/>
      <c r="D310" s="5"/>
    </row>
    <row r="311">
      <c r="C311" s="5"/>
      <c r="D311" s="5"/>
    </row>
    <row r="312">
      <c r="C312" s="5"/>
      <c r="D312" s="5"/>
    </row>
    <row r="313">
      <c r="C313" s="5"/>
      <c r="D313" s="5"/>
    </row>
    <row r="314">
      <c r="C314" s="5"/>
      <c r="D314" s="5"/>
    </row>
    <row r="315">
      <c r="C315" s="5"/>
      <c r="D315" s="5"/>
    </row>
    <row r="316">
      <c r="C316" s="5"/>
      <c r="D316" s="5"/>
    </row>
    <row r="317">
      <c r="C317" s="5"/>
      <c r="D317" s="5"/>
    </row>
    <row r="318">
      <c r="C318" s="5"/>
      <c r="D318" s="5"/>
    </row>
    <row r="319">
      <c r="C319" s="5"/>
      <c r="D319" s="5"/>
    </row>
    <row r="320">
      <c r="C320" s="5"/>
      <c r="D320" s="5"/>
    </row>
    <row r="321">
      <c r="C321" s="5"/>
      <c r="D321" s="5"/>
    </row>
    <row r="322">
      <c r="C322" s="5"/>
      <c r="D322" s="5"/>
    </row>
    <row r="323">
      <c r="C323" s="5"/>
      <c r="D323" s="5"/>
    </row>
    <row r="324">
      <c r="C324" s="5"/>
      <c r="D324" s="5"/>
    </row>
    <row r="325">
      <c r="C325" s="5"/>
      <c r="D325" s="5"/>
    </row>
    <row r="326">
      <c r="C326" s="5"/>
      <c r="D326" s="5"/>
    </row>
    <row r="327">
      <c r="C327" s="5"/>
      <c r="D327" s="5"/>
    </row>
    <row r="328">
      <c r="C328" s="5"/>
      <c r="D328" s="5"/>
    </row>
    <row r="329">
      <c r="C329" s="5"/>
      <c r="D329" s="5"/>
    </row>
    <row r="330">
      <c r="C330" s="5"/>
      <c r="D330" s="5"/>
    </row>
    <row r="331">
      <c r="C331" s="5"/>
      <c r="D331" s="5"/>
    </row>
    <row r="332">
      <c r="C332" s="5"/>
      <c r="D332" s="5"/>
    </row>
    <row r="333">
      <c r="C333" s="5"/>
      <c r="D333" s="5"/>
    </row>
    <row r="334">
      <c r="C334" s="5"/>
      <c r="D334" s="5"/>
    </row>
    <row r="335">
      <c r="C335" s="5"/>
      <c r="D335" s="5"/>
    </row>
    <row r="336">
      <c r="C336" s="5"/>
      <c r="D336" s="5"/>
    </row>
    <row r="337">
      <c r="C337" s="5"/>
      <c r="D337" s="5"/>
    </row>
    <row r="338">
      <c r="C338" s="5"/>
      <c r="D338" s="5"/>
    </row>
    <row r="339">
      <c r="C339" s="5"/>
      <c r="D339" s="5"/>
    </row>
    <row r="340">
      <c r="C340" s="5"/>
      <c r="D340" s="5"/>
    </row>
    <row r="341">
      <c r="C341" s="5"/>
      <c r="D341" s="5"/>
    </row>
    <row r="342">
      <c r="C342" s="5"/>
      <c r="D342" s="5"/>
    </row>
    <row r="343">
      <c r="C343" s="5"/>
      <c r="D343" s="5"/>
    </row>
    <row r="344">
      <c r="C344" s="5"/>
      <c r="D344" s="5"/>
    </row>
    <row r="345">
      <c r="C345" s="5"/>
      <c r="D345" s="5"/>
    </row>
    <row r="346">
      <c r="C346" s="5"/>
      <c r="D346" s="5"/>
    </row>
    <row r="347">
      <c r="C347" s="5"/>
      <c r="D347" s="5"/>
    </row>
    <row r="348">
      <c r="C348" s="5"/>
      <c r="D348" s="5"/>
    </row>
    <row r="349">
      <c r="C349" s="5"/>
      <c r="D349" s="5"/>
    </row>
    <row r="350">
      <c r="C350" s="5"/>
      <c r="D350" s="5"/>
    </row>
    <row r="351">
      <c r="C351" s="5"/>
      <c r="D351" s="5"/>
    </row>
    <row r="352">
      <c r="C352" s="5"/>
      <c r="D352" s="5"/>
    </row>
    <row r="353">
      <c r="C353" s="5"/>
      <c r="D353" s="5"/>
    </row>
    <row r="354">
      <c r="C354" s="5"/>
      <c r="D354" s="5"/>
    </row>
    <row r="355">
      <c r="C355" s="5"/>
      <c r="D355" s="5"/>
    </row>
    <row r="356">
      <c r="C356" s="5"/>
      <c r="D356" s="5"/>
    </row>
    <row r="357">
      <c r="C357" s="5"/>
      <c r="D357" s="5"/>
    </row>
    <row r="358">
      <c r="C358" s="5"/>
      <c r="D358" s="5"/>
    </row>
    <row r="359">
      <c r="C359" s="5"/>
      <c r="D359" s="5"/>
    </row>
    <row r="360">
      <c r="C360" s="5"/>
      <c r="D360" s="5"/>
    </row>
    <row r="361">
      <c r="C361" s="5"/>
      <c r="D361" s="5"/>
    </row>
    <row r="362">
      <c r="C362" s="5"/>
      <c r="D362" s="5"/>
    </row>
    <row r="363">
      <c r="C363" s="5"/>
      <c r="D363" s="5"/>
    </row>
    <row r="364">
      <c r="C364" s="5"/>
      <c r="D364" s="5"/>
    </row>
    <row r="365">
      <c r="C365" s="5"/>
      <c r="D365" s="5"/>
    </row>
    <row r="366">
      <c r="C366" s="5"/>
      <c r="D366" s="5"/>
    </row>
    <row r="367">
      <c r="C367" s="5"/>
      <c r="D367" s="5"/>
    </row>
    <row r="368">
      <c r="C368" s="5"/>
      <c r="D368" s="5"/>
    </row>
    <row r="369">
      <c r="C369" s="5"/>
      <c r="D369" s="5"/>
    </row>
    <row r="370">
      <c r="C370" s="5"/>
      <c r="D370" s="5"/>
    </row>
    <row r="371">
      <c r="C371" s="5"/>
      <c r="D371" s="5"/>
    </row>
    <row r="372">
      <c r="C372" s="5"/>
      <c r="D372" s="5"/>
    </row>
    <row r="373">
      <c r="C373" s="5"/>
      <c r="D373" s="5"/>
    </row>
    <row r="374">
      <c r="C374" s="5"/>
      <c r="D374" s="5"/>
    </row>
    <row r="375">
      <c r="C375" s="5"/>
      <c r="D375" s="5"/>
    </row>
    <row r="376">
      <c r="C376" s="5"/>
      <c r="D376" s="5"/>
    </row>
    <row r="377">
      <c r="C377" s="5"/>
      <c r="D377" s="5"/>
    </row>
    <row r="378">
      <c r="C378" s="5"/>
      <c r="D378" s="5"/>
    </row>
    <row r="379">
      <c r="C379" s="5"/>
      <c r="D379" s="5"/>
    </row>
    <row r="380">
      <c r="C380" s="5"/>
      <c r="D380" s="5"/>
    </row>
    <row r="381">
      <c r="C381" s="5"/>
      <c r="D381" s="5"/>
    </row>
    <row r="382">
      <c r="C382" s="5"/>
      <c r="D382" s="5"/>
    </row>
    <row r="383">
      <c r="C383" s="5"/>
      <c r="D383" s="5"/>
    </row>
    <row r="384">
      <c r="C384" s="5"/>
      <c r="D384" s="5"/>
    </row>
    <row r="385">
      <c r="C385" s="5"/>
      <c r="D385" s="5"/>
    </row>
    <row r="386">
      <c r="C386" s="5"/>
      <c r="D386" s="5"/>
    </row>
    <row r="387">
      <c r="C387" s="5"/>
      <c r="D387" s="5"/>
    </row>
    <row r="388">
      <c r="C388" s="5"/>
      <c r="D388" s="5"/>
    </row>
    <row r="389">
      <c r="C389" s="5"/>
      <c r="D389" s="5"/>
    </row>
    <row r="390">
      <c r="C390" s="5"/>
      <c r="D390" s="5"/>
    </row>
    <row r="391">
      <c r="C391" s="5"/>
      <c r="D391" s="5"/>
    </row>
    <row r="392">
      <c r="C392" s="5"/>
      <c r="D392" s="5"/>
    </row>
    <row r="393">
      <c r="C393" s="5"/>
      <c r="D393" s="5"/>
    </row>
    <row r="394">
      <c r="C394" s="5"/>
      <c r="D394" s="5"/>
    </row>
    <row r="395">
      <c r="C395" s="5"/>
      <c r="D395" s="5"/>
    </row>
    <row r="396">
      <c r="C396" s="5"/>
      <c r="D396" s="5"/>
    </row>
    <row r="397">
      <c r="C397" s="5"/>
      <c r="D397" s="5"/>
    </row>
    <row r="398">
      <c r="C398" s="5"/>
      <c r="D398" s="5"/>
    </row>
    <row r="399">
      <c r="C399" s="5"/>
      <c r="D399" s="5"/>
    </row>
    <row r="400">
      <c r="C400" s="5"/>
      <c r="D400" s="5"/>
    </row>
    <row r="401">
      <c r="C401" s="5"/>
      <c r="D401" s="5"/>
    </row>
    <row r="402">
      <c r="C402" s="5"/>
      <c r="D402" s="5"/>
    </row>
    <row r="403">
      <c r="C403" s="5"/>
      <c r="D403" s="5"/>
    </row>
    <row r="404">
      <c r="C404" s="5"/>
      <c r="D404" s="5"/>
    </row>
    <row r="405">
      <c r="C405" s="5"/>
      <c r="D405" s="5"/>
    </row>
    <row r="406">
      <c r="C406" s="5"/>
      <c r="D406" s="5"/>
    </row>
    <row r="407">
      <c r="C407" s="5"/>
      <c r="D407" s="5"/>
    </row>
    <row r="408">
      <c r="C408" s="5"/>
      <c r="D408" s="5"/>
    </row>
    <row r="409">
      <c r="C409" s="5"/>
      <c r="D409" s="5"/>
    </row>
    <row r="410">
      <c r="C410" s="5"/>
      <c r="D410" s="5"/>
    </row>
    <row r="411">
      <c r="C411" s="5"/>
      <c r="D411" s="5"/>
    </row>
    <row r="412">
      <c r="C412" s="5"/>
      <c r="D412" s="5"/>
    </row>
    <row r="413">
      <c r="C413" s="5"/>
      <c r="D413" s="5"/>
    </row>
    <row r="414">
      <c r="C414" s="5"/>
      <c r="D414" s="5"/>
    </row>
    <row r="415">
      <c r="C415" s="5"/>
      <c r="D415" s="5"/>
    </row>
    <row r="416">
      <c r="C416" s="5"/>
      <c r="D416" s="5"/>
    </row>
    <row r="417">
      <c r="C417" s="5"/>
      <c r="D417" s="5"/>
    </row>
    <row r="418">
      <c r="C418" s="5"/>
      <c r="D418" s="5"/>
    </row>
    <row r="419">
      <c r="C419" s="5"/>
      <c r="D419" s="5"/>
    </row>
    <row r="420">
      <c r="C420" s="5"/>
      <c r="D420" s="5"/>
    </row>
    <row r="421">
      <c r="C421" s="5"/>
      <c r="D421" s="5"/>
    </row>
    <row r="422">
      <c r="C422" s="5"/>
      <c r="D422" s="5"/>
    </row>
    <row r="423">
      <c r="C423" s="5"/>
      <c r="D423" s="5"/>
    </row>
    <row r="424">
      <c r="C424" s="5"/>
      <c r="D424" s="5"/>
    </row>
    <row r="425">
      <c r="C425" s="5"/>
      <c r="D425" s="5"/>
    </row>
    <row r="426">
      <c r="C426" s="5"/>
      <c r="D426" s="5"/>
    </row>
    <row r="427">
      <c r="C427" s="5"/>
      <c r="D427" s="5"/>
    </row>
    <row r="428">
      <c r="C428" s="5"/>
      <c r="D428" s="5"/>
    </row>
    <row r="429">
      <c r="C429" s="5"/>
      <c r="D429" s="5"/>
    </row>
    <row r="430">
      <c r="C430" s="5"/>
      <c r="D430" s="5"/>
    </row>
    <row r="431">
      <c r="C431" s="5"/>
      <c r="D431" s="5"/>
    </row>
    <row r="432">
      <c r="C432" s="5"/>
      <c r="D432" s="5"/>
    </row>
    <row r="433">
      <c r="C433" s="5"/>
      <c r="D433" s="5"/>
    </row>
    <row r="434">
      <c r="C434" s="5"/>
      <c r="D434" s="5"/>
    </row>
    <row r="435">
      <c r="C435" s="5"/>
      <c r="D435" s="5"/>
    </row>
    <row r="436">
      <c r="C436" s="5"/>
      <c r="D436" s="5"/>
    </row>
    <row r="437">
      <c r="C437" s="5"/>
      <c r="D437" s="5"/>
    </row>
    <row r="438">
      <c r="C438" s="5"/>
      <c r="D438" s="5"/>
    </row>
    <row r="439">
      <c r="C439" s="5"/>
      <c r="D439" s="5"/>
    </row>
    <row r="440">
      <c r="C440" s="5"/>
      <c r="D440" s="5"/>
    </row>
    <row r="441">
      <c r="C441" s="5"/>
      <c r="D441" s="5"/>
    </row>
    <row r="442">
      <c r="C442" s="5"/>
      <c r="D442" s="5"/>
    </row>
    <row r="443">
      <c r="C443" s="5"/>
      <c r="D443" s="5"/>
    </row>
    <row r="444">
      <c r="C444" s="5"/>
      <c r="D444" s="5"/>
    </row>
    <row r="445">
      <c r="C445" s="5"/>
      <c r="D445" s="5"/>
    </row>
    <row r="446">
      <c r="C446" s="5"/>
      <c r="D446" s="5"/>
    </row>
    <row r="447">
      <c r="C447" s="5"/>
      <c r="D447" s="5"/>
    </row>
    <row r="448">
      <c r="C448" s="5"/>
      <c r="D448" s="5"/>
    </row>
    <row r="449">
      <c r="C449" s="5"/>
      <c r="D449" s="5"/>
    </row>
    <row r="450">
      <c r="C450" s="5"/>
      <c r="D450" s="5"/>
    </row>
    <row r="451">
      <c r="C451" s="5"/>
      <c r="D451" s="5"/>
    </row>
    <row r="452">
      <c r="C452" s="5"/>
      <c r="D452" s="5"/>
    </row>
    <row r="453">
      <c r="C453" s="5"/>
      <c r="D453" s="5"/>
    </row>
    <row r="454">
      <c r="C454" s="5"/>
      <c r="D454" s="5"/>
    </row>
    <row r="455">
      <c r="C455" s="5"/>
      <c r="D455" s="5"/>
    </row>
    <row r="456">
      <c r="C456" s="5"/>
      <c r="D456" s="5"/>
    </row>
    <row r="457">
      <c r="C457" s="5"/>
      <c r="D457" s="5"/>
    </row>
    <row r="458">
      <c r="C458" s="5"/>
      <c r="D458" s="5"/>
    </row>
    <row r="459">
      <c r="C459" s="5"/>
      <c r="D459" s="5"/>
    </row>
    <row r="460">
      <c r="C460" s="5"/>
      <c r="D460" s="5"/>
    </row>
    <row r="461">
      <c r="C461" s="5"/>
      <c r="D461" s="5"/>
    </row>
    <row r="462">
      <c r="C462" s="5"/>
      <c r="D462" s="5"/>
    </row>
    <row r="463">
      <c r="C463" s="5"/>
      <c r="D463" s="5"/>
    </row>
    <row r="464">
      <c r="C464" s="5"/>
      <c r="D464" s="5"/>
    </row>
    <row r="465">
      <c r="C465" s="5"/>
      <c r="D465" s="5"/>
    </row>
    <row r="466">
      <c r="C466" s="5"/>
      <c r="D466" s="5"/>
    </row>
    <row r="467">
      <c r="C467" s="5"/>
      <c r="D467" s="5"/>
    </row>
    <row r="468">
      <c r="C468" s="5"/>
      <c r="D468" s="5"/>
    </row>
    <row r="469">
      <c r="C469" s="5"/>
      <c r="D469" s="5"/>
    </row>
    <row r="470">
      <c r="C470" s="5"/>
      <c r="D470" s="5"/>
    </row>
    <row r="471">
      <c r="C471" s="5"/>
      <c r="D471" s="5"/>
    </row>
    <row r="472">
      <c r="C472" s="5"/>
      <c r="D472" s="5"/>
    </row>
    <row r="473">
      <c r="C473" s="5"/>
      <c r="D473" s="5"/>
    </row>
    <row r="474">
      <c r="C474" s="5"/>
      <c r="D474" s="5"/>
    </row>
    <row r="475">
      <c r="C475" s="5"/>
      <c r="D475" s="5"/>
    </row>
    <row r="476">
      <c r="C476" s="5"/>
      <c r="D476" s="5"/>
    </row>
    <row r="477">
      <c r="C477" s="5"/>
      <c r="D477" s="5"/>
    </row>
    <row r="478">
      <c r="C478" s="5"/>
      <c r="D478" s="5"/>
    </row>
    <row r="479">
      <c r="C479" s="5"/>
      <c r="D479" s="5"/>
    </row>
    <row r="480">
      <c r="C480" s="5"/>
      <c r="D480" s="5"/>
    </row>
    <row r="481">
      <c r="C481" s="5"/>
      <c r="D481" s="5"/>
    </row>
    <row r="482">
      <c r="C482" s="5"/>
      <c r="D482" s="5"/>
    </row>
    <row r="483">
      <c r="C483" s="5"/>
      <c r="D483" s="5"/>
    </row>
    <row r="484">
      <c r="C484" s="5"/>
      <c r="D484" s="5"/>
    </row>
    <row r="485">
      <c r="C485" s="5"/>
      <c r="D485" s="5"/>
    </row>
    <row r="486">
      <c r="C486" s="5"/>
      <c r="D486" s="5"/>
    </row>
    <row r="487">
      <c r="C487" s="5"/>
      <c r="D487" s="5"/>
    </row>
    <row r="488">
      <c r="C488" s="5"/>
      <c r="D488" s="5"/>
    </row>
    <row r="489">
      <c r="C489" s="5"/>
      <c r="D489" s="5"/>
    </row>
    <row r="490">
      <c r="C490" s="5"/>
      <c r="D490" s="5"/>
    </row>
    <row r="491">
      <c r="C491" s="5"/>
      <c r="D491" s="5"/>
    </row>
    <row r="492">
      <c r="C492" s="5"/>
      <c r="D492" s="5"/>
    </row>
    <row r="493">
      <c r="C493" s="5"/>
      <c r="D493" s="5"/>
    </row>
    <row r="494">
      <c r="C494" s="5"/>
      <c r="D494" s="5"/>
    </row>
    <row r="495">
      <c r="C495" s="5"/>
      <c r="D495" s="5"/>
    </row>
    <row r="496">
      <c r="C496" s="5"/>
      <c r="D496" s="5"/>
    </row>
    <row r="497">
      <c r="C497" s="5"/>
      <c r="D497" s="5"/>
    </row>
    <row r="498">
      <c r="C498" s="5"/>
      <c r="D498" s="5"/>
    </row>
    <row r="499">
      <c r="C499" s="5"/>
      <c r="D499" s="5"/>
    </row>
    <row r="500">
      <c r="C500" s="5"/>
      <c r="D500" s="5"/>
    </row>
    <row r="501">
      <c r="C501" s="5"/>
      <c r="D501" s="5"/>
    </row>
    <row r="502">
      <c r="C502" s="5"/>
      <c r="D502" s="5"/>
    </row>
    <row r="503">
      <c r="C503" s="5"/>
      <c r="D503" s="5"/>
    </row>
    <row r="504">
      <c r="C504" s="5"/>
      <c r="D504" s="5"/>
    </row>
    <row r="505">
      <c r="C505" s="5"/>
      <c r="D505" s="5"/>
    </row>
    <row r="506">
      <c r="C506" s="5"/>
      <c r="D506" s="5"/>
    </row>
    <row r="507">
      <c r="C507" s="5"/>
      <c r="D507" s="5"/>
    </row>
    <row r="508">
      <c r="C508" s="5"/>
      <c r="D508" s="5"/>
    </row>
    <row r="509">
      <c r="C509" s="5"/>
      <c r="D509" s="5"/>
    </row>
    <row r="510">
      <c r="C510" s="5"/>
      <c r="D510" s="5"/>
    </row>
    <row r="511">
      <c r="C511" s="5"/>
      <c r="D511" s="5"/>
    </row>
    <row r="512">
      <c r="C512" s="5"/>
      <c r="D512" s="5"/>
    </row>
    <row r="513">
      <c r="C513" s="5"/>
      <c r="D513" s="5"/>
    </row>
    <row r="514">
      <c r="C514" s="5"/>
      <c r="D514" s="5"/>
    </row>
    <row r="515">
      <c r="C515" s="5"/>
      <c r="D515" s="5"/>
    </row>
    <row r="516">
      <c r="C516" s="5"/>
      <c r="D516" s="5"/>
    </row>
    <row r="517">
      <c r="C517" s="5"/>
      <c r="D517" s="5"/>
    </row>
    <row r="518">
      <c r="C518" s="5"/>
      <c r="D518" s="5"/>
    </row>
    <row r="519">
      <c r="C519" s="5"/>
      <c r="D519" s="5"/>
    </row>
    <row r="520">
      <c r="C520" s="5"/>
      <c r="D520" s="5"/>
    </row>
    <row r="521">
      <c r="C521" s="5"/>
      <c r="D521" s="5"/>
    </row>
    <row r="522">
      <c r="C522" s="5"/>
      <c r="D522" s="5"/>
    </row>
    <row r="523">
      <c r="C523" s="5"/>
      <c r="D523" s="5"/>
    </row>
    <row r="524">
      <c r="C524" s="5"/>
      <c r="D524" s="5"/>
    </row>
    <row r="525">
      <c r="C525" s="5"/>
      <c r="D525" s="5"/>
    </row>
    <row r="526">
      <c r="C526" s="5"/>
      <c r="D526" s="5"/>
    </row>
    <row r="527">
      <c r="C527" s="5"/>
      <c r="D527" s="5"/>
    </row>
    <row r="528">
      <c r="C528" s="5"/>
      <c r="D528" s="5"/>
    </row>
    <row r="529">
      <c r="C529" s="5"/>
      <c r="D529" s="5"/>
    </row>
    <row r="530">
      <c r="C530" s="5"/>
      <c r="D530" s="5"/>
    </row>
    <row r="531">
      <c r="C531" s="5"/>
      <c r="D531" s="5"/>
    </row>
    <row r="532">
      <c r="C532" s="5"/>
      <c r="D532" s="5"/>
    </row>
    <row r="533">
      <c r="C533" s="5"/>
      <c r="D533" s="5"/>
    </row>
    <row r="534">
      <c r="C534" s="5"/>
      <c r="D534" s="5"/>
    </row>
    <row r="535">
      <c r="C535" s="5"/>
      <c r="D535" s="5"/>
    </row>
    <row r="536">
      <c r="C536" s="5"/>
      <c r="D536" s="5"/>
    </row>
    <row r="537">
      <c r="C537" s="5"/>
      <c r="D537" s="5"/>
    </row>
    <row r="538">
      <c r="C538" s="5"/>
      <c r="D538" s="5"/>
    </row>
    <row r="539">
      <c r="C539" s="5"/>
      <c r="D539" s="5"/>
    </row>
    <row r="540">
      <c r="C540" s="5"/>
      <c r="D540" s="5"/>
    </row>
    <row r="541">
      <c r="C541" s="5"/>
      <c r="D541" s="5"/>
    </row>
    <row r="542">
      <c r="C542" s="5"/>
      <c r="D542" s="5"/>
    </row>
    <row r="543">
      <c r="C543" s="5"/>
      <c r="D543" s="5"/>
    </row>
    <row r="544">
      <c r="C544" s="5"/>
      <c r="D544" s="5"/>
    </row>
    <row r="545">
      <c r="C545" s="5"/>
      <c r="D545" s="5"/>
    </row>
    <row r="546">
      <c r="C546" s="5"/>
      <c r="D546" s="5"/>
    </row>
    <row r="547">
      <c r="C547" s="5"/>
      <c r="D547" s="5"/>
    </row>
    <row r="548">
      <c r="C548" s="5"/>
      <c r="D548" s="5"/>
    </row>
    <row r="549">
      <c r="C549" s="5"/>
      <c r="D549" s="5"/>
    </row>
    <row r="550">
      <c r="C550" s="5"/>
      <c r="D550" s="5"/>
    </row>
    <row r="551">
      <c r="C551" s="5"/>
      <c r="D551" s="5"/>
    </row>
    <row r="552">
      <c r="C552" s="5"/>
      <c r="D552" s="5"/>
    </row>
    <row r="553">
      <c r="C553" s="5"/>
      <c r="D553" s="5"/>
    </row>
    <row r="554">
      <c r="C554" s="5"/>
      <c r="D554" s="5"/>
    </row>
    <row r="555">
      <c r="C555" s="5"/>
      <c r="D555" s="5"/>
    </row>
    <row r="556">
      <c r="C556" s="5"/>
      <c r="D556" s="5"/>
    </row>
    <row r="557">
      <c r="C557" s="5"/>
      <c r="D557" s="5"/>
    </row>
    <row r="558">
      <c r="C558" s="5"/>
      <c r="D558" s="5"/>
    </row>
    <row r="559">
      <c r="C559" s="5"/>
      <c r="D559" s="5"/>
    </row>
    <row r="560">
      <c r="C560" s="5"/>
      <c r="D560" s="5"/>
    </row>
    <row r="561">
      <c r="C561" s="5"/>
      <c r="D561" s="5"/>
    </row>
    <row r="562">
      <c r="C562" s="5"/>
      <c r="D562" s="5"/>
    </row>
    <row r="563">
      <c r="C563" s="5"/>
      <c r="D563" s="5"/>
    </row>
    <row r="564">
      <c r="C564" s="5"/>
      <c r="D564" s="5"/>
    </row>
    <row r="565">
      <c r="C565" s="5"/>
      <c r="D565" s="5"/>
    </row>
    <row r="566">
      <c r="C566" s="5"/>
      <c r="D566" s="5"/>
    </row>
    <row r="567">
      <c r="C567" s="5"/>
      <c r="D567" s="5"/>
    </row>
    <row r="568">
      <c r="C568" s="5"/>
      <c r="D568" s="5"/>
    </row>
    <row r="569">
      <c r="C569" s="5"/>
      <c r="D569" s="5"/>
    </row>
    <row r="570">
      <c r="C570" s="5"/>
      <c r="D570" s="5"/>
    </row>
    <row r="571">
      <c r="C571" s="5"/>
      <c r="D571" s="5"/>
    </row>
    <row r="572">
      <c r="C572" s="5"/>
      <c r="D572" s="5"/>
    </row>
    <row r="573">
      <c r="C573" s="5"/>
      <c r="D573" s="5"/>
    </row>
    <row r="574">
      <c r="C574" s="5"/>
      <c r="D574" s="5"/>
    </row>
    <row r="575">
      <c r="C575" s="5"/>
      <c r="D575" s="5"/>
    </row>
    <row r="576">
      <c r="C576" s="5"/>
      <c r="D576" s="5"/>
    </row>
    <row r="577">
      <c r="C577" s="5"/>
      <c r="D577" s="5"/>
    </row>
    <row r="578">
      <c r="C578" s="5"/>
      <c r="D578" s="5"/>
    </row>
    <row r="579">
      <c r="C579" s="5"/>
      <c r="D579" s="5"/>
    </row>
    <row r="580">
      <c r="C580" s="5"/>
      <c r="D580" s="5"/>
    </row>
    <row r="581">
      <c r="C581" s="5"/>
      <c r="D581" s="5"/>
    </row>
    <row r="582">
      <c r="C582" s="5"/>
      <c r="D582" s="5"/>
    </row>
    <row r="583">
      <c r="C583" s="5"/>
      <c r="D583" s="5"/>
    </row>
    <row r="584">
      <c r="C584" s="5"/>
      <c r="D584" s="5"/>
    </row>
    <row r="585">
      <c r="C585" s="5"/>
      <c r="D585" s="5"/>
    </row>
    <row r="586">
      <c r="C586" s="5"/>
      <c r="D586" s="5"/>
    </row>
    <row r="587">
      <c r="C587" s="5"/>
      <c r="D587" s="5"/>
    </row>
    <row r="588">
      <c r="C588" s="5"/>
      <c r="D588" s="5"/>
    </row>
    <row r="589">
      <c r="C589" s="5"/>
      <c r="D589" s="5"/>
    </row>
    <row r="590">
      <c r="C590" s="5"/>
      <c r="D590" s="5"/>
    </row>
    <row r="591">
      <c r="C591" s="5"/>
      <c r="D591" s="5"/>
    </row>
    <row r="592">
      <c r="C592" s="5"/>
      <c r="D592" s="5"/>
    </row>
    <row r="593">
      <c r="C593" s="5"/>
      <c r="D593" s="5"/>
    </row>
    <row r="594">
      <c r="C594" s="5"/>
      <c r="D594" s="5"/>
    </row>
    <row r="595">
      <c r="C595" s="5"/>
      <c r="D595" s="5"/>
    </row>
    <row r="596">
      <c r="C596" s="5"/>
      <c r="D596" s="5"/>
    </row>
    <row r="597">
      <c r="C597" s="5"/>
      <c r="D597" s="5"/>
    </row>
    <row r="598">
      <c r="C598" s="5"/>
      <c r="D598" s="5"/>
    </row>
    <row r="599">
      <c r="C599" s="5"/>
      <c r="D599" s="5"/>
    </row>
    <row r="600">
      <c r="C600" s="5"/>
      <c r="D600" s="5"/>
    </row>
    <row r="601">
      <c r="C601" s="5"/>
      <c r="D601" s="5"/>
    </row>
    <row r="602">
      <c r="C602" s="5"/>
      <c r="D602" s="5"/>
    </row>
    <row r="603">
      <c r="C603" s="5"/>
      <c r="D603" s="5"/>
    </row>
    <row r="604">
      <c r="C604" s="5"/>
      <c r="D604" s="5"/>
    </row>
    <row r="605">
      <c r="C605" s="5"/>
      <c r="D605" s="5"/>
    </row>
  </sheetData>
  <conditionalFormatting sqref="C1:C605">
    <cfRule type="containsText" dxfId="0" priority="1" operator="containsText" text="yes">
      <formula>NOT(ISERROR(SEARCH(("yes"),(C1))))</formula>
    </cfRule>
  </conditionalFormatting>
  <conditionalFormatting sqref="C1:C605">
    <cfRule type="containsText" dxfId="1" priority="2" operator="containsText" text="decent">
      <formula>NOT(ISERROR(SEARCH(("decent"),(C1))))</formula>
    </cfRule>
  </conditionalFormatting>
  <conditionalFormatting sqref="C1:C605">
    <cfRule type="containsText" dxfId="2" priority="3" operator="containsText" text="maybe">
      <formula>NOT(ISERROR(SEARCH(("maybe"),(C1))))</formula>
    </cfRule>
  </conditionalFormatting>
  <conditionalFormatting sqref="C1:C605">
    <cfRule type="containsText" dxfId="3" priority="4" operator="containsText" text="no">
      <formula>NOT(ISERROR(SEARCH(("no"),(C1))))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2" max="2" width="17.25"/>
    <col customWidth="1" min="3" max="4" width="20.88"/>
  </cols>
  <sheetData>
    <row r="1">
      <c r="A1" s="1" t="s">
        <v>0</v>
      </c>
      <c r="B1" s="1" t="s">
        <v>1</v>
      </c>
      <c r="C1" s="3" t="s">
        <v>3</v>
      </c>
      <c r="D1" s="3" t="s">
        <v>4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</row>
    <row r="2">
      <c r="A2" s="1" t="s">
        <v>257</v>
      </c>
      <c r="B2" s="1" t="s">
        <v>117</v>
      </c>
      <c r="C2" s="3" t="s">
        <v>24</v>
      </c>
      <c r="D2" s="3"/>
      <c r="E2" s="1" t="str">
        <f>IFERROR(__xludf.DUMMYFUNCTION("IFERROR(REGEXEXTRACT(A2, ""res(269|122)""), ""none"")"),"269")</f>
        <v>269</v>
      </c>
      <c r="F2" s="1">
        <v>-16.620105</v>
      </c>
      <c r="G2" s="1">
        <v>12.0</v>
      </c>
      <c r="H2" s="1">
        <v>3.0</v>
      </c>
      <c r="I2" s="1">
        <v>0.416667</v>
      </c>
      <c r="J2" s="1">
        <v>2.0</v>
      </c>
      <c r="K2" s="1">
        <v>-0.664324</v>
      </c>
      <c r="L2" s="1">
        <v>100.0</v>
      </c>
      <c r="M2" s="1">
        <v>0.0</v>
      </c>
      <c r="N2" s="1">
        <v>0.0</v>
      </c>
      <c r="O2" s="1">
        <v>100.132238</v>
      </c>
    </row>
    <row r="3">
      <c r="A3" s="1" t="s">
        <v>258</v>
      </c>
      <c r="B3" s="1" t="s">
        <v>259</v>
      </c>
      <c r="C3" s="3" t="s">
        <v>24</v>
      </c>
      <c r="D3" s="3" t="s">
        <v>407</v>
      </c>
      <c r="E3" s="1" t="str">
        <f>IFERROR(__xludf.DUMMYFUNCTION("IFERROR(REGEXEXTRACT(A3, ""res(269|122)""), ""none"")"),"269")</f>
        <v>269</v>
      </c>
      <c r="F3" s="1">
        <v>-16.020646</v>
      </c>
      <c r="G3" s="1">
        <v>9.0</v>
      </c>
      <c r="H3" s="1">
        <v>1.0</v>
      </c>
      <c r="I3" s="1">
        <v>0.333333</v>
      </c>
      <c r="J3" s="1">
        <v>3.0</v>
      </c>
      <c r="K3" s="1">
        <v>-2.057194</v>
      </c>
      <c r="L3" s="1">
        <v>100.0</v>
      </c>
      <c r="M3" s="1">
        <v>0.0</v>
      </c>
      <c r="N3" s="1">
        <v>0.0</v>
      </c>
      <c r="O3" s="1">
        <v>95.255493</v>
      </c>
    </row>
    <row r="4">
      <c r="A4" s="1" t="s">
        <v>260</v>
      </c>
      <c r="B4" s="1" t="s">
        <v>261</v>
      </c>
      <c r="C4" s="3" t="s">
        <v>24</v>
      </c>
      <c r="D4" s="3" t="s">
        <v>408</v>
      </c>
      <c r="E4" s="1" t="str">
        <f>IFERROR(__xludf.DUMMYFUNCTION("IFERROR(REGEXEXTRACT(A4, ""res(269|122)""), ""none"")"),"269")</f>
        <v>269</v>
      </c>
      <c r="F4" s="1">
        <v>-16.416697</v>
      </c>
      <c r="G4" s="1">
        <v>9.0</v>
      </c>
      <c r="H4" s="1">
        <v>1.0</v>
      </c>
      <c r="I4" s="1">
        <v>0.333333</v>
      </c>
      <c r="J4" s="1">
        <v>3.0</v>
      </c>
      <c r="K4" s="1">
        <v>-2.107731</v>
      </c>
      <c r="L4" s="1">
        <v>100.0</v>
      </c>
      <c r="M4" s="1">
        <v>0.0</v>
      </c>
      <c r="N4" s="1">
        <v>0.0</v>
      </c>
      <c r="O4" s="1">
        <v>94.808905</v>
      </c>
    </row>
    <row r="5">
      <c r="A5" s="1" t="s">
        <v>262</v>
      </c>
      <c r="B5" s="1" t="s">
        <v>74</v>
      </c>
      <c r="C5" s="3" t="s">
        <v>33</v>
      </c>
      <c r="D5" s="3"/>
      <c r="E5" s="1" t="str">
        <f>IFERROR(__xludf.DUMMYFUNCTION("IFERROR(REGEXEXTRACT(A5, ""res(269|122)""), ""none"")"),"269")</f>
        <v>269</v>
      </c>
      <c r="F5" s="1">
        <v>-15.124595</v>
      </c>
      <c r="G5" s="1">
        <v>8.0</v>
      </c>
      <c r="H5" s="1">
        <v>5.0</v>
      </c>
      <c r="I5" s="1">
        <v>0.375</v>
      </c>
      <c r="J5" s="1">
        <v>2.0</v>
      </c>
      <c r="K5" s="1">
        <v>-0.84012</v>
      </c>
      <c r="L5" s="1">
        <v>100.0</v>
      </c>
      <c r="M5" s="1">
        <v>0.0</v>
      </c>
      <c r="N5" s="1">
        <v>0.0</v>
      </c>
      <c r="O5" s="1">
        <v>99.410285</v>
      </c>
    </row>
    <row r="6">
      <c r="A6" s="1" t="s">
        <v>263</v>
      </c>
      <c r="B6" s="1" t="s">
        <v>264</v>
      </c>
      <c r="C6" s="3" t="s">
        <v>24</v>
      </c>
      <c r="D6" s="3"/>
      <c r="E6" s="1" t="str">
        <f>IFERROR(__xludf.DUMMYFUNCTION("IFERROR(REGEXEXTRACT(A6, ""res(269|122)""), ""none"")"),"269")</f>
        <v>269</v>
      </c>
      <c r="F6" s="1">
        <v>-15.247766</v>
      </c>
      <c r="G6" s="1">
        <v>6.0</v>
      </c>
      <c r="H6" s="1">
        <v>2.0</v>
      </c>
      <c r="I6" s="1">
        <v>0.333333</v>
      </c>
      <c r="J6" s="1">
        <v>3.0</v>
      </c>
      <c r="K6" s="1">
        <v>-1.003179</v>
      </c>
      <c r="L6" s="1">
        <v>100.0</v>
      </c>
      <c r="M6" s="1">
        <v>0.0</v>
      </c>
      <c r="N6" s="1">
        <v>0.0</v>
      </c>
      <c r="O6" s="1">
        <v>95.082388</v>
      </c>
    </row>
    <row r="7">
      <c r="A7" s="1" t="s">
        <v>265</v>
      </c>
      <c r="B7" s="1" t="s">
        <v>120</v>
      </c>
      <c r="C7" s="3" t="s">
        <v>24</v>
      </c>
      <c r="D7" s="3"/>
      <c r="E7" s="1" t="str">
        <f>IFERROR(__xludf.DUMMYFUNCTION("IFERROR(REGEXEXTRACT(A7, ""res(269|122)""), ""none"")"),"269")</f>
        <v>269</v>
      </c>
      <c r="F7" s="1">
        <v>-15.234041</v>
      </c>
      <c r="G7" s="1">
        <v>8.0</v>
      </c>
      <c r="H7" s="1">
        <v>3.0</v>
      </c>
      <c r="I7" s="1">
        <v>0.25</v>
      </c>
      <c r="J7" s="1">
        <v>3.0</v>
      </c>
      <c r="K7" s="1">
        <v>-0.552818</v>
      </c>
      <c r="L7" s="1">
        <v>100.0</v>
      </c>
      <c r="M7" s="1">
        <v>0.0</v>
      </c>
      <c r="N7" s="1">
        <v>0.0</v>
      </c>
      <c r="O7" s="1">
        <v>98.463141</v>
      </c>
    </row>
    <row r="8">
      <c r="A8" s="1" t="s">
        <v>266</v>
      </c>
      <c r="B8" s="1" t="s">
        <v>77</v>
      </c>
      <c r="C8" s="3" t="s">
        <v>33</v>
      </c>
      <c r="D8" s="3"/>
      <c r="E8" s="1" t="str">
        <f>IFERROR(__xludf.DUMMYFUNCTION("IFERROR(REGEXEXTRACT(A8, ""res(269|122)""), ""none"")"),"269")</f>
        <v>269</v>
      </c>
      <c r="F8" s="1">
        <v>-15.196061</v>
      </c>
      <c r="G8" s="1">
        <v>7.0</v>
      </c>
      <c r="H8" s="1">
        <v>2.0</v>
      </c>
      <c r="I8" s="1">
        <v>0.285714</v>
      </c>
      <c r="J8" s="1">
        <v>2.0</v>
      </c>
      <c r="K8" s="1">
        <v>-1.471521</v>
      </c>
      <c r="L8" s="1">
        <v>100.0</v>
      </c>
      <c r="M8" s="1">
        <v>0.0</v>
      </c>
      <c r="N8" s="1">
        <v>0.0</v>
      </c>
      <c r="O8" s="1">
        <v>94.618132</v>
      </c>
    </row>
    <row r="9">
      <c r="A9" s="1" t="s">
        <v>267</v>
      </c>
      <c r="B9" s="1" t="s">
        <v>268</v>
      </c>
      <c r="C9" s="3" t="s">
        <v>24</v>
      </c>
      <c r="D9" s="3"/>
      <c r="E9" s="1" t="str">
        <f>IFERROR(__xludf.DUMMYFUNCTION("IFERROR(REGEXEXTRACT(A9, ""res(269|122)""), ""none"")"),"269")</f>
        <v>269</v>
      </c>
      <c r="F9" s="1">
        <v>-15.475748</v>
      </c>
      <c r="G9" s="1">
        <v>11.0</v>
      </c>
      <c r="H9" s="1">
        <v>1.0</v>
      </c>
      <c r="I9" s="1">
        <v>0.272727</v>
      </c>
      <c r="J9" s="1">
        <v>2.0</v>
      </c>
      <c r="K9" s="1">
        <v>-0.318571</v>
      </c>
      <c r="L9" s="1">
        <v>100.0</v>
      </c>
      <c r="M9" s="1">
        <v>0.0</v>
      </c>
      <c r="N9" s="1">
        <v>0.0</v>
      </c>
      <c r="O9" s="1">
        <v>98.478408</v>
      </c>
    </row>
    <row r="10">
      <c r="A10" s="1" t="s">
        <v>269</v>
      </c>
      <c r="B10" s="1" t="s">
        <v>270</v>
      </c>
      <c r="C10" s="3" t="s">
        <v>24</v>
      </c>
      <c r="D10" s="3"/>
      <c r="E10" s="1" t="str">
        <f>IFERROR(__xludf.DUMMYFUNCTION("IFERROR(REGEXEXTRACT(A10, ""res(269|122)""), ""none"")"),"269")</f>
        <v>269</v>
      </c>
      <c r="F10" s="1">
        <v>-15.217109</v>
      </c>
      <c r="G10" s="1">
        <v>8.0</v>
      </c>
      <c r="H10" s="1">
        <v>2.0</v>
      </c>
      <c r="I10" s="1">
        <v>0.25</v>
      </c>
      <c r="J10" s="1">
        <v>3.0</v>
      </c>
      <c r="K10" s="1">
        <v>-1.096035</v>
      </c>
      <c r="L10" s="1">
        <v>100.0</v>
      </c>
      <c r="M10" s="1">
        <v>0.0</v>
      </c>
      <c r="N10" s="1">
        <v>0.0</v>
      </c>
      <c r="O10" s="1">
        <v>96.936856</v>
      </c>
    </row>
    <row r="11">
      <c r="A11" s="1" t="s">
        <v>271</v>
      </c>
      <c r="B11" s="1" t="s">
        <v>272</v>
      </c>
      <c r="C11" s="3" t="s">
        <v>24</v>
      </c>
      <c r="D11" s="3" t="s">
        <v>409</v>
      </c>
      <c r="E11" s="1" t="str">
        <f>IFERROR(__xludf.DUMMYFUNCTION("IFERROR(REGEXEXTRACT(A11, ""res(269|122)""), ""none"")"),"269")</f>
        <v>269</v>
      </c>
      <c r="F11" s="1">
        <v>-16.067978</v>
      </c>
      <c r="G11" s="1">
        <v>10.0</v>
      </c>
      <c r="H11" s="1">
        <v>3.0</v>
      </c>
      <c r="I11" s="1">
        <v>0.4</v>
      </c>
      <c r="J11" s="1">
        <v>4.0</v>
      </c>
      <c r="K11" s="1">
        <v>-1.686262</v>
      </c>
      <c r="L11" s="1">
        <v>100.0</v>
      </c>
      <c r="M11" s="1">
        <v>0.0</v>
      </c>
      <c r="N11" s="1">
        <v>0.0</v>
      </c>
      <c r="O11" s="1">
        <v>99.64576</v>
      </c>
    </row>
    <row r="12">
      <c r="A12" s="1" t="s">
        <v>273</v>
      </c>
      <c r="B12" s="1" t="s">
        <v>274</v>
      </c>
      <c r="C12" s="3" t="s">
        <v>24</v>
      </c>
      <c r="D12" s="3" t="s">
        <v>410</v>
      </c>
      <c r="E12" s="1" t="str">
        <f>IFERROR(__xludf.DUMMYFUNCTION("IFERROR(REGEXEXTRACT(A12, ""res(269|122)""), ""none"")"),"269")</f>
        <v>269</v>
      </c>
      <c r="F12" s="1">
        <v>-16.067978</v>
      </c>
      <c r="G12" s="1">
        <v>10.0</v>
      </c>
      <c r="H12" s="1">
        <v>3.0</v>
      </c>
      <c r="I12" s="1">
        <v>0.4</v>
      </c>
      <c r="J12" s="1">
        <v>4.0</v>
      </c>
      <c r="K12" s="1">
        <v>-1.686262</v>
      </c>
      <c r="L12" s="1">
        <v>100.0</v>
      </c>
      <c r="M12" s="1">
        <v>0.0</v>
      </c>
      <c r="N12" s="1">
        <v>0.0</v>
      </c>
      <c r="O12" s="1">
        <v>99.64576</v>
      </c>
    </row>
    <row r="13">
      <c r="A13" s="1" t="s">
        <v>275</v>
      </c>
      <c r="B13" s="1" t="s">
        <v>276</v>
      </c>
      <c r="C13" s="3" t="s">
        <v>24</v>
      </c>
      <c r="D13" s="3"/>
      <c r="E13" s="1" t="str">
        <f>IFERROR(__xludf.DUMMYFUNCTION("IFERROR(REGEXEXTRACT(A13, ""res(269|122)""), ""none"")"),"269")</f>
        <v>269</v>
      </c>
      <c r="F13" s="1">
        <v>-15.296307</v>
      </c>
      <c r="G13" s="1">
        <v>7.0</v>
      </c>
      <c r="H13" s="1">
        <v>3.0</v>
      </c>
      <c r="I13" s="1">
        <v>0.285714</v>
      </c>
      <c r="J13" s="1">
        <v>2.0</v>
      </c>
      <c r="K13" s="1">
        <v>-1.992376</v>
      </c>
      <c r="L13" s="1">
        <v>100.0</v>
      </c>
      <c r="M13" s="1">
        <v>0.0</v>
      </c>
      <c r="N13" s="1">
        <v>0.0</v>
      </c>
      <c r="O13" s="1">
        <v>94.997031</v>
      </c>
    </row>
    <row r="14">
      <c r="A14" s="1" t="s">
        <v>277</v>
      </c>
      <c r="B14" s="1" t="s">
        <v>278</v>
      </c>
      <c r="C14" s="3" t="s">
        <v>24</v>
      </c>
      <c r="D14" s="3"/>
      <c r="E14" s="1" t="str">
        <f>IFERROR(__xludf.DUMMYFUNCTION("IFERROR(REGEXEXTRACT(A14, ""res(269|122)""), ""none"")"),"269")</f>
        <v>269</v>
      </c>
      <c r="F14" s="1">
        <v>-15.325992</v>
      </c>
      <c r="G14" s="1">
        <v>8.0</v>
      </c>
      <c r="H14" s="1">
        <v>2.0</v>
      </c>
      <c r="I14" s="1">
        <v>0.25</v>
      </c>
      <c r="J14" s="1">
        <v>2.0</v>
      </c>
      <c r="K14" s="1">
        <v>-0.597145</v>
      </c>
      <c r="L14" s="1">
        <v>100.0</v>
      </c>
      <c r="M14" s="1">
        <v>0.0</v>
      </c>
      <c r="N14" s="1">
        <v>0.0</v>
      </c>
      <c r="O14" s="1">
        <v>96.326863</v>
      </c>
    </row>
    <row r="15">
      <c r="A15" s="1" t="s">
        <v>279</v>
      </c>
      <c r="B15" s="1" t="s">
        <v>123</v>
      </c>
      <c r="C15" s="3" t="s">
        <v>33</v>
      </c>
      <c r="D15" s="3"/>
      <c r="E15" s="1" t="str">
        <f>IFERROR(__xludf.DUMMYFUNCTION("IFERROR(REGEXEXTRACT(A15, ""res(269|122)""), ""none"")"),"269")</f>
        <v>269</v>
      </c>
      <c r="F15" s="1">
        <v>-15.778424</v>
      </c>
      <c r="G15" s="1">
        <v>10.0</v>
      </c>
      <c r="H15" s="1">
        <v>4.0</v>
      </c>
      <c r="I15" s="1">
        <v>0.3</v>
      </c>
      <c r="J15" s="1">
        <v>2.0</v>
      </c>
      <c r="K15" s="1">
        <v>-0.444144</v>
      </c>
      <c r="L15" s="1">
        <v>100.0</v>
      </c>
      <c r="M15" s="1">
        <v>0.0</v>
      </c>
      <c r="N15" s="1">
        <v>0.0</v>
      </c>
      <c r="O15" s="1">
        <v>100.077432</v>
      </c>
    </row>
    <row r="16">
      <c r="A16" s="1" t="s">
        <v>280</v>
      </c>
      <c r="B16" s="1" t="s">
        <v>126</v>
      </c>
      <c r="C16" s="3" t="s">
        <v>24</v>
      </c>
      <c r="D16" s="3"/>
      <c r="E16" s="1" t="str">
        <f>IFERROR(__xludf.DUMMYFUNCTION("IFERROR(REGEXEXTRACT(A16, ""res(269|122)""), ""none"")"),"269")</f>
        <v>269</v>
      </c>
      <c r="F16" s="1">
        <v>-16.377062</v>
      </c>
      <c r="G16" s="1">
        <v>9.0</v>
      </c>
      <c r="H16" s="1">
        <v>1.0</v>
      </c>
      <c r="I16" s="1">
        <v>0.333333</v>
      </c>
      <c r="J16" s="1">
        <v>2.0</v>
      </c>
      <c r="K16" s="1">
        <v>-1.84415</v>
      </c>
      <c r="L16" s="1">
        <v>100.0</v>
      </c>
      <c r="M16" s="1">
        <v>0.0</v>
      </c>
      <c r="N16" s="1">
        <v>0.0</v>
      </c>
      <c r="O16" s="1">
        <v>94.112121</v>
      </c>
    </row>
    <row r="17">
      <c r="A17" s="1" t="s">
        <v>281</v>
      </c>
      <c r="B17" s="1" t="s">
        <v>282</v>
      </c>
      <c r="C17" s="3" t="s">
        <v>24</v>
      </c>
      <c r="D17" s="3"/>
      <c r="E17" s="1" t="str">
        <f>IFERROR(__xludf.DUMMYFUNCTION("IFERROR(REGEXEXTRACT(A17, ""res(269|122)""), ""none"")"),"269")</f>
        <v>269</v>
      </c>
      <c r="F17" s="1">
        <v>-15.737774</v>
      </c>
      <c r="G17" s="1">
        <v>8.0</v>
      </c>
      <c r="H17" s="1">
        <v>4.0</v>
      </c>
      <c r="I17" s="1">
        <v>0.375</v>
      </c>
      <c r="J17" s="1">
        <v>2.0</v>
      </c>
      <c r="K17" s="1">
        <v>-0.922352</v>
      </c>
      <c r="L17" s="1">
        <v>100.0</v>
      </c>
      <c r="M17" s="1">
        <v>0.0</v>
      </c>
      <c r="N17" s="1">
        <v>0.0</v>
      </c>
      <c r="O17" s="1">
        <v>97.714874</v>
      </c>
    </row>
    <row r="18">
      <c r="A18" s="1" t="s">
        <v>283</v>
      </c>
      <c r="B18" s="1" t="s">
        <v>129</v>
      </c>
      <c r="C18" s="3" t="s">
        <v>33</v>
      </c>
      <c r="D18" s="3"/>
      <c r="E18" s="1" t="str">
        <f>IFERROR(__xludf.DUMMYFUNCTION("IFERROR(REGEXEXTRACT(A18, ""res(269|122)""), ""none"")"),"269")</f>
        <v>269</v>
      </c>
      <c r="F18" s="1">
        <v>-16.004339</v>
      </c>
      <c r="G18" s="1">
        <v>7.0</v>
      </c>
      <c r="H18" s="1">
        <v>1.0</v>
      </c>
      <c r="I18" s="1">
        <v>0.285714</v>
      </c>
      <c r="J18" s="1">
        <v>2.0</v>
      </c>
      <c r="K18" s="1">
        <v>-0.643672</v>
      </c>
      <c r="L18" s="1">
        <v>100.0</v>
      </c>
      <c r="M18" s="1">
        <v>0.0</v>
      </c>
      <c r="N18" s="1">
        <v>0.0</v>
      </c>
      <c r="O18" s="1">
        <v>93.637703</v>
      </c>
    </row>
    <row r="19">
      <c r="A19" s="1" t="s">
        <v>284</v>
      </c>
      <c r="B19" s="1" t="s">
        <v>285</v>
      </c>
      <c r="C19" s="3" t="s">
        <v>24</v>
      </c>
      <c r="D19" s="3" t="s">
        <v>411</v>
      </c>
      <c r="E19" s="1" t="str">
        <f>IFERROR(__xludf.DUMMYFUNCTION("IFERROR(REGEXEXTRACT(A19, ""res(269|122)""), ""none"")"),"269")</f>
        <v>269</v>
      </c>
      <c r="F19" s="1">
        <v>-15.399039</v>
      </c>
      <c r="G19" s="1">
        <v>6.0</v>
      </c>
      <c r="H19" s="1">
        <v>3.0</v>
      </c>
      <c r="I19" s="1">
        <v>0.333333</v>
      </c>
      <c r="J19" s="1">
        <v>2.0</v>
      </c>
      <c r="K19" s="1">
        <v>-0.254448</v>
      </c>
      <c r="L19" s="1">
        <v>100.0</v>
      </c>
      <c r="M19" s="1">
        <v>0.0</v>
      </c>
      <c r="N19" s="1">
        <v>0.0</v>
      </c>
      <c r="O19" s="1">
        <v>95.679846</v>
      </c>
    </row>
    <row r="20">
      <c r="A20" s="1" t="s">
        <v>286</v>
      </c>
      <c r="B20" s="1" t="s">
        <v>287</v>
      </c>
      <c r="C20" s="3" t="s">
        <v>24</v>
      </c>
      <c r="D20" s="3"/>
      <c r="E20" s="1" t="str">
        <f>IFERROR(__xludf.DUMMYFUNCTION("IFERROR(REGEXEXTRACT(A20, ""res(269|122)""), ""none"")"),"269")</f>
        <v>269</v>
      </c>
      <c r="F20" s="1">
        <v>-15.848908</v>
      </c>
      <c r="G20" s="1">
        <v>8.0</v>
      </c>
      <c r="H20" s="1">
        <v>3.0</v>
      </c>
      <c r="I20" s="1">
        <v>0.375</v>
      </c>
      <c r="J20" s="1">
        <v>2.0</v>
      </c>
      <c r="K20" s="1">
        <v>-0.923644</v>
      </c>
      <c r="L20" s="1">
        <v>100.0</v>
      </c>
      <c r="M20" s="1">
        <v>0.0</v>
      </c>
      <c r="N20" s="1">
        <v>0.0</v>
      </c>
      <c r="O20" s="1">
        <v>96.602448</v>
      </c>
    </row>
    <row r="21">
      <c r="A21" s="1" t="s">
        <v>288</v>
      </c>
      <c r="B21" s="1" t="s">
        <v>80</v>
      </c>
      <c r="C21" s="3" t="s">
        <v>33</v>
      </c>
      <c r="D21" s="3" t="s">
        <v>82</v>
      </c>
      <c r="E21" s="1" t="str">
        <f>IFERROR(__xludf.DUMMYFUNCTION("IFERROR(REGEXEXTRACT(A21, ""res(269|122)""), ""none"")"),"269")</f>
        <v>269</v>
      </c>
      <c r="F21" s="1">
        <v>-15.111049</v>
      </c>
      <c r="G21" s="1">
        <v>8.0</v>
      </c>
      <c r="H21" s="1">
        <v>4.0</v>
      </c>
      <c r="I21" s="1">
        <v>0.5</v>
      </c>
      <c r="J21" s="1">
        <v>3.0</v>
      </c>
      <c r="K21" s="1">
        <v>-1.48802099999999</v>
      </c>
      <c r="L21" s="1">
        <v>100.0</v>
      </c>
      <c r="M21" s="1">
        <v>0.0</v>
      </c>
      <c r="N21" s="1">
        <v>0.0</v>
      </c>
      <c r="O21" s="1">
        <v>98.90093</v>
      </c>
    </row>
    <row r="22">
      <c r="A22" s="1" t="s">
        <v>289</v>
      </c>
      <c r="B22" s="1" t="s">
        <v>290</v>
      </c>
      <c r="C22" s="3" t="s">
        <v>24</v>
      </c>
      <c r="D22" s="3"/>
      <c r="E22" s="1" t="str">
        <f>IFERROR(__xludf.DUMMYFUNCTION("IFERROR(REGEXEXTRACT(A22, ""res(269|122)""), ""none"")"),"269")</f>
        <v>269</v>
      </c>
      <c r="F22" s="1">
        <v>-15.62437</v>
      </c>
      <c r="G22" s="1">
        <v>8.0</v>
      </c>
      <c r="H22" s="1">
        <v>3.0</v>
      </c>
      <c r="I22" s="1">
        <v>0.25</v>
      </c>
      <c r="J22" s="1">
        <v>2.0</v>
      </c>
      <c r="K22" s="1">
        <v>-0.578782</v>
      </c>
      <c r="L22" s="1">
        <v>100.0</v>
      </c>
      <c r="M22" s="1">
        <v>0.0</v>
      </c>
      <c r="N22" s="1">
        <v>0.0</v>
      </c>
      <c r="O22" s="1">
        <v>97.046848</v>
      </c>
    </row>
    <row r="23">
      <c r="A23" s="1" t="s">
        <v>291</v>
      </c>
      <c r="B23" s="1" t="s">
        <v>292</v>
      </c>
      <c r="C23" s="3" t="s">
        <v>24</v>
      </c>
      <c r="D23" s="3"/>
      <c r="E23" s="1" t="str">
        <f>IFERROR(__xludf.DUMMYFUNCTION("IFERROR(REGEXEXTRACT(A23, ""res(269|122)""), ""none"")"),"269")</f>
        <v>269</v>
      </c>
      <c r="F23" s="1">
        <v>-16.657537</v>
      </c>
      <c r="G23" s="1">
        <v>10.0</v>
      </c>
      <c r="H23" s="1">
        <v>3.0</v>
      </c>
      <c r="I23" s="1">
        <v>0.3</v>
      </c>
      <c r="J23" s="1">
        <v>2.0</v>
      </c>
      <c r="K23" s="1">
        <v>-1.135125</v>
      </c>
      <c r="L23" s="1">
        <v>100.0</v>
      </c>
      <c r="M23" s="1">
        <v>0.0</v>
      </c>
      <c r="N23" s="1">
        <v>0.0</v>
      </c>
      <c r="O23" s="1">
        <v>97.507338</v>
      </c>
    </row>
    <row r="24">
      <c r="A24" s="1" t="s">
        <v>293</v>
      </c>
      <c r="B24" s="1" t="s">
        <v>294</v>
      </c>
      <c r="C24" s="3" t="s">
        <v>24</v>
      </c>
      <c r="D24" s="3"/>
      <c r="E24" s="1" t="str">
        <f>IFERROR(__xludf.DUMMYFUNCTION("IFERROR(REGEXEXTRACT(A24, ""res(269|122)""), ""none"")"),"269")</f>
        <v>269</v>
      </c>
      <c r="F24" s="1">
        <v>-15.0051</v>
      </c>
      <c r="G24" s="1">
        <v>8.0</v>
      </c>
      <c r="H24" s="1">
        <v>1.0</v>
      </c>
      <c r="I24" s="1">
        <v>0.25</v>
      </c>
      <c r="J24" s="1">
        <v>3.0</v>
      </c>
      <c r="K24" s="1">
        <v>-2.024033</v>
      </c>
      <c r="L24" s="1">
        <v>100.0</v>
      </c>
      <c r="M24" s="1">
        <v>0.0</v>
      </c>
      <c r="N24" s="1">
        <v>0.0</v>
      </c>
      <c r="O24" s="1">
        <v>95.220867</v>
      </c>
    </row>
    <row r="25">
      <c r="A25" s="1" t="s">
        <v>295</v>
      </c>
      <c r="B25" s="1" t="s">
        <v>132</v>
      </c>
      <c r="C25" s="3" t="s">
        <v>26</v>
      </c>
      <c r="D25" s="3" t="s">
        <v>412</v>
      </c>
      <c r="E25" s="1" t="str">
        <f>IFERROR(__xludf.DUMMYFUNCTION("IFERROR(REGEXEXTRACT(A25, ""res(269|122)""), ""none"")"),"269")</f>
        <v>269</v>
      </c>
      <c r="F25" s="1">
        <v>-15.787491</v>
      </c>
      <c r="G25" s="1">
        <v>6.0</v>
      </c>
      <c r="H25" s="1">
        <v>2.0</v>
      </c>
      <c r="I25" s="1">
        <v>0.333333</v>
      </c>
      <c r="J25" s="1">
        <v>3.0</v>
      </c>
      <c r="K25" s="1">
        <v>-1.153959</v>
      </c>
      <c r="L25" s="1">
        <v>100.0</v>
      </c>
      <c r="M25" s="1">
        <v>0.0</v>
      </c>
      <c r="N25" s="1">
        <v>0.0</v>
      </c>
      <c r="O25" s="1">
        <v>94.391883</v>
      </c>
    </row>
    <row r="26">
      <c r="A26" s="1" t="s">
        <v>296</v>
      </c>
      <c r="B26" s="1" t="s">
        <v>135</v>
      </c>
      <c r="C26" s="3" t="s">
        <v>33</v>
      </c>
      <c r="D26" s="3"/>
      <c r="E26" s="1" t="str">
        <f>IFERROR(__xludf.DUMMYFUNCTION("IFERROR(REGEXEXTRACT(A26, ""res(269|122)""), ""none"")"),"269")</f>
        <v>269</v>
      </c>
      <c r="F26" s="1">
        <v>-16.526444</v>
      </c>
      <c r="G26" s="1">
        <v>7.0</v>
      </c>
      <c r="H26" s="1">
        <v>3.0</v>
      </c>
      <c r="I26" s="1">
        <v>0.428571</v>
      </c>
      <c r="J26" s="1">
        <v>3.0</v>
      </c>
      <c r="K26" s="1">
        <v>-1.370961</v>
      </c>
      <c r="L26" s="1">
        <v>100.0</v>
      </c>
      <c r="M26" s="1">
        <v>0.0</v>
      </c>
      <c r="N26" s="1">
        <v>0.0</v>
      </c>
      <c r="O26" s="1">
        <v>95.531166</v>
      </c>
    </row>
    <row r="27">
      <c r="A27" s="1" t="s">
        <v>297</v>
      </c>
      <c r="B27" s="1" t="s">
        <v>138</v>
      </c>
      <c r="C27" s="3" t="s">
        <v>26</v>
      </c>
      <c r="D27" s="3" t="s">
        <v>413</v>
      </c>
      <c r="E27" s="1" t="str">
        <f>IFERROR(__xludf.DUMMYFUNCTION("IFERROR(REGEXEXTRACT(A27, ""res(269|122)""), ""none"")"),"269")</f>
        <v>269</v>
      </c>
      <c r="F27" s="1">
        <v>-15.442965</v>
      </c>
      <c r="G27" s="1">
        <v>7.0</v>
      </c>
      <c r="H27" s="1">
        <v>3.0</v>
      </c>
      <c r="I27" s="1">
        <v>0.285714</v>
      </c>
      <c r="J27" s="1">
        <v>2.0</v>
      </c>
      <c r="K27" s="1">
        <v>-0.995888</v>
      </c>
      <c r="L27" s="1">
        <v>100.0</v>
      </c>
      <c r="M27" s="1">
        <v>0.0</v>
      </c>
      <c r="N27" s="1">
        <v>0.0</v>
      </c>
      <c r="O27" s="1">
        <v>95.846861</v>
      </c>
    </row>
    <row r="28">
      <c r="A28" s="1" t="s">
        <v>298</v>
      </c>
      <c r="B28" s="1" t="s">
        <v>299</v>
      </c>
      <c r="C28" s="3" t="s">
        <v>26</v>
      </c>
      <c r="D28" s="3" t="s">
        <v>414</v>
      </c>
      <c r="E28" s="1" t="str">
        <f>IFERROR(__xludf.DUMMYFUNCTION("IFERROR(REGEXEXTRACT(A28, ""res(269|122)""), ""none"")"),"269")</f>
        <v>269</v>
      </c>
      <c r="F28" s="1">
        <v>-15.442965</v>
      </c>
      <c r="G28" s="1">
        <v>7.0</v>
      </c>
      <c r="H28" s="1">
        <v>3.0</v>
      </c>
      <c r="I28" s="1">
        <v>0.285714</v>
      </c>
      <c r="J28" s="1">
        <v>2.0</v>
      </c>
      <c r="K28" s="1">
        <v>-0.995888</v>
      </c>
      <c r="L28" s="1">
        <v>100.0</v>
      </c>
      <c r="M28" s="1">
        <v>0.0</v>
      </c>
      <c r="N28" s="1">
        <v>0.0</v>
      </c>
      <c r="O28" s="1">
        <v>95.846861</v>
      </c>
    </row>
    <row r="29">
      <c r="A29" s="1" t="s">
        <v>300</v>
      </c>
      <c r="B29" s="1" t="s">
        <v>301</v>
      </c>
      <c r="C29" s="3" t="s">
        <v>24</v>
      </c>
      <c r="D29" s="3" t="s">
        <v>415</v>
      </c>
      <c r="E29" s="1" t="str">
        <f>IFERROR(__xludf.DUMMYFUNCTION("IFERROR(REGEXEXTRACT(A29, ""res(269|122)""), ""none"")"),"269")</f>
        <v>269</v>
      </c>
      <c r="F29" s="1">
        <v>-16.187871</v>
      </c>
      <c r="G29" s="1">
        <v>8.0</v>
      </c>
      <c r="H29" s="1">
        <v>2.0</v>
      </c>
      <c r="I29" s="1">
        <v>0.25</v>
      </c>
      <c r="J29" s="1">
        <v>2.0</v>
      </c>
      <c r="K29" s="1">
        <v>-1.664296</v>
      </c>
      <c r="L29" s="1">
        <v>100.0</v>
      </c>
      <c r="M29" s="1">
        <v>0.0</v>
      </c>
      <c r="N29" s="1">
        <v>0.0</v>
      </c>
      <c r="O29" s="1">
        <v>94.397833</v>
      </c>
    </row>
    <row r="30">
      <c r="A30" s="1" t="s">
        <v>302</v>
      </c>
      <c r="B30" s="1" t="s">
        <v>303</v>
      </c>
      <c r="C30" s="3" t="s">
        <v>24</v>
      </c>
      <c r="D30" s="3"/>
      <c r="E30" s="1" t="str">
        <f>IFERROR(__xludf.DUMMYFUNCTION("IFERROR(REGEXEXTRACT(A30, ""res(269|122)""), ""none"")"),"269")</f>
        <v>269</v>
      </c>
      <c r="F30" s="1">
        <v>-15.122502</v>
      </c>
      <c r="G30" s="1">
        <v>9.0</v>
      </c>
      <c r="H30" s="1">
        <v>1.0</v>
      </c>
      <c r="I30" s="1">
        <v>0.333333</v>
      </c>
      <c r="J30" s="1">
        <v>2.0</v>
      </c>
      <c r="K30" s="1">
        <v>-1.2518</v>
      </c>
      <c r="L30" s="1">
        <v>100.0</v>
      </c>
      <c r="M30" s="1">
        <v>0.0</v>
      </c>
      <c r="N30" s="1">
        <v>0.0</v>
      </c>
      <c r="O30" s="1">
        <v>95.959031</v>
      </c>
    </row>
    <row r="31">
      <c r="A31" s="1" t="s">
        <v>304</v>
      </c>
      <c r="B31" s="1" t="s">
        <v>305</v>
      </c>
      <c r="C31" s="3" t="s">
        <v>24</v>
      </c>
      <c r="D31" s="3"/>
      <c r="E31" s="1" t="str">
        <f>IFERROR(__xludf.DUMMYFUNCTION("IFERROR(REGEXEXTRACT(A31, ""res(269|122)""), ""none"")"),"269")</f>
        <v>269</v>
      </c>
      <c r="F31" s="1">
        <v>-16.909101</v>
      </c>
      <c r="G31" s="1">
        <v>8.0</v>
      </c>
      <c r="H31" s="1">
        <v>3.0</v>
      </c>
      <c r="I31" s="1">
        <v>0.5</v>
      </c>
      <c r="J31" s="1">
        <v>2.0</v>
      </c>
      <c r="K31" s="1">
        <v>-1.107364</v>
      </c>
      <c r="L31" s="1">
        <v>100.0</v>
      </c>
      <c r="M31" s="1">
        <v>0.0</v>
      </c>
      <c r="N31" s="1">
        <v>0.0</v>
      </c>
      <c r="O31" s="1">
        <v>95.483535</v>
      </c>
    </row>
    <row r="32">
      <c r="A32" s="1" t="s">
        <v>306</v>
      </c>
      <c r="B32" s="1" t="s">
        <v>307</v>
      </c>
      <c r="C32" s="3" t="s">
        <v>24</v>
      </c>
      <c r="D32" s="3"/>
      <c r="E32" s="1" t="str">
        <f>IFERROR(__xludf.DUMMYFUNCTION("IFERROR(REGEXEXTRACT(A32, ""res(269|122)""), ""none"")"),"269")</f>
        <v>269</v>
      </c>
      <c r="F32" s="1">
        <v>-15.785852</v>
      </c>
      <c r="G32" s="1">
        <v>7.0</v>
      </c>
      <c r="H32" s="1">
        <v>5.0</v>
      </c>
      <c r="I32" s="1">
        <v>0.285714</v>
      </c>
      <c r="J32" s="1">
        <v>2.0</v>
      </c>
      <c r="K32" s="1">
        <v>-0.799353999999999</v>
      </c>
      <c r="L32" s="1">
        <v>100.0</v>
      </c>
      <c r="M32" s="1">
        <v>0.0</v>
      </c>
      <c r="N32" s="1">
        <v>0.0</v>
      </c>
      <c r="O32" s="1">
        <v>97.700508</v>
      </c>
    </row>
    <row r="33">
      <c r="A33" s="1" t="s">
        <v>308</v>
      </c>
      <c r="B33" s="1" t="s">
        <v>141</v>
      </c>
      <c r="C33" s="3" t="s">
        <v>33</v>
      </c>
      <c r="D33" s="3" t="s">
        <v>416</v>
      </c>
      <c r="E33" s="1" t="str">
        <f>IFERROR(__xludf.DUMMYFUNCTION("IFERROR(REGEXEXTRACT(A33, ""res(269|122)""), ""none"")"),"269")</f>
        <v>269</v>
      </c>
      <c r="F33" s="1">
        <v>-15.155078</v>
      </c>
      <c r="G33" s="1">
        <v>8.0</v>
      </c>
      <c r="H33" s="1">
        <v>2.0</v>
      </c>
      <c r="I33" s="1">
        <v>0.25</v>
      </c>
      <c r="J33" s="1">
        <v>2.0</v>
      </c>
      <c r="K33" s="1">
        <v>-0.394031</v>
      </c>
      <c r="L33" s="1">
        <v>100.0</v>
      </c>
      <c r="M33" s="1">
        <v>0.0</v>
      </c>
      <c r="N33" s="1">
        <v>0.0</v>
      </c>
      <c r="O33" s="1">
        <v>96.700891</v>
      </c>
    </row>
    <row r="34">
      <c r="A34" s="1" t="s">
        <v>309</v>
      </c>
      <c r="B34" s="1" t="s">
        <v>144</v>
      </c>
      <c r="C34" s="3" t="s">
        <v>26</v>
      </c>
      <c r="D34" s="3"/>
      <c r="E34" s="1" t="str">
        <f>IFERROR(__xludf.DUMMYFUNCTION("IFERROR(REGEXEXTRACT(A34, ""res(269|122)""), ""none"")"),"269")</f>
        <v>269</v>
      </c>
      <c r="F34" s="1">
        <v>-15.473368</v>
      </c>
      <c r="G34" s="1">
        <v>8.0</v>
      </c>
      <c r="H34" s="1">
        <v>2.0</v>
      </c>
      <c r="I34" s="1">
        <v>0.375</v>
      </c>
      <c r="J34" s="1">
        <v>2.0</v>
      </c>
      <c r="K34" s="1">
        <v>-0.972362</v>
      </c>
      <c r="L34" s="1">
        <v>100.0</v>
      </c>
      <c r="M34" s="1">
        <v>0.0</v>
      </c>
      <c r="N34" s="1">
        <v>0.0</v>
      </c>
      <c r="O34" s="1">
        <v>95.92927</v>
      </c>
    </row>
    <row r="35">
      <c r="A35" s="1" t="s">
        <v>310</v>
      </c>
      <c r="B35" s="1" t="s">
        <v>147</v>
      </c>
      <c r="C35" s="3" t="s">
        <v>26</v>
      </c>
      <c r="D35" s="3" t="s">
        <v>417</v>
      </c>
      <c r="E35" s="1" t="str">
        <f>IFERROR(__xludf.DUMMYFUNCTION("IFERROR(REGEXEXTRACT(A35, ""res(269|122)""), ""none"")"),"269")</f>
        <v>269</v>
      </c>
      <c r="F35" s="1">
        <v>-15.32929</v>
      </c>
      <c r="G35" s="1">
        <v>9.0</v>
      </c>
      <c r="H35" s="1">
        <v>2.0</v>
      </c>
      <c r="I35" s="1">
        <v>0.444444</v>
      </c>
      <c r="J35" s="1">
        <v>3.0</v>
      </c>
      <c r="K35" s="1">
        <v>-1.169854</v>
      </c>
      <c r="L35" s="1">
        <v>100.0</v>
      </c>
      <c r="M35" s="1">
        <v>0.0</v>
      </c>
      <c r="N35" s="1">
        <v>0.0</v>
      </c>
      <c r="O35" s="1">
        <v>97.9453</v>
      </c>
    </row>
    <row r="36">
      <c r="A36" s="1" t="s">
        <v>311</v>
      </c>
      <c r="B36" s="1" t="s">
        <v>312</v>
      </c>
      <c r="C36" s="3" t="s">
        <v>24</v>
      </c>
      <c r="D36" s="3"/>
      <c r="E36" s="1" t="str">
        <f>IFERROR(__xludf.DUMMYFUNCTION("IFERROR(REGEXEXTRACT(A36, ""res(269|122)""), ""none"")"),"269")</f>
        <v>269</v>
      </c>
      <c r="F36" s="1">
        <v>-17.46746</v>
      </c>
      <c r="G36" s="1">
        <v>9.0</v>
      </c>
      <c r="H36" s="1">
        <v>2.0</v>
      </c>
      <c r="I36" s="1">
        <v>0.333333</v>
      </c>
      <c r="J36" s="1">
        <v>2.0</v>
      </c>
      <c r="K36" s="1">
        <v>-0.960204</v>
      </c>
      <c r="L36" s="1">
        <v>100.0</v>
      </c>
      <c r="M36" s="1">
        <v>0.0</v>
      </c>
      <c r="N36" s="1">
        <v>0.0</v>
      </c>
      <c r="O36" s="1">
        <v>94.905669</v>
      </c>
    </row>
    <row r="37">
      <c r="A37" s="1" t="s">
        <v>313</v>
      </c>
      <c r="B37" s="1" t="s">
        <v>314</v>
      </c>
      <c r="C37" s="3" t="s">
        <v>24</v>
      </c>
      <c r="D37" s="3"/>
      <c r="E37" s="1" t="str">
        <f>IFERROR(__xludf.DUMMYFUNCTION("IFERROR(REGEXEXTRACT(A37, ""res(269|122)""), ""none"")"),"269")</f>
        <v>269</v>
      </c>
      <c r="F37" s="1">
        <v>-15.769609</v>
      </c>
      <c r="G37" s="1">
        <v>8.0</v>
      </c>
      <c r="H37" s="1">
        <v>2.0</v>
      </c>
      <c r="I37" s="1">
        <v>0.25</v>
      </c>
      <c r="J37" s="1">
        <v>2.0</v>
      </c>
      <c r="K37" s="1">
        <v>-1.998276</v>
      </c>
      <c r="L37" s="1">
        <v>100.0</v>
      </c>
      <c r="M37" s="1">
        <v>0.0</v>
      </c>
      <c r="N37" s="1">
        <v>0.0</v>
      </c>
      <c r="O37" s="1">
        <v>94.482115</v>
      </c>
    </row>
    <row r="38">
      <c r="A38" s="1" t="s">
        <v>315</v>
      </c>
      <c r="B38" s="1" t="s">
        <v>316</v>
      </c>
      <c r="C38" s="3" t="s">
        <v>24</v>
      </c>
      <c r="D38" s="3"/>
      <c r="E38" s="1" t="str">
        <f>IFERROR(__xludf.DUMMYFUNCTION("IFERROR(REGEXEXTRACT(A38, ""res(269|122)""), ""none"")"),"269")</f>
        <v>269</v>
      </c>
      <c r="F38" s="1">
        <v>-16.531836</v>
      </c>
      <c r="G38" s="1">
        <v>10.0</v>
      </c>
      <c r="H38" s="1">
        <v>2.0</v>
      </c>
      <c r="I38" s="1">
        <v>0.3</v>
      </c>
      <c r="J38" s="1">
        <v>2.0</v>
      </c>
      <c r="K38" s="1">
        <v>-0.888794</v>
      </c>
      <c r="L38" s="1">
        <v>100.0</v>
      </c>
      <c r="M38" s="1">
        <v>0.0</v>
      </c>
      <c r="N38" s="1">
        <v>0.0</v>
      </c>
      <c r="O38" s="1">
        <v>96.87937</v>
      </c>
    </row>
    <row r="39">
      <c r="A39" s="1" t="s">
        <v>317</v>
      </c>
      <c r="B39" s="1" t="s">
        <v>318</v>
      </c>
      <c r="C39" s="3" t="s">
        <v>24</v>
      </c>
      <c r="D39" s="3"/>
      <c r="E39" s="1" t="str">
        <f>IFERROR(__xludf.DUMMYFUNCTION("IFERROR(REGEXEXTRACT(A39, ""res(269|122)""), ""none"")"),"269")</f>
        <v>269</v>
      </c>
      <c r="F39" s="1">
        <v>-15.695983</v>
      </c>
      <c r="G39" s="1">
        <v>8.0</v>
      </c>
      <c r="H39" s="1">
        <v>3.0</v>
      </c>
      <c r="I39" s="1">
        <v>0.375</v>
      </c>
      <c r="J39" s="1">
        <v>2.0</v>
      </c>
      <c r="K39" s="1">
        <v>-0.764023</v>
      </c>
      <c r="L39" s="1">
        <v>100.0</v>
      </c>
      <c r="M39" s="1">
        <v>0.0</v>
      </c>
      <c r="N39" s="1">
        <v>0.0</v>
      </c>
      <c r="O39" s="1">
        <v>96.914994</v>
      </c>
    </row>
    <row r="40">
      <c r="A40" s="1" t="s">
        <v>319</v>
      </c>
      <c r="B40" s="1" t="s">
        <v>150</v>
      </c>
      <c r="C40" s="3" t="s">
        <v>26</v>
      </c>
      <c r="D40" s="3"/>
      <c r="E40" s="1" t="str">
        <f>IFERROR(__xludf.DUMMYFUNCTION("IFERROR(REGEXEXTRACT(A40, ""res(269|122)""), ""none"")"),"269")</f>
        <v>269</v>
      </c>
      <c r="F40" s="1">
        <v>-16.574584</v>
      </c>
      <c r="G40" s="1">
        <v>6.0</v>
      </c>
      <c r="H40" s="1">
        <v>1.0</v>
      </c>
      <c r="I40" s="1">
        <v>0.333333</v>
      </c>
      <c r="J40" s="1">
        <v>2.0</v>
      </c>
      <c r="K40" s="1">
        <v>-0.53138</v>
      </c>
      <c r="L40" s="1">
        <v>100.0</v>
      </c>
      <c r="M40" s="1">
        <v>0.0</v>
      </c>
      <c r="N40" s="1">
        <v>0.0</v>
      </c>
      <c r="O40" s="1">
        <v>92.227369</v>
      </c>
    </row>
    <row r="41">
      <c r="A41" s="1" t="s">
        <v>320</v>
      </c>
      <c r="B41" s="1" t="s">
        <v>153</v>
      </c>
      <c r="C41" s="3" t="s">
        <v>26</v>
      </c>
      <c r="D41" s="3" t="s">
        <v>418</v>
      </c>
      <c r="E41" s="1" t="str">
        <f>IFERROR(__xludf.DUMMYFUNCTION("IFERROR(REGEXEXTRACT(A41, ""res(269|122)""), ""none"")"),"269")</f>
        <v>269</v>
      </c>
      <c r="F41" s="1">
        <v>-16.381515</v>
      </c>
      <c r="G41" s="1">
        <v>6.0</v>
      </c>
      <c r="H41" s="1">
        <v>3.0</v>
      </c>
      <c r="I41" s="1">
        <v>0.5</v>
      </c>
      <c r="J41" s="1">
        <v>2.0</v>
      </c>
      <c r="K41" s="1">
        <v>-0.391175999999999</v>
      </c>
      <c r="L41" s="1">
        <v>100.0</v>
      </c>
      <c r="M41" s="1">
        <v>0.0</v>
      </c>
      <c r="N41" s="1">
        <v>0.0</v>
      </c>
      <c r="O41" s="1">
        <v>94.727309</v>
      </c>
    </row>
    <row r="42">
      <c r="A42" s="1" t="s">
        <v>321</v>
      </c>
      <c r="B42" s="1" t="s">
        <v>322</v>
      </c>
      <c r="C42" s="3" t="s">
        <v>26</v>
      </c>
      <c r="D42" s="3" t="s">
        <v>419</v>
      </c>
      <c r="E42" s="1" t="str">
        <f>IFERROR(__xludf.DUMMYFUNCTION("IFERROR(REGEXEXTRACT(A42, ""res(269|122)""), ""none"")"),"269")</f>
        <v>269</v>
      </c>
      <c r="F42" s="1">
        <v>-16.381515</v>
      </c>
      <c r="G42" s="1">
        <v>6.0</v>
      </c>
      <c r="H42" s="1">
        <v>3.0</v>
      </c>
      <c r="I42" s="1">
        <v>0.5</v>
      </c>
      <c r="J42" s="1">
        <v>2.0</v>
      </c>
      <c r="K42" s="1">
        <v>-0.391175999999999</v>
      </c>
      <c r="L42" s="1">
        <v>100.0</v>
      </c>
      <c r="M42" s="1">
        <v>0.0</v>
      </c>
      <c r="N42" s="1">
        <v>0.0</v>
      </c>
      <c r="O42" s="1">
        <v>94.727309</v>
      </c>
    </row>
    <row r="43">
      <c r="A43" s="1" t="s">
        <v>323</v>
      </c>
      <c r="B43" s="1" t="s">
        <v>324</v>
      </c>
      <c r="C43" s="3" t="s">
        <v>26</v>
      </c>
      <c r="D43" s="3" t="s">
        <v>420</v>
      </c>
      <c r="E43" s="1" t="str">
        <f>IFERROR(__xludf.DUMMYFUNCTION("IFERROR(REGEXEXTRACT(A43, ""res(269|122)""), ""none"")"),"269")</f>
        <v>269</v>
      </c>
      <c r="F43" s="1">
        <v>-16.381515</v>
      </c>
      <c r="G43" s="1">
        <v>6.0</v>
      </c>
      <c r="H43" s="1">
        <v>3.0</v>
      </c>
      <c r="I43" s="1">
        <v>0.5</v>
      </c>
      <c r="J43" s="1">
        <v>2.0</v>
      </c>
      <c r="K43" s="1">
        <v>-0.391175999999999</v>
      </c>
      <c r="L43" s="1">
        <v>100.0</v>
      </c>
      <c r="M43" s="1">
        <v>0.0</v>
      </c>
      <c r="N43" s="1">
        <v>0.0</v>
      </c>
      <c r="O43" s="1">
        <v>94.727309</v>
      </c>
    </row>
    <row r="44">
      <c r="A44" s="1" t="s">
        <v>325</v>
      </c>
      <c r="B44" s="1" t="s">
        <v>326</v>
      </c>
      <c r="C44" s="3" t="s">
        <v>24</v>
      </c>
      <c r="D44" s="3"/>
      <c r="E44" s="1" t="str">
        <f>IFERROR(__xludf.DUMMYFUNCTION("IFERROR(REGEXEXTRACT(A44, ""res(269|122)""), ""none"")"),"269")</f>
        <v>269</v>
      </c>
      <c r="F44" s="1">
        <v>-16.758312</v>
      </c>
      <c r="G44" s="1">
        <v>7.0</v>
      </c>
      <c r="H44" s="1">
        <v>4.0</v>
      </c>
      <c r="I44" s="1">
        <v>0.428571</v>
      </c>
      <c r="J44" s="1">
        <v>2.0</v>
      </c>
      <c r="K44" s="1">
        <v>-1.542056</v>
      </c>
      <c r="L44" s="1">
        <v>100.0</v>
      </c>
      <c r="M44" s="1">
        <v>0.0</v>
      </c>
      <c r="N44" s="1">
        <v>0.0</v>
      </c>
      <c r="O44" s="1">
        <v>95.128203</v>
      </c>
    </row>
    <row r="45">
      <c r="A45" s="1" t="s">
        <v>327</v>
      </c>
      <c r="B45" s="1" t="s">
        <v>156</v>
      </c>
      <c r="C45" s="3" t="s">
        <v>24</v>
      </c>
      <c r="D45" s="3"/>
      <c r="E45" s="1" t="str">
        <f>IFERROR(__xludf.DUMMYFUNCTION("IFERROR(REGEXEXTRACT(A45, ""res(269|122)""), ""none"")"),"269")</f>
        <v>269</v>
      </c>
      <c r="F45" s="1">
        <v>-16.196607</v>
      </c>
      <c r="G45" s="1">
        <v>8.0</v>
      </c>
      <c r="H45" s="1">
        <v>5.0</v>
      </c>
      <c r="I45" s="1">
        <v>0.625</v>
      </c>
      <c r="J45" s="1">
        <v>3.0</v>
      </c>
      <c r="K45" s="1">
        <v>-1.08205699999999</v>
      </c>
      <c r="L45" s="1">
        <v>100.0</v>
      </c>
      <c r="M45" s="1">
        <v>0.0</v>
      </c>
      <c r="N45" s="1">
        <v>0.0</v>
      </c>
      <c r="O45" s="1">
        <v>99.346336</v>
      </c>
    </row>
    <row r="46">
      <c r="A46" s="1" t="s">
        <v>328</v>
      </c>
      <c r="B46" s="1" t="s">
        <v>329</v>
      </c>
      <c r="C46" s="3" t="s">
        <v>24</v>
      </c>
      <c r="D46" s="3"/>
      <c r="E46" s="1" t="str">
        <f>IFERROR(__xludf.DUMMYFUNCTION("IFERROR(REGEXEXTRACT(A46, ""res(269|122)""), ""none"")"),"269")</f>
        <v>269</v>
      </c>
      <c r="F46" s="1">
        <v>-15.182474</v>
      </c>
      <c r="G46" s="1">
        <v>7.0</v>
      </c>
      <c r="H46" s="1">
        <v>2.0</v>
      </c>
      <c r="I46" s="1">
        <v>0.285714</v>
      </c>
      <c r="J46" s="1">
        <v>2.0</v>
      </c>
      <c r="K46" s="1">
        <v>-0.62157</v>
      </c>
      <c r="L46" s="1">
        <v>100.0</v>
      </c>
      <c r="M46" s="1">
        <v>0.0</v>
      </c>
      <c r="N46" s="1">
        <v>0.0</v>
      </c>
      <c r="O46" s="1">
        <v>95.48167</v>
      </c>
    </row>
    <row r="47">
      <c r="A47" s="1" t="s">
        <v>330</v>
      </c>
      <c r="B47" s="1" t="s">
        <v>159</v>
      </c>
      <c r="C47" s="3" t="s">
        <v>24</v>
      </c>
      <c r="D47" s="3"/>
      <c r="E47" s="1" t="str">
        <f>IFERROR(__xludf.DUMMYFUNCTION("IFERROR(REGEXEXTRACT(A47, ""res(269|122)""), ""none"")"),"269")</f>
        <v>269</v>
      </c>
      <c r="F47" s="1">
        <v>-17.250811</v>
      </c>
      <c r="G47" s="1">
        <v>11.0</v>
      </c>
      <c r="H47" s="1">
        <v>5.0</v>
      </c>
      <c r="I47" s="1">
        <v>0.272727</v>
      </c>
      <c r="J47" s="1">
        <v>2.0</v>
      </c>
      <c r="K47" s="1">
        <v>-0.713731</v>
      </c>
      <c r="L47" s="1">
        <v>100.0</v>
      </c>
      <c r="M47" s="1">
        <v>0.0</v>
      </c>
      <c r="N47" s="1">
        <v>0.0</v>
      </c>
      <c r="O47" s="1">
        <v>100.308185</v>
      </c>
    </row>
    <row r="48">
      <c r="A48" s="1" t="s">
        <v>331</v>
      </c>
      <c r="B48" s="1" t="s">
        <v>332</v>
      </c>
      <c r="C48" s="3" t="s">
        <v>24</v>
      </c>
      <c r="D48" s="3"/>
      <c r="E48" s="1" t="str">
        <f>IFERROR(__xludf.DUMMYFUNCTION("IFERROR(REGEXEXTRACT(A48, ""res(269|122)""), ""none"")"),"269")</f>
        <v>269</v>
      </c>
      <c r="F48" s="1">
        <v>-15.813539</v>
      </c>
      <c r="G48" s="1">
        <v>8.0</v>
      </c>
      <c r="H48" s="1">
        <v>4.0</v>
      </c>
      <c r="I48" s="1">
        <v>0.375</v>
      </c>
      <c r="J48" s="1">
        <v>2.0</v>
      </c>
      <c r="K48" s="1">
        <v>-0.75356</v>
      </c>
      <c r="L48" s="1">
        <v>100.0</v>
      </c>
      <c r="M48" s="1">
        <v>0.0</v>
      </c>
      <c r="N48" s="1">
        <v>0.0</v>
      </c>
      <c r="O48" s="1">
        <v>97.807901</v>
      </c>
    </row>
    <row r="49">
      <c r="A49" s="1" t="s">
        <v>333</v>
      </c>
      <c r="B49" s="1" t="s">
        <v>162</v>
      </c>
      <c r="C49" s="3" t="s">
        <v>24</v>
      </c>
      <c r="D49" s="3"/>
      <c r="E49" s="1" t="str">
        <f>IFERROR(__xludf.DUMMYFUNCTION("IFERROR(REGEXEXTRACT(A49, ""res(269|122)""), ""none"")"),"269")</f>
        <v>269</v>
      </c>
      <c r="F49" s="1">
        <v>-17.483332</v>
      </c>
      <c r="G49" s="1">
        <v>7.0</v>
      </c>
      <c r="H49" s="1">
        <v>2.0</v>
      </c>
      <c r="I49" s="1">
        <v>0.428571</v>
      </c>
      <c r="J49" s="1">
        <v>2.0</v>
      </c>
      <c r="K49" s="1">
        <v>-0.934603</v>
      </c>
      <c r="L49" s="1">
        <v>100.0</v>
      </c>
      <c r="M49" s="1">
        <v>0.0</v>
      </c>
      <c r="N49" s="1">
        <v>0.0</v>
      </c>
      <c r="O49" s="1">
        <v>93.010636</v>
      </c>
    </row>
    <row r="50">
      <c r="A50" s="1" t="s">
        <v>334</v>
      </c>
      <c r="B50" s="1" t="s">
        <v>335</v>
      </c>
      <c r="C50" s="3" t="s">
        <v>24</v>
      </c>
      <c r="D50" s="3"/>
      <c r="E50" s="1" t="str">
        <f>IFERROR(__xludf.DUMMYFUNCTION("IFERROR(REGEXEXTRACT(A50, ""res(269|122)""), ""none"")"),"269")</f>
        <v>269</v>
      </c>
      <c r="F50" s="1">
        <v>-15.044133</v>
      </c>
      <c r="G50" s="1">
        <v>7.0</v>
      </c>
      <c r="H50" s="1">
        <v>3.0</v>
      </c>
      <c r="I50" s="1">
        <v>0.285714</v>
      </c>
      <c r="J50" s="1">
        <v>2.0</v>
      </c>
      <c r="K50" s="1">
        <v>-0.869404</v>
      </c>
      <c r="L50" s="1">
        <v>100.0</v>
      </c>
      <c r="M50" s="1">
        <v>0.0</v>
      </c>
      <c r="N50" s="1">
        <v>0.0</v>
      </c>
      <c r="O50" s="1">
        <v>96.372177</v>
      </c>
    </row>
    <row r="51">
      <c r="A51" s="1" t="s">
        <v>336</v>
      </c>
      <c r="B51" s="1" t="s">
        <v>337</v>
      </c>
      <c r="C51" s="3" t="s">
        <v>24</v>
      </c>
      <c r="D51" s="3"/>
      <c r="E51" s="1" t="str">
        <f>IFERROR(__xludf.DUMMYFUNCTION("IFERROR(REGEXEXTRACT(A51, ""res(269|122)""), ""none"")"),"269")</f>
        <v>269</v>
      </c>
      <c r="F51" s="1">
        <v>-16.338997</v>
      </c>
      <c r="G51" s="1">
        <v>6.0</v>
      </c>
      <c r="H51" s="1">
        <v>1.0</v>
      </c>
      <c r="I51" s="1">
        <v>0.333333</v>
      </c>
      <c r="J51" s="1">
        <v>2.0</v>
      </c>
      <c r="K51" s="1">
        <v>-1.569369</v>
      </c>
      <c r="L51" s="1">
        <v>100.0</v>
      </c>
      <c r="M51" s="1">
        <v>0.0</v>
      </c>
      <c r="N51" s="1">
        <v>0.0</v>
      </c>
      <c r="O51" s="1">
        <v>91.424967</v>
      </c>
    </row>
    <row r="52">
      <c r="A52" s="1" t="s">
        <v>338</v>
      </c>
      <c r="B52" s="1" t="s">
        <v>339</v>
      </c>
      <c r="C52" s="3" t="s">
        <v>24</v>
      </c>
      <c r="D52" s="3"/>
      <c r="E52" s="1" t="str">
        <f>IFERROR(__xludf.DUMMYFUNCTION("IFERROR(REGEXEXTRACT(A52, ""res(269|122)""), ""none"")"),"269")</f>
        <v>269</v>
      </c>
      <c r="F52" s="1">
        <v>-15.874894</v>
      </c>
      <c r="G52" s="1">
        <v>8.0</v>
      </c>
      <c r="H52" s="1">
        <v>2.0</v>
      </c>
      <c r="I52" s="1">
        <v>0.25</v>
      </c>
      <c r="J52" s="1">
        <v>2.0</v>
      </c>
      <c r="K52" s="1">
        <v>-1.527443</v>
      </c>
      <c r="L52" s="1">
        <v>100.0</v>
      </c>
      <c r="M52" s="1">
        <v>0.0</v>
      </c>
      <c r="N52" s="1">
        <v>0.0</v>
      </c>
      <c r="O52" s="1">
        <v>94.847663</v>
      </c>
    </row>
    <row r="53">
      <c r="A53" s="1" t="s">
        <v>340</v>
      </c>
      <c r="B53" s="1" t="s">
        <v>84</v>
      </c>
      <c r="C53" s="3" t="s">
        <v>24</v>
      </c>
      <c r="D53" s="3"/>
      <c r="E53" s="1" t="str">
        <f>IFERROR(__xludf.DUMMYFUNCTION("IFERROR(REGEXEXTRACT(A53, ""res(269|122)""), ""none"")"),"269")</f>
        <v>269</v>
      </c>
      <c r="F53" s="1">
        <v>-15.19198</v>
      </c>
      <c r="G53" s="1">
        <v>8.0</v>
      </c>
      <c r="H53" s="1">
        <v>3.0</v>
      </c>
      <c r="I53" s="1">
        <v>0.375</v>
      </c>
      <c r="J53" s="1">
        <v>2.0</v>
      </c>
      <c r="K53" s="1">
        <v>-1.182302</v>
      </c>
      <c r="L53" s="1">
        <v>100.0</v>
      </c>
      <c r="M53" s="1">
        <v>0.0</v>
      </c>
      <c r="N53" s="1">
        <v>0.0</v>
      </c>
      <c r="O53" s="1">
        <v>97.000718</v>
      </c>
    </row>
    <row r="54">
      <c r="A54" s="1" t="s">
        <v>341</v>
      </c>
      <c r="B54" s="1" t="s">
        <v>87</v>
      </c>
      <c r="C54" s="3" t="s">
        <v>24</v>
      </c>
      <c r="D54" s="3"/>
      <c r="E54" s="1" t="str">
        <f>IFERROR(__xludf.DUMMYFUNCTION("IFERROR(REGEXEXTRACT(A54, ""res(269|122)""), ""none"")"),"269")</f>
        <v>269</v>
      </c>
      <c r="F54" s="1">
        <v>-15.653385</v>
      </c>
      <c r="G54" s="1">
        <v>8.0</v>
      </c>
      <c r="H54" s="1">
        <v>3.0</v>
      </c>
      <c r="I54" s="1">
        <v>0.25</v>
      </c>
      <c r="J54" s="1">
        <v>2.0</v>
      </c>
      <c r="K54" s="1">
        <v>-0.166637</v>
      </c>
      <c r="L54" s="1">
        <v>100.0</v>
      </c>
      <c r="M54" s="1">
        <v>0.0</v>
      </c>
      <c r="N54" s="1">
        <v>0.0</v>
      </c>
      <c r="O54" s="1">
        <v>97.429978</v>
      </c>
    </row>
    <row r="55">
      <c r="A55" s="1" t="s">
        <v>342</v>
      </c>
      <c r="B55" s="1" t="s">
        <v>165</v>
      </c>
      <c r="C55" s="3" t="s">
        <v>24</v>
      </c>
      <c r="D55" s="3"/>
      <c r="E55" s="1" t="str">
        <f>IFERROR(__xludf.DUMMYFUNCTION("IFERROR(REGEXEXTRACT(A55, ""res(269|122)""), ""none"")"),"269")</f>
        <v>269</v>
      </c>
      <c r="F55" s="1">
        <v>-15.468589</v>
      </c>
      <c r="G55" s="1">
        <v>8.0</v>
      </c>
      <c r="H55" s="1">
        <v>3.0</v>
      </c>
      <c r="I55" s="1">
        <v>0.375</v>
      </c>
      <c r="J55" s="1">
        <v>2.0</v>
      </c>
      <c r="K55" s="1">
        <v>-0.987794</v>
      </c>
      <c r="L55" s="1">
        <v>100.0</v>
      </c>
      <c r="M55" s="1">
        <v>0.0</v>
      </c>
      <c r="N55" s="1">
        <v>0.0</v>
      </c>
      <c r="O55" s="1">
        <v>96.918617</v>
      </c>
    </row>
    <row r="56">
      <c r="A56" s="1" t="s">
        <v>343</v>
      </c>
      <c r="B56" s="1" t="s">
        <v>344</v>
      </c>
      <c r="C56" s="3" t="s">
        <v>24</v>
      </c>
      <c r="D56" s="3"/>
      <c r="E56" s="1" t="str">
        <f>IFERROR(__xludf.DUMMYFUNCTION("IFERROR(REGEXEXTRACT(A56, ""res(269|122)""), ""none"")"),"269")</f>
        <v>269</v>
      </c>
      <c r="F56" s="1">
        <v>-16.533467</v>
      </c>
      <c r="G56" s="1">
        <v>8.0</v>
      </c>
      <c r="H56" s="1">
        <v>5.0</v>
      </c>
      <c r="I56" s="1">
        <v>0.25</v>
      </c>
      <c r="J56" s="1">
        <v>2.0</v>
      </c>
      <c r="K56" s="1">
        <v>-1.486018</v>
      </c>
      <c r="L56" s="1">
        <v>100.0</v>
      </c>
      <c r="M56" s="1">
        <v>0.0</v>
      </c>
      <c r="N56" s="1">
        <v>0.0</v>
      </c>
      <c r="O56" s="1">
        <v>97.230515</v>
      </c>
    </row>
    <row r="57">
      <c r="A57" s="1" t="s">
        <v>345</v>
      </c>
      <c r="B57" s="1" t="s">
        <v>346</v>
      </c>
      <c r="C57" s="3" t="s">
        <v>24</v>
      </c>
      <c r="D57" s="5"/>
      <c r="E57" s="1" t="str">
        <f>IFERROR(__xludf.DUMMYFUNCTION("IFERROR(REGEXEXTRACT(A57, ""res(269|122)""), ""none"")"),"269")</f>
        <v>269</v>
      </c>
      <c r="F57" s="1">
        <v>-16.383014</v>
      </c>
      <c r="G57" s="1">
        <v>11.0</v>
      </c>
      <c r="H57" s="1">
        <v>5.0</v>
      </c>
      <c r="I57" s="1">
        <v>0.545455</v>
      </c>
      <c r="J57" s="1">
        <v>2.0</v>
      </c>
      <c r="K57" s="1">
        <v>-1.431922</v>
      </c>
      <c r="L57" s="1">
        <v>100.0</v>
      </c>
      <c r="M57" s="1">
        <v>0.0</v>
      </c>
      <c r="N57" s="1">
        <v>0.0</v>
      </c>
      <c r="O57" s="1">
        <v>100.730519</v>
      </c>
    </row>
    <row r="58">
      <c r="A58" s="1" t="s">
        <v>347</v>
      </c>
      <c r="B58" s="1" t="s">
        <v>348</v>
      </c>
      <c r="C58" s="3" t="s">
        <v>24</v>
      </c>
      <c r="D58" s="5"/>
      <c r="E58" s="1" t="str">
        <f>IFERROR(__xludf.DUMMYFUNCTION("IFERROR(REGEXEXTRACT(A58, ""res(269|122)""), ""none"")"),"269")</f>
        <v>269</v>
      </c>
      <c r="F58" s="1">
        <v>-15.915515</v>
      </c>
      <c r="G58" s="1">
        <v>8.0</v>
      </c>
      <c r="H58" s="1">
        <v>4.0</v>
      </c>
      <c r="I58" s="1">
        <v>0.375</v>
      </c>
      <c r="J58" s="1">
        <v>2.0</v>
      </c>
      <c r="K58" s="1">
        <v>-0.684045</v>
      </c>
      <c r="L58" s="1">
        <v>100.0</v>
      </c>
      <c r="M58" s="1">
        <v>0.0</v>
      </c>
      <c r="N58" s="1">
        <v>0.0</v>
      </c>
      <c r="O58" s="1">
        <v>97.77544</v>
      </c>
    </row>
    <row r="59">
      <c r="A59" s="1" t="s">
        <v>349</v>
      </c>
      <c r="B59" s="1" t="s">
        <v>90</v>
      </c>
      <c r="C59" s="3" t="s">
        <v>24</v>
      </c>
      <c r="D59" s="3" t="s">
        <v>92</v>
      </c>
      <c r="E59" s="1" t="str">
        <f>IFERROR(__xludf.DUMMYFUNCTION("IFERROR(REGEXEXTRACT(A59, ""res(269|122)""), ""none"")"),"269")</f>
        <v>269</v>
      </c>
      <c r="F59" s="1">
        <v>-15.759066</v>
      </c>
      <c r="G59" s="1">
        <v>7.0</v>
      </c>
      <c r="H59" s="1">
        <v>2.0</v>
      </c>
      <c r="I59" s="1">
        <v>0.571429</v>
      </c>
      <c r="J59" s="1">
        <v>2.0</v>
      </c>
      <c r="K59" s="1">
        <v>-0.931789</v>
      </c>
      <c r="L59" s="1">
        <v>100.0</v>
      </c>
      <c r="M59" s="1">
        <v>0.0</v>
      </c>
      <c r="N59" s="1">
        <v>0.0</v>
      </c>
      <c r="O59" s="1">
        <v>94.880574</v>
      </c>
    </row>
    <row r="60">
      <c r="A60" s="1" t="s">
        <v>350</v>
      </c>
      <c r="B60" s="1" t="s">
        <v>351</v>
      </c>
      <c r="C60" s="3" t="s">
        <v>24</v>
      </c>
      <c r="D60" s="3" t="s">
        <v>421</v>
      </c>
      <c r="E60" s="1" t="str">
        <f>IFERROR(__xludf.DUMMYFUNCTION("IFERROR(REGEXEXTRACT(A60, ""res(269|122)""), ""none"")"),"269")</f>
        <v>269</v>
      </c>
      <c r="F60" s="1">
        <v>-15.759066</v>
      </c>
      <c r="G60" s="1">
        <v>7.0</v>
      </c>
      <c r="H60" s="1">
        <v>2.0</v>
      </c>
      <c r="I60" s="1">
        <v>0.571429</v>
      </c>
      <c r="J60" s="1">
        <v>2.0</v>
      </c>
      <c r="K60" s="1">
        <v>-0.931789</v>
      </c>
      <c r="L60" s="1">
        <v>100.0</v>
      </c>
      <c r="M60" s="1">
        <v>0.0</v>
      </c>
      <c r="N60" s="1">
        <v>0.0</v>
      </c>
      <c r="O60" s="1">
        <v>94.880574</v>
      </c>
    </row>
    <row r="61">
      <c r="A61" s="1" t="s">
        <v>352</v>
      </c>
      <c r="B61" s="1" t="s">
        <v>353</v>
      </c>
      <c r="C61" s="3" t="s">
        <v>24</v>
      </c>
      <c r="D61" s="5"/>
      <c r="E61" s="1" t="str">
        <f>IFERROR(__xludf.DUMMYFUNCTION("IFERROR(REGEXEXTRACT(A61, ""res(269|122)""), ""none"")"),"269")</f>
        <v>269</v>
      </c>
      <c r="F61" s="1">
        <v>-15.088626</v>
      </c>
      <c r="G61" s="1">
        <v>12.0</v>
      </c>
      <c r="H61" s="1">
        <v>3.0</v>
      </c>
      <c r="I61" s="1">
        <v>0.416667</v>
      </c>
      <c r="J61" s="1">
        <v>2.0</v>
      </c>
      <c r="K61" s="1">
        <v>-0.765151</v>
      </c>
      <c r="L61" s="1">
        <v>100.0</v>
      </c>
      <c r="M61" s="1">
        <v>0.0</v>
      </c>
      <c r="N61" s="1">
        <v>0.0</v>
      </c>
      <c r="O61" s="1">
        <v>101.56289</v>
      </c>
    </row>
    <row r="62">
      <c r="A62" s="1" t="s">
        <v>354</v>
      </c>
      <c r="B62" s="1" t="s">
        <v>355</v>
      </c>
      <c r="C62" s="3" t="s">
        <v>24</v>
      </c>
      <c r="D62" s="5"/>
      <c r="E62" s="1" t="str">
        <f>IFERROR(__xludf.DUMMYFUNCTION("IFERROR(REGEXEXTRACT(A62, ""res(269|122)""), ""none"")"),"269")</f>
        <v>269</v>
      </c>
      <c r="F62" s="1">
        <v>-16.551482</v>
      </c>
      <c r="G62" s="1">
        <v>8.0</v>
      </c>
      <c r="H62" s="1">
        <v>3.0</v>
      </c>
      <c r="I62" s="1">
        <v>0.25</v>
      </c>
      <c r="J62" s="1">
        <v>2.0</v>
      </c>
      <c r="K62" s="1">
        <v>-0.695112</v>
      </c>
      <c r="L62" s="1">
        <v>100.0</v>
      </c>
      <c r="M62" s="1">
        <v>0.0</v>
      </c>
      <c r="N62" s="1">
        <v>0.0</v>
      </c>
      <c r="O62" s="1">
        <v>96.003406</v>
      </c>
    </row>
    <row r="63">
      <c r="A63" s="1" t="s">
        <v>356</v>
      </c>
      <c r="B63" s="1" t="s">
        <v>168</v>
      </c>
      <c r="C63" s="3" t="s">
        <v>33</v>
      </c>
      <c r="D63" s="5"/>
      <c r="E63" s="1" t="str">
        <f>IFERROR(__xludf.DUMMYFUNCTION("IFERROR(REGEXEXTRACT(A63, ""res(269|122)""), ""none"")"),"269")</f>
        <v>269</v>
      </c>
      <c r="F63" s="1">
        <v>-16.947939</v>
      </c>
      <c r="G63" s="1">
        <v>7.0</v>
      </c>
      <c r="H63" s="1">
        <v>1.0</v>
      </c>
      <c r="I63" s="1">
        <v>0.285714</v>
      </c>
      <c r="J63" s="1">
        <v>2.0</v>
      </c>
      <c r="K63" s="1">
        <v>-1.26662</v>
      </c>
      <c r="L63" s="1">
        <v>100.0</v>
      </c>
      <c r="M63" s="1">
        <v>0.0</v>
      </c>
      <c r="N63" s="1">
        <v>0.0</v>
      </c>
      <c r="O63" s="1">
        <v>92.071155</v>
      </c>
    </row>
    <row r="64">
      <c r="A64" s="1" t="s">
        <v>357</v>
      </c>
      <c r="B64" s="1" t="s">
        <v>358</v>
      </c>
      <c r="C64" s="3" t="s">
        <v>24</v>
      </c>
      <c r="D64" s="5"/>
      <c r="E64" s="1" t="str">
        <f>IFERROR(__xludf.DUMMYFUNCTION("IFERROR(REGEXEXTRACT(A64, ""res(269|122)""), ""none"")"),"269")</f>
        <v>269</v>
      </c>
      <c r="F64" s="1">
        <v>-18.499142</v>
      </c>
      <c r="G64" s="1">
        <v>10.0</v>
      </c>
      <c r="H64" s="1">
        <v>1.0</v>
      </c>
      <c r="I64" s="1">
        <v>0.3</v>
      </c>
      <c r="J64" s="1">
        <v>3.0</v>
      </c>
      <c r="K64" s="1">
        <v>-0.362342</v>
      </c>
      <c r="L64" s="1">
        <v>100.0</v>
      </c>
      <c r="M64" s="1">
        <v>0.0</v>
      </c>
      <c r="N64" s="1">
        <v>0.0</v>
      </c>
      <c r="O64" s="1">
        <v>95.438516</v>
      </c>
    </row>
    <row r="65">
      <c r="A65" s="1" t="s">
        <v>359</v>
      </c>
      <c r="B65" s="1" t="s">
        <v>360</v>
      </c>
      <c r="C65" s="3" t="s">
        <v>24</v>
      </c>
      <c r="D65" s="5"/>
      <c r="E65" s="1" t="str">
        <f>IFERROR(__xludf.DUMMYFUNCTION("IFERROR(REGEXEXTRACT(A65, ""res(269|122)""), ""none"")"),"269")</f>
        <v>269</v>
      </c>
      <c r="F65" s="1">
        <v>-16.983006</v>
      </c>
      <c r="G65" s="1">
        <v>12.0</v>
      </c>
      <c r="H65" s="1">
        <v>5.0</v>
      </c>
      <c r="I65" s="1">
        <v>0.25</v>
      </c>
      <c r="J65" s="1">
        <v>2.0</v>
      </c>
      <c r="K65" s="1">
        <v>-0.69205</v>
      </c>
      <c r="L65" s="1">
        <v>100.0</v>
      </c>
      <c r="M65" s="1">
        <v>0.0</v>
      </c>
      <c r="N65" s="1">
        <v>0.0</v>
      </c>
      <c r="O65" s="1">
        <v>101.574944</v>
      </c>
    </row>
    <row r="66">
      <c r="A66" s="1" t="s">
        <v>361</v>
      </c>
      <c r="B66" s="1" t="s">
        <v>362</v>
      </c>
      <c r="C66" s="3" t="s">
        <v>24</v>
      </c>
      <c r="D66" s="5"/>
      <c r="E66" s="1" t="str">
        <f>IFERROR(__xludf.DUMMYFUNCTION("IFERROR(REGEXEXTRACT(A66, ""res(269|122)""), ""none"")"),"269")</f>
        <v>269</v>
      </c>
      <c r="F66" s="1">
        <v>-15.529597</v>
      </c>
      <c r="G66" s="1">
        <v>9.0</v>
      </c>
      <c r="H66" s="1">
        <v>2.0</v>
      </c>
      <c r="I66" s="1">
        <v>0.444444</v>
      </c>
      <c r="J66" s="1">
        <v>2.0</v>
      </c>
      <c r="K66" s="1">
        <v>-0.986909</v>
      </c>
      <c r="L66" s="1">
        <v>100.0</v>
      </c>
      <c r="M66" s="1">
        <v>0.0</v>
      </c>
      <c r="N66" s="1">
        <v>0.0</v>
      </c>
      <c r="O66" s="1">
        <v>96.927938</v>
      </c>
    </row>
    <row r="67">
      <c r="A67" s="1" t="s">
        <v>363</v>
      </c>
      <c r="B67" s="1" t="s">
        <v>364</v>
      </c>
      <c r="C67" s="3" t="s">
        <v>24</v>
      </c>
      <c r="D67" s="5"/>
      <c r="E67" s="1" t="str">
        <f>IFERROR(__xludf.DUMMYFUNCTION("IFERROR(REGEXEXTRACT(A67, ""res(269|122)""), ""none"")"),"269")</f>
        <v>269</v>
      </c>
      <c r="F67" s="1">
        <v>-16.175959</v>
      </c>
      <c r="G67" s="1">
        <v>9.0</v>
      </c>
      <c r="H67" s="1">
        <v>3.0</v>
      </c>
      <c r="I67" s="1">
        <v>0.333333</v>
      </c>
      <c r="J67" s="1">
        <v>2.0</v>
      </c>
      <c r="K67" s="1">
        <v>-0.314357</v>
      </c>
      <c r="L67" s="1">
        <v>100.0</v>
      </c>
      <c r="M67" s="1">
        <v>0.0</v>
      </c>
      <c r="N67" s="1">
        <v>0.0</v>
      </c>
      <c r="O67" s="1">
        <v>97.843017</v>
      </c>
    </row>
    <row r="68">
      <c r="A68" s="1" t="s">
        <v>365</v>
      </c>
      <c r="B68" s="1" t="s">
        <v>366</v>
      </c>
      <c r="C68" s="3" t="s">
        <v>24</v>
      </c>
      <c r="D68" s="5"/>
      <c r="E68" s="1" t="str">
        <f>IFERROR(__xludf.DUMMYFUNCTION("IFERROR(REGEXEXTRACT(A68, ""res(269|122)""), ""none"")"),"269")</f>
        <v>269</v>
      </c>
      <c r="F68" s="1">
        <v>-17.343073</v>
      </c>
      <c r="G68" s="1">
        <v>7.0</v>
      </c>
      <c r="H68" s="1">
        <v>2.0</v>
      </c>
      <c r="I68" s="1">
        <v>0.285714</v>
      </c>
      <c r="J68" s="1">
        <v>2.0</v>
      </c>
      <c r="K68" s="1">
        <v>-0.812617</v>
      </c>
      <c r="L68" s="1">
        <v>100.0</v>
      </c>
      <c r="M68" s="1">
        <v>0.0</v>
      </c>
      <c r="N68" s="1">
        <v>0.0</v>
      </c>
      <c r="O68" s="1">
        <v>93.130024</v>
      </c>
    </row>
    <row r="69">
      <c r="A69" s="1" t="s">
        <v>367</v>
      </c>
      <c r="B69" s="1" t="s">
        <v>368</v>
      </c>
      <c r="C69" s="3" t="s">
        <v>24</v>
      </c>
      <c r="D69" s="5"/>
      <c r="E69" s="1" t="str">
        <f>IFERROR(__xludf.DUMMYFUNCTION("IFERROR(REGEXEXTRACT(A69, ""res(269|122)""), ""none"")"),"269")</f>
        <v>269</v>
      </c>
      <c r="F69" s="1">
        <v>-15.840535</v>
      </c>
      <c r="G69" s="1">
        <v>8.0</v>
      </c>
      <c r="H69" s="1">
        <v>3.0</v>
      </c>
      <c r="I69" s="1">
        <v>0.25</v>
      </c>
      <c r="J69" s="1">
        <v>2.0</v>
      </c>
      <c r="K69" s="1">
        <v>-1.102898</v>
      </c>
      <c r="L69" s="1">
        <v>100.0</v>
      </c>
      <c r="M69" s="1">
        <v>0.0</v>
      </c>
      <c r="N69" s="1">
        <v>0.0</v>
      </c>
      <c r="O69" s="1">
        <v>96.306567</v>
      </c>
    </row>
    <row r="70">
      <c r="A70" s="1" t="s">
        <v>369</v>
      </c>
      <c r="B70" s="1" t="s">
        <v>370</v>
      </c>
      <c r="C70" s="3" t="s">
        <v>24</v>
      </c>
      <c r="D70" s="5"/>
      <c r="E70" s="1" t="str">
        <f>IFERROR(__xludf.DUMMYFUNCTION("IFERROR(REGEXEXTRACT(A70, ""res(269|122)""), ""none"")"),"269")</f>
        <v>269</v>
      </c>
      <c r="F70" s="1">
        <v>-15.34511</v>
      </c>
      <c r="G70" s="1">
        <v>6.0</v>
      </c>
      <c r="H70" s="1">
        <v>3.0</v>
      </c>
      <c r="I70" s="1">
        <v>0.333333</v>
      </c>
      <c r="J70" s="1">
        <v>2.0</v>
      </c>
      <c r="K70" s="1">
        <v>-0.649549</v>
      </c>
      <c r="L70" s="1">
        <v>100.0</v>
      </c>
      <c r="M70" s="1">
        <v>0.0</v>
      </c>
      <c r="N70" s="1">
        <v>0.0</v>
      </c>
      <c r="O70" s="1">
        <v>95.338674</v>
      </c>
    </row>
    <row r="71">
      <c r="A71" s="1" t="s">
        <v>371</v>
      </c>
      <c r="B71" s="1" t="s">
        <v>372</v>
      </c>
      <c r="C71" s="3" t="s">
        <v>24</v>
      </c>
      <c r="D71" s="3" t="s">
        <v>422</v>
      </c>
      <c r="E71" s="1" t="str">
        <f>IFERROR(__xludf.DUMMYFUNCTION("IFERROR(REGEXEXTRACT(A71, ""res(269|122)""), ""none"")"),"269")</f>
        <v>269</v>
      </c>
      <c r="F71" s="1">
        <v>-15.869256</v>
      </c>
      <c r="G71" s="1">
        <v>7.0</v>
      </c>
      <c r="H71" s="1">
        <v>2.0</v>
      </c>
      <c r="I71" s="1">
        <v>0.428571</v>
      </c>
      <c r="J71" s="1">
        <v>3.0</v>
      </c>
      <c r="K71" s="1">
        <v>-2.176816</v>
      </c>
      <c r="L71" s="1">
        <v>100.0</v>
      </c>
      <c r="M71" s="1">
        <v>0.0</v>
      </c>
      <c r="N71" s="1">
        <v>0.0</v>
      </c>
      <c r="O71" s="1">
        <v>94.382499</v>
      </c>
    </row>
    <row r="72">
      <c r="A72" s="1" t="s">
        <v>373</v>
      </c>
      <c r="B72" s="1" t="s">
        <v>171</v>
      </c>
      <c r="C72" s="3" t="s">
        <v>33</v>
      </c>
      <c r="D72" s="5"/>
      <c r="E72" s="1" t="str">
        <f>IFERROR(__xludf.DUMMYFUNCTION("IFERROR(REGEXEXTRACT(A72, ""res(269|122)""), ""none"")"),"269")</f>
        <v>269</v>
      </c>
      <c r="F72" s="1">
        <v>-16.284917</v>
      </c>
      <c r="G72" s="1">
        <v>8.0</v>
      </c>
      <c r="H72" s="1">
        <v>5.0</v>
      </c>
      <c r="I72" s="1">
        <v>0.25</v>
      </c>
      <c r="J72" s="1">
        <v>2.0</v>
      </c>
      <c r="K72" s="1">
        <v>-1.566179</v>
      </c>
      <c r="L72" s="1">
        <v>100.0</v>
      </c>
      <c r="M72" s="1">
        <v>0.0</v>
      </c>
      <c r="N72" s="1">
        <v>0.0</v>
      </c>
      <c r="O72" s="1">
        <v>97.398904</v>
      </c>
    </row>
    <row r="73">
      <c r="A73" s="1" t="s">
        <v>374</v>
      </c>
      <c r="B73" s="1" t="s">
        <v>174</v>
      </c>
      <c r="C73" s="3" t="s">
        <v>24</v>
      </c>
      <c r="D73" s="5"/>
      <c r="E73" s="1" t="str">
        <f>IFERROR(__xludf.DUMMYFUNCTION("IFERROR(REGEXEXTRACT(A73, ""res(269|122)""), ""none"")"),"269")</f>
        <v>269</v>
      </c>
      <c r="F73" s="1">
        <v>-16.118663</v>
      </c>
      <c r="G73" s="1">
        <v>9.0</v>
      </c>
      <c r="H73" s="1">
        <v>1.0</v>
      </c>
      <c r="I73" s="1">
        <v>0.333333</v>
      </c>
      <c r="J73" s="1">
        <v>2.0</v>
      </c>
      <c r="K73" s="1">
        <v>-0.368431</v>
      </c>
      <c r="L73" s="1">
        <v>100.0</v>
      </c>
      <c r="M73" s="1">
        <v>0.0</v>
      </c>
      <c r="N73" s="1">
        <v>0.0</v>
      </c>
      <c r="O73" s="1">
        <v>95.846239</v>
      </c>
    </row>
    <row r="74">
      <c r="A74" s="1" t="s">
        <v>375</v>
      </c>
      <c r="B74" s="1" t="s">
        <v>376</v>
      </c>
      <c r="C74" s="3" t="s">
        <v>24</v>
      </c>
      <c r="D74" s="5"/>
      <c r="E74" s="1" t="str">
        <f>IFERROR(__xludf.DUMMYFUNCTION("IFERROR(REGEXEXTRACT(A74, ""res(269|122)""), ""none"")"),"269")</f>
        <v>269</v>
      </c>
      <c r="F74" s="1">
        <v>-15.441678</v>
      </c>
      <c r="G74" s="1">
        <v>7.0</v>
      </c>
      <c r="H74" s="1">
        <v>3.0</v>
      </c>
      <c r="I74" s="1">
        <v>0.571429</v>
      </c>
      <c r="J74" s="1">
        <v>2.0</v>
      </c>
      <c r="K74" s="1">
        <v>-0.383116</v>
      </c>
      <c r="L74" s="1">
        <v>100.0</v>
      </c>
      <c r="M74" s="1">
        <v>0.0</v>
      </c>
      <c r="N74" s="1">
        <v>0.0</v>
      </c>
      <c r="O74" s="1">
        <v>96.746635</v>
      </c>
    </row>
    <row r="75">
      <c r="A75" s="1" t="s">
        <v>377</v>
      </c>
      <c r="B75" s="1" t="s">
        <v>378</v>
      </c>
      <c r="C75" s="3" t="s">
        <v>24</v>
      </c>
      <c r="D75" s="5"/>
      <c r="E75" s="1" t="str">
        <f>IFERROR(__xludf.DUMMYFUNCTION("IFERROR(REGEXEXTRACT(A75, ""res(269|122)""), ""none"")"),"269")</f>
        <v>269</v>
      </c>
      <c r="F75" s="1">
        <v>-15.43829</v>
      </c>
      <c r="G75" s="1">
        <v>8.0</v>
      </c>
      <c r="H75" s="1">
        <v>3.0</v>
      </c>
      <c r="I75" s="1">
        <v>0.375</v>
      </c>
      <c r="J75" s="1">
        <v>2.0</v>
      </c>
      <c r="K75" s="1">
        <v>-1.14393</v>
      </c>
      <c r="L75" s="1">
        <v>100.0</v>
      </c>
      <c r="M75" s="1">
        <v>0.0</v>
      </c>
      <c r="N75" s="1">
        <v>0.0</v>
      </c>
      <c r="O75" s="1">
        <v>96.79278</v>
      </c>
    </row>
    <row r="76">
      <c r="A76" s="1" t="s">
        <v>379</v>
      </c>
      <c r="B76" s="1" t="s">
        <v>380</v>
      </c>
      <c r="C76" s="3" t="s">
        <v>24</v>
      </c>
      <c r="D76" s="5"/>
      <c r="E76" s="1" t="str">
        <f>IFERROR(__xludf.DUMMYFUNCTION("IFERROR(REGEXEXTRACT(A76, ""res(269|122)""), ""none"")"),"269")</f>
        <v>269</v>
      </c>
      <c r="F76" s="1">
        <v>-16.179464</v>
      </c>
      <c r="G76" s="1">
        <v>11.0</v>
      </c>
      <c r="H76" s="1">
        <v>5.0</v>
      </c>
      <c r="I76" s="1">
        <v>0.454545</v>
      </c>
      <c r="J76" s="1">
        <v>2.0</v>
      </c>
      <c r="K76" s="1">
        <v>-0.328299</v>
      </c>
      <c r="L76" s="1">
        <v>100.0</v>
      </c>
      <c r="M76" s="1">
        <v>0.0</v>
      </c>
      <c r="N76" s="1">
        <v>0.0</v>
      </c>
      <c r="O76" s="1">
        <v>101.946782</v>
      </c>
    </row>
    <row r="77">
      <c r="A77" s="1" t="s">
        <v>381</v>
      </c>
      <c r="B77" s="1" t="s">
        <v>177</v>
      </c>
      <c r="C77" s="3" t="s">
        <v>24</v>
      </c>
      <c r="D77" s="3" t="s">
        <v>423</v>
      </c>
      <c r="E77" s="1" t="str">
        <f>IFERROR(__xludf.DUMMYFUNCTION("IFERROR(REGEXEXTRACT(A77, ""res(269|122)""), ""none"")"),"269")</f>
        <v>269</v>
      </c>
      <c r="F77" s="1">
        <v>-15.935374</v>
      </c>
      <c r="G77" s="1">
        <v>10.0</v>
      </c>
      <c r="H77" s="1">
        <v>2.0</v>
      </c>
      <c r="I77" s="1">
        <v>0.3</v>
      </c>
      <c r="J77" s="1">
        <v>3.0</v>
      </c>
      <c r="K77" s="1">
        <v>-1.849118</v>
      </c>
      <c r="L77" s="1">
        <v>100.0</v>
      </c>
      <c r="M77" s="1">
        <v>0.0</v>
      </c>
      <c r="N77" s="1">
        <v>0.0</v>
      </c>
      <c r="O77" s="1">
        <v>97.515508</v>
      </c>
    </row>
    <row r="78">
      <c r="A78" s="1" t="s">
        <v>382</v>
      </c>
      <c r="B78" s="1" t="s">
        <v>180</v>
      </c>
      <c r="C78" s="3" t="s">
        <v>33</v>
      </c>
      <c r="D78" s="3" t="s">
        <v>424</v>
      </c>
      <c r="E78" s="1" t="str">
        <f>IFERROR(__xludf.DUMMYFUNCTION("IFERROR(REGEXEXTRACT(A78, ""res(269|122)""), ""none"")"),"269")</f>
        <v>269</v>
      </c>
      <c r="F78" s="1">
        <v>-15.953649</v>
      </c>
      <c r="G78" s="1">
        <v>12.0</v>
      </c>
      <c r="H78" s="1">
        <v>5.0</v>
      </c>
      <c r="I78" s="1">
        <v>0.416667</v>
      </c>
      <c r="J78" s="1">
        <v>3.0</v>
      </c>
      <c r="K78" s="1">
        <v>-0.584621</v>
      </c>
      <c r="L78" s="1">
        <v>100.0</v>
      </c>
      <c r="M78" s="1">
        <v>0.0</v>
      </c>
      <c r="N78" s="1">
        <v>0.0</v>
      </c>
      <c r="O78" s="1">
        <v>103.878397</v>
      </c>
    </row>
    <row r="79">
      <c r="A79" s="1" t="s">
        <v>383</v>
      </c>
      <c r="B79" s="1" t="s">
        <v>183</v>
      </c>
      <c r="C79" s="3" t="s">
        <v>33</v>
      </c>
      <c r="D79" s="3" t="s">
        <v>425</v>
      </c>
      <c r="E79" s="1" t="str">
        <f>IFERROR(__xludf.DUMMYFUNCTION("IFERROR(REGEXEXTRACT(A79, ""res(269|122)""), ""none"")"),"269")</f>
        <v>269</v>
      </c>
      <c r="F79" s="1">
        <v>-15.953649</v>
      </c>
      <c r="G79" s="1">
        <v>12.0</v>
      </c>
      <c r="H79" s="1">
        <v>5.0</v>
      </c>
      <c r="I79" s="1">
        <v>0.416667</v>
      </c>
      <c r="J79" s="1">
        <v>3.0</v>
      </c>
      <c r="K79" s="1">
        <v>-0.584621</v>
      </c>
      <c r="L79" s="1">
        <v>100.0</v>
      </c>
      <c r="M79" s="1">
        <v>0.0</v>
      </c>
      <c r="N79" s="1">
        <v>0.0</v>
      </c>
      <c r="O79" s="1">
        <v>103.878397</v>
      </c>
    </row>
    <row r="80">
      <c r="A80" s="1" t="s">
        <v>384</v>
      </c>
      <c r="B80" s="1" t="s">
        <v>385</v>
      </c>
      <c r="C80" s="3" t="s">
        <v>24</v>
      </c>
      <c r="D80" s="3" t="s">
        <v>426</v>
      </c>
      <c r="E80" s="1" t="str">
        <f>IFERROR(__xludf.DUMMYFUNCTION("IFERROR(REGEXEXTRACT(A80, ""res(269|122)""), ""none"")"),"269")</f>
        <v>269</v>
      </c>
      <c r="F80" s="1">
        <v>-15.47128</v>
      </c>
      <c r="G80" s="1">
        <v>8.0</v>
      </c>
      <c r="H80" s="1">
        <v>5.0</v>
      </c>
      <c r="I80" s="1">
        <v>0.5</v>
      </c>
      <c r="J80" s="1">
        <v>2.0</v>
      </c>
      <c r="K80" s="1">
        <v>-0.38008</v>
      </c>
      <c r="L80" s="1">
        <v>100.0</v>
      </c>
      <c r="M80" s="1">
        <v>0.0</v>
      </c>
      <c r="N80" s="1">
        <v>0.0</v>
      </c>
      <c r="O80" s="1">
        <v>99.64864</v>
      </c>
    </row>
    <row r="81">
      <c r="A81" s="1" t="s">
        <v>386</v>
      </c>
      <c r="B81" s="1" t="s">
        <v>185</v>
      </c>
      <c r="C81" s="3" t="s">
        <v>24</v>
      </c>
      <c r="D81" s="3" t="s">
        <v>427</v>
      </c>
      <c r="E81" s="1" t="str">
        <f>IFERROR(__xludf.DUMMYFUNCTION("IFERROR(REGEXEXTRACT(A81, ""res(269|122)""), ""none"")"),"269")</f>
        <v>269</v>
      </c>
      <c r="F81" s="1">
        <v>-15.47128</v>
      </c>
      <c r="G81" s="1">
        <v>8.0</v>
      </c>
      <c r="H81" s="1">
        <v>5.0</v>
      </c>
      <c r="I81" s="1">
        <v>0.5</v>
      </c>
      <c r="J81" s="1">
        <v>2.0</v>
      </c>
      <c r="K81" s="1">
        <v>-0.38008</v>
      </c>
      <c r="L81" s="1">
        <v>100.0</v>
      </c>
      <c r="M81" s="1">
        <v>0.0</v>
      </c>
      <c r="N81" s="1">
        <v>0.0</v>
      </c>
      <c r="O81" s="1">
        <v>99.64864</v>
      </c>
    </row>
    <row r="82">
      <c r="A82" s="1" t="s">
        <v>387</v>
      </c>
      <c r="B82" s="1" t="s">
        <v>388</v>
      </c>
      <c r="C82" s="3" t="s">
        <v>24</v>
      </c>
      <c r="D82" s="5"/>
      <c r="E82" s="1" t="str">
        <f>IFERROR(__xludf.DUMMYFUNCTION("IFERROR(REGEXEXTRACT(A82, ""res(269|122)""), ""none"")"),"269")</f>
        <v>269</v>
      </c>
      <c r="F82" s="1">
        <v>-15.350062</v>
      </c>
      <c r="G82" s="1">
        <v>8.0</v>
      </c>
      <c r="H82" s="1">
        <v>3.0</v>
      </c>
      <c r="I82" s="1">
        <v>0.375</v>
      </c>
      <c r="J82" s="1">
        <v>2.0</v>
      </c>
      <c r="K82" s="1">
        <v>-1.00126</v>
      </c>
      <c r="L82" s="1">
        <v>100.0</v>
      </c>
      <c r="M82" s="1">
        <v>0.0</v>
      </c>
      <c r="N82" s="1">
        <v>0.0</v>
      </c>
      <c r="O82" s="1">
        <v>97.023678</v>
      </c>
    </row>
    <row r="83">
      <c r="A83" s="1" t="s">
        <v>389</v>
      </c>
      <c r="B83" s="1" t="s">
        <v>390</v>
      </c>
      <c r="C83" s="3" t="s">
        <v>24</v>
      </c>
      <c r="D83" s="5"/>
      <c r="E83" s="1" t="str">
        <f>IFERROR(__xludf.DUMMYFUNCTION("IFERROR(REGEXEXTRACT(A83, ""res(269|122)""), ""none"")"),"269")</f>
        <v>269</v>
      </c>
      <c r="F83" s="1">
        <v>-17.013166</v>
      </c>
      <c r="G83" s="1">
        <v>10.0</v>
      </c>
      <c r="H83" s="1">
        <v>3.0</v>
      </c>
      <c r="I83" s="1">
        <v>0.4</v>
      </c>
      <c r="J83" s="1">
        <v>2.0</v>
      </c>
      <c r="K83" s="1">
        <v>-0.429581</v>
      </c>
      <c r="L83" s="1">
        <v>100.0</v>
      </c>
      <c r="M83" s="1">
        <v>0.0</v>
      </c>
      <c r="N83" s="1">
        <v>0.0</v>
      </c>
      <c r="O83" s="1">
        <v>97.957253</v>
      </c>
    </row>
    <row r="84">
      <c r="A84" s="1" t="s">
        <v>391</v>
      </c>
      <c r="B84" s="1" t="s">
        <v>392</v>
      </c>
      <c r="C84" s="3" t="s">
        <v>24</v>
      </c>
      <c r="D84" s="5"/>
      <c r="E84" s="1" t="str">
        <f>IFERROR(__xludf.DUMMYFUNCTION("IFERROR(REGEXEXTRACT(A84, ""res(269|122)""), ""none"")"),"269")</f>
        <v>269</v>
      </c>
      <c r="F84" s="1">
        <v>-17.033126</v>
      </c>
      <c r="G84" s="1">
        <v>11.0</v>
      </c>
      <c r="H84" s="1">
        <v>5.0</v>
      </c>
      <c r="I84" s="1">
        <v>0.363636</v>
      </c>
      <c r="J84" s="1">
        <v>2.0</v>
      </c>
      <c r="K84" s="1">
        <v>-1.0082</v>
      </c>
      <c r="L84" s="1">
        <v>100.0</v>
      </c>
      <c r="M84" s="1">
        <v>0.0</v>
      </c>
      <c r="N84" s="1">
        <v>0.0</v>
      </c>
      <c r="O84" s="1">
        <v>100.32231</v>
      </c>
    </row>
    <row r="85">
      <c r="A85" s="1" t="s">
        <v>393</v>
      </c>
      <c r="B85" s="1" t="s">
        <v>394</v>
      </c>
      <c r="C85" s="3" t="s">
        <v>24</v>
      </c>
      <c r="D85" s="5"/>
      <c r="E85" s="1" t="str">
        <f>IFERROR(__xludf.DUMMYFUNCTION("IFERROR(REGEXEXTRACT(A85, ""res(269|122)""), ""none"")"),"269")</f>
        <v>269</v>
      </c>
      <c r="F85" s="1">
        <v>-15.889195</v>
      </c>
      <c r="G85" s="1">
        <v>10.0</v>
      </c>
      <c r="H85" s="1">
        <v>4.0</v>
      </c>
      <c r="I85" s="1">
        <v>0.3</v>
      </c>
      <c r="J85" s="1">
        <v>2.0</v>
      </c>
      <c r="K85" s="1">
        <v>-1.177871</v>
      </c>
      <c r="L85" s="1">
        <v>100.0</v>
      </c>
      <c r="M85" s="1">
        <v>0.0</v>
      </c>
      <c r="N85" s="1">
        <v>0.0</v>
      </c>
      <c r="O85" s="1">
        <v>99.232934</v>
      </c>
    </row>
    <row r="86">
      <c r="C86" s="5"/>
      <c r="D86" s="5"/>
    </row>
    <row r="87">
      <c r="C87" s="5"/>
      <c r="D87" s="5"/>
    </row>
    <row r="88">
      <c r="C88" s="5"/>
      <c r="D88" s="5"/>
    </row>
    <row r="89">
      <c r="C89" s="5"/>
      <c r="D89" s="5"/>
    </row>
    <row r="90">
      <c r="C90" s="5"/>
      <c r="D90" s="5"/>
    </row>
    <row r="91">
      <c r="C91" s="5"/>
      <c r="D91" s="5"/>
    </row>
    <row r="92">
      <c r="C92" s="5"/>
      <c r="D92" s="5"/>
    </row>
    <row r="93">
      <c r="C93" s="5"/>
      <c r="D93" s="5"/>
    </row>
    <row r="94">
      <c r="C94" s="5"/>
      <c r="D94" s="5"/>
    </row>
    <row r="95">
      <c r="C95" s="5"/>
      <c r="D95" s="5"/>
    </row>
    <row r="96">
      <c r="C96" s="5"/>
      <c r="D96" s="5"/>
    </row>
    <row r="97">
      <c r="C97" s="5"/>
      <c r="D97" s="5"/>
    </row>
    <row r="98">
      <c r="C98" s="5"/>
      <c r="D98" s="5"/>
    </row>
    <row r="99">
      <c r="C99" s="5"/>
      <c r="D99" s="5"/>
    </row>
    <row r="100">
      <c r="C100" s="5"/>
      <c r="D100" s="5"/>
    </row>
    <row r="101">
      <c r="C101" s="5"/>
      <c r="D101" s="5"/>
    </row>
    <row r="102">
      <c r="C102" s="5"/>
      <c r="D102" s="5"/>
    </row>
    <row r="103">
      <c r="C103" s="5"/>
      <c r="D103" s="5"/>
    </row>
    <row r="104">
      <c r="C104" s="5"/>
      <c r="D104" s="5"/>
    </row>
    <row r="105">
      <c r="C105" s="5"/>
      <c r="D105" s="5"/>
    </row>
    <row r="106">
      <c r="C106" s="5"/>
      <c r="D106" s="5"/>
    </row>
    <row r="107">
      <c r="C107" s="5"/>
      <c r="D107" s="5"/>
    </row>
    <row r="108">
      <c r="C108" s="5"/>
      <c r="D108" s="5"/>
    </row>
    <row r="109">
      <c r="C109" s="5"/>
      <c r="D109" s="5"/>
    </row>
    <row r="110">
      <c r="C110" s="5"/>
      <c r="D110" s="5"/>
    </row>
    <row r="111">
      <c r="C111" s="5"/>
      <c r="D111" s="5"/>
    </row>
    <row r="112">
      <c r="C112" s="5"/>
      <c r="D112" s="5"/>
    </row>
    <row r="113">
      <c r="C113" s="5"/>
      <c r="D113" s="5"/>
    </row>
    <row r="114">
      <c r="C114" s="5"/>
      <c r="D114" s="5"/>
    </row>
    <row r="115">
      <c r="C115" s="5"/>
      <c r="D115" s="5"/>
    </row>
    <row r="116">
      <c r="C116" s="5"/>
      <c r="D116" s="5"/>
    </row>
    <row r="117">
      <c r="C117" s="5"/>
      <c r="D117" s="5"/>
    </row>
    <row r="118">
      <c r="C118" s="5"/>
      <c r="D118" s="5"/>
    </row>
    <row r="119">
      <c r="C119" s="5"/>
      <c r="D119" s="5"/>
    </row>
    <row r="120">
      <c r="C120" s="5"/>
      <c r="D120" s="5"/>
    </row>
    <row r="121">
      <c r="C121" s="5"/>
      <c r="D121" s="5"/>
    </row>
    <row r="122">
      <c r="C122" s="5"/>
      <c r="D122" s="5"/>
    </row>
    <row r="123">
      <c r="C123" s="5"/>
      <c r="D123" s="5"/>
    </row>
    <row r="124">
      <c r="C124" s="5"/>
      <c r="D124" s="5"/>
    </row>
    <row r="125">
      <c r="C125" s="5"/>
      <c r="D125" s="5"/>
    </row>
    <row r="126">
      <c r="C126" s="5"/>
      <c r="D126" s="5"/>
    </row>
    <row r="127">
      <c r="C127" s="5"/>
      <c r="D127" s="5"/>
    </row>
    <row r="128">
      <c r="C128" s="5"/>
      <c r="D128" s="5"/>
    </row>
    <row r="129">
      <c r="C129" s="5"/>
      <c r="D129" s="5"/>
    </row>
    <row r="130">
      <c r="C130" s="5"/>
      <c r="D130" s="5"/>
    </row>
    <row r="131">
      <c r="C131" s="5"/>
      <c r="D131" s="5"/>
    </row>
    <row r="132">
      <c r="C132" s="5"/>
      <c r="D132" s="5"/>
    </row>
    <row r="133">
      <c r="C133" s="5"/>
      <c r="D133" s="5"/>
    </row>
    <row r="134">
      <c r="C134" s="5"/>
      <c r="D134" s="5"/>
    </row>
    <row r="135">
      <c r="C135" s="5"/>
      <c r="D135" s="5"/>
    </row>
    <row r="136">
      <c r="C136" s="5"/>
      <c r="D136" s="5"/>
    </row>
    <row r="137">
      <c r="C137" s="5"/>
      <c r="D137" s="5"/>
    </row>
    <row r="138">
      <c r="C138" s="5"/>
      <c r="D138" s="5"/>
    </row>
    <row r="139">
      <c r="C139" s="5"/>
      <c r="D139" s="5"/>
    </row>
    <row r="140">
      <c r="C140" s="5"/>
      <c r="D140" s="5"/>
    </row>
    <row r="141">
      <c r="C141" s="5"/>
      <c r="D141" s="5"/>
    </row>
    <row r="142">
      <c r="C142" s="5"/>
      <c r="D142" s="5"/>
    </row>
    <row r="143">
      <c r="C143" s="5"/>
      <c r="D143" s="5"/>
    </row>
    <row r="144">
      <c r="C144" s="5"/>
      <c r="D144" s="5"/>
    </row>
    <row r="145">
      <c r="C145" s="5"/>
      <c r="D145" s="5"/>
    </row>
    <row r="146">
      <c r="C146" s="5"/>
      <c r="D146" s="5"/>
    </row>
    <row r="147">
      <c r="C147" s="5"/>
      <c r="D147" s="5"/>
    </row>
    <row r="148">
      <c r="C148" s="5"/>
      <c r="D148" s="5"/>
    </row>
    <row r="149">
      <c r="C149" s="5"/>
      <c r="D149" s="5"/>
    </row>
    <row r="150">
      <c r="C150" s="5"/>
      <c r="D150" s="5"/>
    </row>
    <row r="151">
      <c r="C151" s="5"/>
      <c r="D151" s="5"/>
    </row>
    <row r="152">
      <c r="C152" s="5"/>
      <c r="D152" s="5"/>
    </row>
    <row r="153">
      <c r="C153" s="5"/>
      <c r="D153" s="5"/>
    </row>
    <row r="154">
      <c r="C154" s="5"/>
      <c r="D154" s="5"/>
    </row>
    <row r="155">
      <c r="C155" s="5"/>
      <c r="D155" s="5"/>
    </row>
    <row r="156">
      <c r="C156" s="5"/>
      <c r="D156" s="5"/>
    </row>
    <row r="157">
      <c r="C157" s="5"/>
      <c r="D157" s="5"/>
    </row>
    <row r="158">
      <c r="C158" s="5"/>
      <c r="D158" s="5"/>
    </row>
    <row r="159">
      <c r="C159" s="5"/>
      <c r="D159" s="5"/>
    </row>
    <row r="160">
      <c r="C160" s="5"/>
      <c r="D160" s="5"/>
    </row>
    <row r="161">
      <c r="C161" s="5"/>
      <c r="D161" s="5"/>
    </row>
    <row r="162">
      <c r="C162" s="5"/>
      <c r="D162" s="5"/>
    </row>
    <row r="163">
      <c r="C163" s="5"/>
      <c r="D163" s="5"/>
    </row>
    <row r="164">
      <c r="C164" s="5"/>
      <c r="D164" s="5"/>
    </row>
    <row r="165">
      <c r="C165" s="5"/>
      <c r="D165" s="5"/>
    </row>
    <row r="166">
      <c r="C166" s="5"/>
      <c r="D166" s="5"/>
    </row>
    <row r="167">
      <c r="C167" s="5"/>
      <c r="D167" s="5"/>
    </row>
    <row r="168">
      <c r="C168" s="5"/>
      <c r="D168" s="5"/>
    </row>
    <row r="169">
      <c r="C169" s="5"/>
      <c r="D169" s="5"/>
    </row>
    <row r="170">
      <c r="C170" s="5"/>
      <c r="D170" s="5"/>
    </row>
    <row r="171">
      <c r="C171" s="5"/>
      <c r="D171" s="5"/>
    </row>
    <row r="172">
      <c r="C172" s="5"/>
      <c r="D172" s="5"/>
    </row>
    <row r="173">
      <c r="C173" s="5"/>
      <c r="D173" s="5"/>
    </row>
    <row r="174">
      <c r="C174" s="5"/>
      <c r="D174" s="5"/>
    </row>
    <row r="175">
      <c r="C175" s="5"/>
      <c r="D175" s="5"/>
    </row>
    <row r="176">
      <c r="C176" s="5"/>
      <c r="D176" s="5"/>
    </row>
    <row r="177">
      <c r="C177" s="5"/>
      <c r="D177" s="5"/>
    </row>
    <row r="178">
      <c r="C178" s="5"/>
      <c r="D178" s="5"/>
    </row>
    <row r="179">
      <c r="C179" s="5"/>
      <c r="D179" s="5"/>
    </row>
    <row r="180">
      <c r="C180" s="5"/>
      <c r="D180" s="5"/>
    </row>
    <row r="181">
      <c r="C181" s="5"/>
      <c r="D181" s="5"/>
    </row>
    <row r="182">
      <c r="C182" s="5"/>
      <c r="D182" s="5"/>
    </row>
    <row r="183">
      <c r="C183" s="5"/>
      <c r="D183" s="5"/>
    </row>
    <row r="184">
      <c r="C184" s="5"/>
      <c r="D184" s="5"/>
    </row>
    <row r="185">
      <c r="C185" s="5"/>
      <c r="D185" s="5"/>
    </row>
    <row r="186">
      <c r="C186" s="5"/>
      <c r="D186" s="5"/>
    </row>
    <row r="187">
      <c r="C187" s="5"/>
      <c r="D187" s="5"/>
    </row>
    <row r="188">
      <c r="C188" s="5"/>
      <c r="D188" s="5"/>
    </row>
    <row r="189">
      <c r="C189" s="5"/>
      <c r="D189" s="5"/>
    </row>
    <row r="190">
      <c r="C190" s="5"/>
      <c r="D190" s="5"/>
    </row>
    <row r="191">
      <c r="C191" s="5"/>
      <c r="D191" s="5"/>
    </row>
    <row r="192">
      <c r="C192" s="5"/>
      <c r="D192" s="5"/>
    </row>
    <row r="193">
      <c r="C193" s="5"/>
      <c r="D193" s="5"/>
    </row>
    <row r="194">
      <c r="C194" s="5"/>
      <c r="D194" s="5"/>
    </row>
    <row r="195">
      <c r="C195" s="5"/>
      <c r="D195" s="5"/>
    </row>
    <row r="196">
      <c r="C196" s="5"/>
      <c r="D196" s="5"/>
    </row>
    <row r="197">
      <c r="C197" s="5"/>
      <c r="D197" s="5"/>
    </row>
    <row r="198">
      <c r="C198" s="5"/>
      <c r="D198" s="5"/>
    </row>
    <row r="199">
      <c r="C199" s="5"/>
      <c r="D199" s="5"/>
    </row>
    <row r="200">
      <c r="C200" s="5"/>
      <c r="D200" s="5"/>
    </row>
    <row r="201">
      <c r="C201" s="5"/>
      <c r="D201" s="5"/>
    </row>
    <row r="202">
      <c r="C202" s="5"/>
      <c r="D202" s="5"/>
    </row>
    <row r="203">
      <c r="C203" s="5"/>
      <c r="D203" s="5"/>
    </row>
    <row r="204">
      <c r="C204" s="5"/>
      <c r="D204" s="5"/>
    </row>
    <row r="205">
      <c r="C205" s="5"/>
      <c r="D205" s="5"/>
    </row>
    <row r="206">
      <c r="C206" s="5"/>
      <c r="D206" s="5"/>
    </row>
    <row r="207">
      <c r="C207" s="5"/>
      <c r="D207" s="5"/>
    </row>
    <row r="208">
      <c r="C208" s="5"/>
      <c r="D208" s="5"/>
    </row>
    <row r="209">
      <c r="C209" s="5"/>
      <c r="D209" s="5"/>
    </row>
    <row r="210">
      <c r="C210" s="5"/>
      <c r="D210" s="5"/>
    </row>
    <row r="211">
      <c r="C211" s="5"/>
      <c r="D211" s="5"/>
    </row>
    <row r="212">
      <c r="C212" s="5"/>
      <c r="D212" s="5"/>
    </row>
    <row r="213">
      <c r="C213" s="5"/>
      <c r="D213" s="5"/>
    </row>
    <row r="214">
      <c r="C214" s="5"/>
      <c r="D214" s="5"/>
    </row>
    <row r="215">
      <c r="C215" s="5"/>
      <c r="D215" s="5"/>
    </row>
    <row r="216">
      <c r="C216" s="5"/>
      <c r="D216" s="5"/>
    </row>
    <row r="217">
      <c r="C217" s="5"/>
      <c r="D217" s="5"/>
    </row>
    <row r="218">
      <c r="C218" s="5"/>
      <c r="D218" s="5"/>
    </row>
    <row r="219">
      <c r="C219" s="5"/>
      <c r="D219" s="5"/>
    </row>
    <row r="220">
      <c r="C220" s="5"/>
      <c r="D220" s="5"/>
    </row>
    <row r="221">
      <c r="C221" s="5"/>
      <c r="D221" s="5"/>
    </row>
    <row r="222">
      <c r="C222" s="5"/>
      <c r="D222" s="5"/>
    </row>
    <row r="223">
      <c r="C223" s="5"/>
      <c r="D223" s="5"/>
    </row>
    <row r="224">
      <c r="C224" s="5"/>
      <c r="D224" s="5"/>
    </row>
    <row r="225">
      <c r="C225" s="5"/>
      <c r="D225" s="5"/>
    </row>
    <row r="226">
      <c r="C226" s="5"/>
      <c r="D226" s="5"/>
    </row>
    <row r="227">
      <c r="C227" s="5"/>
      <c r="D227" s="5"/>
    </row>
    <row r="228">
      <c r="C228" s="5"/>
      <c r="D228" s="5"/>
    </row>
    <row r="229">
      <c r="C229" s="5"/>
      <c r="D229" s="5"/>
    </row>
    <row r="230">
      <c r="C230" s="5"/>
      <c r="D230" s="5"/>
    </row>
    <row r="231">
      <c r="C231" s="5"/>
      <c r="D231" s="5"/>
    </row>
    <row r="232">
      <c r="C232" s="5"/>
      <c r="D232" s="5"/>
    </row>
    <row r="233">
      <c r="C233" s="5"/>
      <c r="D233" s="5"/>
    </row>
    <row r="234">
      <c r="C234" s="5"/>
      <c r="D234" s="5"/>
    </row>
    <row r="235">
      <c r="C235" s="5"/>
      <c r="D235" s="5"/>
    </row>
    <row r="236">
      <c r="C236" s="5"/>
      <c r="D236" s="5"/>
    </row>
    <row r="237">
      <c r="C237" s="5"/>
      <c r="D237" s="5"/>
    </row>
    <row r="238">
      <c r="C238" s="5"/>
      <c r="D238" s="5"/>
    </row>
    <row r="239">
      <c r="C239" s="5"/>
      <c r="D239" s="5"/>
    </row>
    <row r="240">
      <c r="C240" s="5"/>
      <c r="D240" s="5"/>
    </row>
    <row r="241">
      <c r="C241" s="5"/>
      <c r="D241" s="5"/>
    </row>
    <row r="242">
      <c r="C242" s="5"/>
      <c r="D242" s="5"/>
    </row>
    <row r="243">
      <c r="C243" s="5"/>
      <c r="D243" s="5"/>
    </row>
    <row r="244">
      <c r="C244" s="5"/>
      <c r="D244" s="5"/>
    </row>
    <row r="245">
      <c r="C245" s="5"/>
      <c r="D245" s="5"/>
    </row>
    <row r="246">
      <c r="C246" s="5"/>
      <c r="D246" s="5"/>
    </row>
    <row r="247">
      <c r="C247" s="5"/>
      <c r="D247" s="5"/>
    </row>
    <row r="248">
      <c r="C248" s="5"/>
      <c r="D248" s="5"/>
    </row>
    <row r="249">
      <c r="C249" s="5"/>
      <c r="D249" s="5"/>
    </row>
    <row r="250">
      <c r="C250" s="5"/>
      <c r="D250" s="5"/>
    </row>
    <row r="251">
      <c r="C251" s="5"/>
      <c r="D251" s="5"/>
    </row>
    <row r="252">
      <c r="C252" s="5"/>
      <c r="D252" s="5"/>
    </row>
    <row r="253">
      <c r="C253" s="5"/>
      <c r="D253" s="5"/>
    </row>
    <row r="254">
      <c r="C254" s="5"/>
      <c r="D254" s="5"/>
    </row>
    <row r="255">
      <c r="C255" s="5"/>
      <c r="D255" s="5"/>
    </row>
    <row r="256">
      <c r="C256" s="5"/>
      <c r="D256" s="5"/>
    </row>
    <row r="257">
      <c r="C257" s="5"/>
      <c r="D257" s="5"/>
    </row>
    <row r="258">
      <c r="C258" s="5"/>
      <c r="D258" s="5"/>
    </row>
    <row r="259">
      <c r="C259" s="5"/>
      <c r="D259" s="5"/>
    </row>
    <row r="260">
      <c r="C260" s="5"/>
      <c r="D260" s="5"/>
    </row>
    <row r="261">
      <c r="C261" s="5"/>
      <c r="D261" s="5"/>
    </row>
    <row r="262">
      <c r="C262" s="5"/>
      <c r="D262" s="5"/>
    </row>
    <row r="263">
      <c r="C263" s="5"/>
      <c r="D263" s="5"/>
    </row>
    <row r="264">
      <c r="C264" s="5"/>
      <c r="D264" s="5"/>
    </row>
    <row r="265">
      <c r="C265" s="5"/>
      <c r="D265" s="5"/>
    </row>
    <row r="266">
      <c r="C266" s="5"/>
      <c r="D266" s="5"/>
    </row>
    <row r="267">
      <c r="C267" s="5"/>
      <c r="D267" s="5"/>
    </row>
    <row r="268">
      <c r="C268" s="5"/>
      <c r="D268" s="5"/>
    </row>
    <row r="269">
      <c r="C269" s="5"/>
      <c r="D269" s="5"/>
    </row>
    <row r="270">
      <c r="C270" s="5"/>
      <c r="D270" s="5"/>
    </row>
    <row r="271">
      <c r="C271" s="5"/>
      <c r="D271" s="5"/>
    </row>
    <row r="272">
      <c r="C272" s="5"/>
      <c r="D272" s="5"/>
    </row>
    <row r="273">
      <c r="C273" s="5"/>
      <c r="D273" s="5"/>
    </row>
    <row r="274">
      <c r="C274" s="5"/>
      <c r="D274" s="5"/>
    </row>
    <row r="275">
      <c r="C275" s="5"/>
      <c r="D275" s="5"/>
    </row>
    <row r="276">
      <c r="C276" s="5"/>
      <c r="D276" s="5"/>
    </row>
    <row r="277">
      <c r="C277" s="5"/>
      <c r="D277" s="5"/>
    </row>
    <row r="278">
      <c r="C278" s="5"/>
      <c r="D278" s="5"/>
    </row>
    <row r="279">
      <c r="C279" s="5"/>
      <c r="D279" s="5"/>
    </row>
    <row r="280">
      <c r="C280" s="5"/>
      <c r="D280" s="5"/>
    </row>
    <row r="281">
      <c r="C281" s="5"/>
      <c r="D281" s="5"/>
    </row>
    <row r="282">
      <c r="C282" s="5"/>
      <c r="D282" s="5"/>
    </row>
    <row r="283">
      <c r="C283" s="5"/>
      <c r="D283" s="5"/>
    </row>
    <row r="284">
      <c r="C284" s="5"/>
      <c r="D284" s="5"/>
    </row>
    <row r="285">
      <c r="C285" s="5"/>
      <c r="D285" s="5"/>
    </row>
    <row r="286">
      <c r="C286" s="5"/>
      <c r="D286" s="5"/>
    </row>
    <row r="287">
      <c r="C287" s="5"/>
      <c r="D287" s="5"/>
    </row>
    <row r="288">
      <c r="C288" s="5"/>
      <c r="D288" s="5"/>
    </row>
    <row r="289">
      <c r="C289" s="5"/>
      <c r="D289" s="5"/>
    </row>
    <row r="290">
      <c r="C290" s="5"/>
      <c r="D290" s="5"/>
    </row>
    <row r="291">
      <c r="C291" s="5"/>
      <c r="D291" s="5"/>
    </row>
    <row r="292">
      <c r="C292" s="5"/>
      <c r="D292" s="5"/>
    </row>
    <row r="293">
      <c r="C293" s="5"/>
      <c r="D293" s="5"/>
    </row>
    <row r="294">
      <c r="C294" s="5"/>
      <c r="D294" s="5"/>
    </row>
    <row r="295">
      <c r="C295" s="5"/>
      <c r="D295" s="5"/>
    </row>
    <row r="296">
      <c r="C296" s="5"/>
      <c r="D296" s="5"/>
    </row>
    <row r="297">
      <c r="C297" s="5"/>
      <c r="D297" s="5"/>
    </row>
    <row r="298">
      <c r="C298" s="5"/>
      <c r="D298" s="5"/>
    </row>
    <row r="299">
      <c r="C299" s="5"/>
      <c r="D299" s="5"/>
    </row>
    <row r="300">
      <c r="C300" s="5"/>
      <c r="D300" s="5"/>
    </row>
    <row r="301">
      <c r="C301" s="5"/>
      <c r="D301" s="5"/>
    </row>
    <row r="302">
      <c r="C302" s="5"/>
      <c r="D302" s="5"/>
    </row>
    <row r="303">
      <c r="C303" s="5"/>
      <c r="D303" s="5"/>
    </row>
    <row r="304">
      <c r="C304" s="5"/>
      <c r="D304" s="5"/>
    </row>
    <row r="305">
      <c r="C305" s="5"/>
      <c r="D305" s="5"/>
    </row>
    <row r="306">
      <c r="C306" s="5"/>
      <c r="D306" s="5"/>
    </row>
    <row r="307">
      <c r="C307" s="5"/>
      <c r="D307" s="5"/>
    </row>
    <row r="308">
      <c r="C308" s="5"/>
      <c r="D308" s="5"/>
    </row>
    <row r="309">
      <c r="C309" s="5"/>
      <c r="D309" s="5"/>
    </row>
    <row r="310">
      <c r="C310" s="5"/>
      <c r="D310" s="5"/>
    </row>
    <row r="311">
      <c r="C311" s="5"/>
      <c r="D311" s="5"/>
    </row>
    <row r="312">
      <c r="C312" s="5"/>
      <c r="D312" s="5"/>
    </row>
    <row r="313">
      <c r="C313" s="5"/>
      <c r="D313" s="5"/>
    </row>
    <row r="314">
      <c r="C314" s="5"/>
      <c r="D314" s="5"/>
    </row>
    <row r="315">
      <c r="C315" s="5"/>
      <c r="D315" s="5"/>
    </row>
    <row r="316">
      <c r="C316" s="5"/>
      <c r="D316" s="5"/>
    </row>
    <row r="317">
      <c r="C317" s="5"/>
      <c r="D317" s="5"/>
    </row>
    <row r="318">
      <c r="C318" s="5"/>
      <c r="D318" s="5"/>
    </row>
    <row r="319">
      <c r="C319" s="5"/>
      <c r="D319" s="5"/>
    </row>
    <row r="320">
      <c r="C320" s="5"/>
      <c r="D320" s="5"/>
    </row>
    <row r="321">
      <c r="C321" s="5"/>
      <c r="D321" s="5"/>
    </row>
    <row r="322">
      <c r="C322" s="5"/>
      <c r="D322" s="5"/>
    </row>
    <row r="323">
      <c r="C323" s="5"/>
      <c r="D323" s="5"/>
    </row>
    <row r="324">
      <c r="C324" s="5"/>
      <c r="D324" s="5"/>
    </row>
    <row r="325">
      <c r="C325" s="5"/>
      <c r="D325" s="5"/>
    </row>
    <row r="326">
      <c r="C326" s="5"/>
      <c r="D326" s="5"/>
    </row>
    <row r="327">
      <c r="C327" s="5"/>
      <c r="D327" s="5"/>
    </row>
    <row r="328">
      <c r="C328" s="5"/>
      <c r="D328" s="5"/>
    </row>
    <row r="329">
      <c r="C329" s="5"/>
      <c r="D329" s="5"/>
    </row>
    <row r="330">
      <c r="C330" s="5"/>
      <c r="D330" s="5"/>
    </row>
    <row r="331">
      <c r="C331" s="5"/>
      <c r="D331" s="5"/>
    </row>
    <row r="332">
      <c r="C332" s="5"/>
      <c r="D332" s="5"/>
    </row>
    <row r="333">
      <c r="C333" s="5"/>
      <c r="D333" s="5"/>
    </row>
    <row r="334">
      <c r="C334" s="5"/>
      <c r="D334" s="5"/>
    </row>
    <row r="335">
      <c r="C335" s="5"/>
      <c r="D335" s="5"/>
    </row>
    <row r="336">
      <c r="C336" s="5"/>
      <c r="D336" s="5"/>
    </row>
    <row r="337">
      <c r="C337" s="5"/>
      <c r="D337" s="5"/>
    </row>
    <row r="338">
      <c r="C338" s="5"/>
      <c r="D338" s="5"/>
    </row>
    <row r="339">
      <c r="C339" s="5"/>
      <c r="D339" s="5"/>
    </row>
    <row r="340">
      <c r="C340" s="5"/>
      <c r="D340" s="5"/>
    </row>
    <row r="341">
      <c r="C341" s="5"/>
      <c r="D341" s="5"/>
    </row>
    <row r="342">
      <c r="C342" s="5"/>
      <c r="D342" s="5"/>
    </row>
    <row r="343">
      <c r="C343" s="5"/>
      <c r="D343" s="5"/>
    </row>
    <row r="344">
      <c r="C344" s="5"/>
      <c r="D344" s="5"/>
    </row>
    <row r="345">
      <c r="C345" s="5"/>
      <c r="D345" s="5"/>
    </row>
    <row r="346">
      <c r="C346" s="5"/>
      <c r="D346" s="5"/>
    </row>
    <row r="347">
      <c r="C347" s="5"/>
      <c r="D347" s="5"/>
    </row>
    <row r="348">
      <c r="C348" s="5"/>
      <c r="D348" s="5"/>
    </row>
    <row r="349">
      <c r="C349" s="5"/>
      <c r="D349" s="5"/>
    </row>
    <row r="350">
      <c r="C350" s="5"/>
      <c r="D350" s="5"/>
    </row>
    <row r="351">
      <c r="C351" s="5"/>
      <c r="D351" s="5"/>
    </row>
    <row r="352">
      <c r="C352" s="5"/>
      <c r="D352" s="5"/>
    </row>
    <row r="353">
      <c r="C353" s="5"/>
      <c r="D353" s="5"/>
    </row>
    <row r="354">
      <c r="C354" s="5"/>
      <c r="D354" s="5"/>
    </row>
    <row r="355">
      <c r="C355" s="5"/>
      <c r="D355" s="5"/>
    </row>
    <row r="356">
      <c r="C356" s="5"/>
      <c r="D356" s="5"/>
    </row>
    <row r="357">
      <c r="C357" s="5"/>
      <c r="D357" s="5"/>
    </row>
    <row r="358">
      <c r="C358" s="5"/>
      <c r="D358" s="5"/>
    </row>
    <row r="359">
      <c r="C359" s="5"/>
      <c r="D359" s="5"/>
    </row>
    <row r="360">
      <c r="C360" s="5"/>
      <c r="D360" s="5"/>
    </row>
    <row r="361">
      <c r="C361" s="5"/>
      <c r="D361" s="5"/>
    </row>
    <row r="362">
      <c r="C362" s="5"/>
      <c r="D362" s="5"/>
    </row>
    <row r="363">
      <c r="C363" s="5"/>
      <c r="D363" s="5"/>
    </row>
    <row r="364">
      <c r="C364" s="5"/>
      <c r="D364" s="5"/>
    </row>
    <row r="365">
      <c r="C365" s="5"/>
      <c r="D365" s="5"/>
    </row>
    <row r="366">
      <c r="C366" s="5"/>
      <c r="D366" s="5"/>
    </row>
    <row r="367">
      <c r="C367" s="5"/>
      <c r="D367" s="5"/>
    </row>
    <row r="368">
      <c r="C368" s="5"/>
      <c r="D368" s="5"/>
    </row>
    <row r="369">
      <c r="C369" s="5"/>
      <c r="D369" s="5"/>
    </row>
    <row r="370">
      <c r="C370" s="5"/>
      <c r="D370" s="5"/>
    </row>
    <row r="371">
      <c r="C371" s="5"/>
      <c r="D371" s="5"/>
    </row>
    <row r="372">
      <c r="C372" s="5"/>
      <c r="D372" s="5"/>
    </row>
    <row r="373">
      <c r="C373" s="5"/>
      <c r="D373" s="5"/>
    </row>
    <row r="374">
      <c r="C374" s="5"/>
      <c r="D374" s="5"/>
    </row>
    <row r="375">
      <c r="C375" s="5"/>
      <c r="D375" s="5"/>
    </row>
    <row r="376">
      <c r="C376" s="5"/>
      <c r="D376" s="5"/>
    </row>
    <row r="377">
      <c r="C377" s="5"/>
      <c r="D377" s="5"/>
    </row>
    <row r="378">
      <c r="C378" s="5"/>
      <c r="D378" s="5"/>
    </row>
    <row r="379">
      <c r="C379" s="5"/>
      <c r="D379" s="5"/>
    </row>
    <row r="380">
      <c r="C380" s="5"/>
      <c r="D380" s="5"/>
    </row>
    <row r="381">
      <c r="C381" s="5"/>
      <c r="D381" s="5"/>
    </row>
    <row r="382">
      <c r="C382" s="5"/>
      <c r="D382" s="5"/>
    </row>
    <row r="383">
      <c r="C383" s="5"/>
      <c r="D383" s="5"/>
    </row>
    <row r="384">
      <c r="C384" s="5"/>
      <c r="D384" s="5"/>
    </row>
    <row r="385">
      <c r="C385" s="5"/>
      <c r="D385" s="5"/>
    </row>
    <row r="386">
      <c r="C386" s="5"/>
      <c r="D386" s="5"/>
    </row>
    <row r="387">
      <c r="C387" s="5"/>
      <c r="D387" s="5"/>
    </row>
    <row r="388">
      <c r="C388" s="5"/>
      <c r="D388" s="5"/>
    </row>
    <row r="389">
      <c r="C389" s="5"/>
      <c r="D389" s="5"/>
    </row>
    <row r="390">
      <c r="C390" s="5"/>
      <c r="D390" s="5"/>
    </row>
    <row r="391">
      <c r="C391" s="5"/>
      <c r="D391" s="5"/>
    </row>
    <row r="392">
      <c r="C392" s="5"/>
      <c r="D392" s="5"/>
    </row>
    <row r="393">
      <c r="C393" s="5"/>
      <c r="D393" s="5"/>
    </row>
    <row r="394">
      <c r="C394" s="5"/>
      <c r="D394" s="5"/>
    </row>
    <row r="395">
      <c r="C395" s="5"/>
      <c r="D395" s="5"/>
    </row>
    <row r="396">
      <c r="C396" s="5"/>
      <c r="D396" s="5"/>
    </row>
    <row r="397">
      <c r="C397" s="5"/>
      <c r="D397" s="5"/>
    </row>
    <row r="398">
      <c r="C398" s="5"/>
      <c r="D398" s="5"/>
    </row>
    <row r="399">
      <c r="C399" s="5"/>
      <c r="D399" s="5"/>
    </row>
    <row r="400">
      <c r="C400" s="5"/>
      <c r="D400" s="5"/>
    </row>
    <row r="401">
      <c r="C401" s="5"/>
      <c r="D401" s="5"/>
    </row>
    <row r="402">
      <c r="C402" s="5"/>
      <c r="D402" s="5"/>
    </row>
    <row r="403">
      <c r="C403" s="5"/>
      <c r="D403" s="5"/>
    </row>
    <row r="404">
      <c r="C404" s="5"/>
      <c r="D404" s="5"/>
    </row>
    <row r="405">
      <c r="C405" s="5"/>
      <c r="D405" s="5"/>
    </row>
    <row r="406">
      <c r="C406" s="5"/>
      <c r="D406" s="5"/>
    </row>
    <row r="407">
      <c r="C407" s="5"/>
      <c r="D407" s="5"/>
    </row>
    <row r="408">
      <c r="C408" s="5"/>
      <c r="D408" s="5"/>
    </row>
    <row r="409">
      <c r="C409" s="5"/>
      <c r="D409" s="5"/>
    </row>
    <row r="410">
      <c r="C410" s="5"/>
      <c r="D410" s="5"/>
    </row>
    <row r="411">
      <c r="C411" s="5"/>
      <c r="D411" s="5"/>
    </row>
    <row r="412">
      <c r="C412" s="5"/>
      <c r="D412" s="5"/>
    </row>
    <row r="413">
      <c r="C413" s="5"/>
      <c r="D413" s="5"/>
    </row>
    <row r="414">
      <c r="C414" s="5"/>
      <c r="D414" s="5"/>
    </row>
    <row r="415">
      <c r="C415" s="5"/>
      <c r="D415" s="5"/>
    </row>
    <row r="416">
      <c r="C416" s="5"/>
      <c r="D416" s="5"/>
    </row>
    <row r="417">
      <c r="C417" s="5"/>
      <c r="D417" s="5"/>
    </row>
    <row r="418">
      <c r="C418" s="5"/>
      <c r="D418" s="5"/>
    </row>
    <row r="419">
      <c r="C419" s="5"/>
      <c r="D419" s="5"/>
    </row>
    <row r="420">
      <c r="C420" s="5"/>
      <c r="D420" s="5"/>
    </row>
    <row r="421">
      <c r="C421" s="5"/>
      <c r="D421" s="5"/>
    </row>
    <row r="422">
      <c r="C422" s="5"/>
      <c r="D422" s="5"/>
    </row>
    <row r="423">
      <c r="C423" s="5"/>
      <c r="D423" s="5"/>
    </row>
    <row r="424">
      <c r="C424" s="5"/>
      <c r="D424" s="5"/>
    </row>
    <row r="425">
      <c r="C425" s="5"/>
      <c r="D425" s="5"/>
    </row>
    <row r="426">
      <c r="C426" s="5"/>
      <c r="D426" s="5"/>
    </row>
    <row r="427">
      <c r="C427" s="5"/>
      <c r="D427" s="5"/>
    </row>
    <row r="428">
      <c r="C428" s="5"/>
      <c r="D428" s="5"/>
    </row>
    <row r="429">
      <c r="C429" s="5"/>
      <c r="D429" s="5"/>
    </row>
    <row r="430">
      <c r="C430" s="5"/>
      <c r="D430" s="5"/>
    </row>
    <row r="431">
      <c r="C431" s="5"/>
      <c r="D431" s="5"/>
    </row>
    <row r="432">
      <c r="C432" s="5"/>
      <c r="D432" s="5"/>
    </row>
    <row r="433">
      <c r="C433" s="5"/>
      <c r="D433" s="5"/>
    </row>
    <row r="434">
      <c r="C434" s="5"/>
      <c r="D434" s="5"/>
    </row>
    <row r="435">
      <c r="C435" s="5"/>
      <c r="D435" s="5"/>
    </row>
    <row r="436">
      <c r="C436" s="5"/>
      <c r="D436" s="5"/>
    </row>
    <row r="437">
      <c r="C437" s="5"/>
      <c r="D437" s="5"/>
    </row>
    <row r="438">
      <c r="C438" s="5"/>
      <c r="D438" s="5"/>
    </row>
    <row r="439">
      <c r="C439" s="5"/>
      <c r="D439" s="5"/>
    </row>
    <row r="440">
      <c r="C440" s="5"/>
      <c r="D440" s="5"/>
    </row>
    <row r="441">
      <c r="C441" s="5"/>
      <c r="D441" s="5"/>
    </row>
    <row r="442">
      <c r="C442" s="5"/>
      <c r="D442" s="5"/>
    </row>
    <row r="443">
      <c r="C443" s="5"/>
      <c r="D443" s="5"/>
    </row>
    <row r="444">
      <c r="C444" s="5"/>
      <c r="D444" s="5"/>
    </row>
    <row r="445">
      <c r="C445" s="5"/>
      <c r="D445" s="5"/>
    </row>
    <row r="446">
      <c r="C446" s="5"/>
      <c r="D446" s="5"/>
    </row>
    <row r="447">
      <c r="C447" s="5"/>
      <c r="D447" s="5"/>
    </row>
    <row r="448">
      <c r="C448" s="5"/>
      <c r="D448" s="5"/>
    </row>
    <row r="449">
      <c r="C449" s="5"/>
      <c r="D449" s="5"/>
    </row>
    <row r="450">
      <c r="C450" s="5"/>
      <c r="D450" s="5"/>
    </row>
    <row r="451">
      <c r="C451" s="5"/>
      <c r="D451" s="5"/>
    </row>
    <row r="452">
      <c r="C452" s="5"/>
      <c r="D452" s="5"/>
    </row>
    <row r="453">
      <c r="C453" s="5"/>
      <c r="D453" s="5"/>
    </row>
    <row r="454">
      <c r="C454" s="5"/>
      <c r="D454" s="5"/>
    </row>
    <row r="455">
      <c r="C455" s="5"/>
      <c r="D455" s="5"/>
    </row>
    <row r="456">
      <c r="C456" s="5"/>
      <c r="D456" s="5"/>
    </row>
    <row r="457">
      <c r="C457" s="5"/>
      <c r="D457" s="5"/>
    </row>
    <row r="458">
      <c r="C458" s="5"/>
      <c r="D458" s="5"/>
    </row>
    <row r="459">
      <c r="C459" s="5"/>
      <c r="D459" s="5"/>
    </row>
    <row r="460">
      <c r="C460" s="5"/>
      <c r="D460" s="5"/>
    </row>
    <row r="461">
      <c r="C461" s="5"/>
      <c r="D461" s="5"/>
    </row>
    <row r="462">
      <c r="C462" s="5"/>
      <c r="D462" s="5"/>
    </row>
    <row r="463">
      <c r="C463" s="5"/>
      <c r="D463" s="5"/>
    </row>
    <row r="464">
      <c r="C464" s="5"/>
      <c r="D464" s="5"/>
    </row>
  </sheetData>
  <conditionalFormatting sqref="C1:C464">
    <cfRule type="containsText" dxfId="0" priority="1" operator="containsText" text="yes">
      <formula>NOT(ISERROR(SEARCH(("yes"),(C1))))</formula>
    </cfRule>
  </conditionalFormatting>
  <conditionalFormatting sqref="C1:C464">
    <cfRule type="containsText" dxfId="1" priority="2" operator="containsText" text="decent">
      <formula>NOT(ISERROR(SEARCH(("decent"),(C1))))</formula>
    </cfRule>
  </conditionalFormatting>
  <conditionalFormatting sqref="C1:C464">
    <cfRule type="containsText" dxfId="2" priority="3" operator="containsText" text="maybe">
      <formula>NOT(ISERROR(SEARCH(("maybe"),(C1))))</formula>
    </cfRule>
  </conditionalFormatting>
  <conditionalFormatting sqref="C1:C464">
    <cfRule type="containsText" dxfId="3" priority="4" operator="containsText" text="no">
      <formula>NOT(ISERROR(SEARCH(("no"),(C1))))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2" max="4" width="20.88"/>
  </cols>
  <sheetData>
    <row r="1">
      <c r="A1" s="1" t="s">
        <v>0</v>
      </c>
      <c r="B1" s="1" t="s">
        <v>1</v>
      </c>
      <c r="C1" s="3" t="s">
        <v>5</v>
      </c>
      <c r="D1" s="3" t="s">
        <v>4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</row>
    <row r="2">
      <c r="A2" s="1" t="s">
        <v>188</v>
      </c>
      <c r="B2" s="1" t="s">
        <v>22</v>
      </c>
      <c r="C2" s="3" t="s">
        <v>26</v>
      </c>
      <c r="D2" s="3"/>
      <c r="E2" s="1" t="str">
        <f>IFERROR(__xludf.DUMMYFUNCTION("IFERROR(REGEXEXTRACT(A2, ""res(269|122)""), ""none"")"),"122")</f>
        <v>122</v>
      </c>
      <c r="F2" s="1">
        <v>-15.535781</v>
      </c>
      <c r="G2" s="1">
        <v>9.0</v>
      </c>
      <c r="H2" s="1">
        <v>3.0</v>
      </c>
      <c r="I2" s="1">
        <v>0.444444</v>
      </c>
      <c r="J2" s="1">
        <v>2.0</v>
      </c>
      <c r="K2" s="1">
        <v>-1.719191</v>
      </c>
      <c r="L2" s="1">
        <v>100.0</v>
      </c>
      <c r="M2" s="1">
        <v>0.0</v>
      </c>
      <c r="N2" s="1">
        <v>0.0</v>
      </c>
      <c r="O2" s="1">
        <v>97.189472</v>
      </c>
    </row>
    <row r="3">
      <c r="A3" s="1" t="s">
        <v>189</v>
      </c>
      <c r="B3" s="1" t="s">
        <v>190</v>
      </c>
      <c r="C3" s="3" t="s">
        <v>95</v>
      </c>
      <c r="E3" s="1" t="str">
        <f>IFERROR(__xludf.DUMMYFUNCTION("IFERROR(REGEXEXTRACT(A3, ""res(269|122)""), ""none"")"),"122")</f>
        <v>122</v>
      </c>
      <c r="F3" s="1">
        <v>-17.372141</v>
      </c>
      <c r="G3" s="1">
        <v>10.0</v>
      </c>
      <c r="H3" s="1">
        <v>2.0</v>
      </c>
      <c r="I3" s="1">
        <v>0.3</v>
      </c>
      <c r="J3" s="1">
        <v>2.0</v>
      </c>
      <c r="K3" s="1">
        <v>-1.44699499999999</v>
      </c>
      <c r="L3" s="1">
        <v>100.0</v>
      </c>
      <c r="M3" s="1">
        <v>0.0</v>
      </c>
      <c r="N3" s="1">
        <v>0.0</v>
      </c>
      <c r="O3" s="1">
        <v>95.480864</v>
      </c>
    </row>
    <row r="4">
      <c r="A4" s="1" t="s">
        <v>191</v>
      </c>
      <c r="B4" s="1" t="s">
        <v>192</v>
      </c>
      <c r="C4" s="3" t="s">
        <v>95</v>
      </c>
      <c r="E4" s="1" t="str">
        <f>IFERROR(__xludf.DUMMYFUNCTION("IFERROR(REGEXEXTRACT(A4, ""res(269|122)""), ""none"")"),"122")</f>
        <v>122</v>
      </c>
      <c r="F4" s="1">
        <v>-15.13854</v>
      </c>
      <c r="G4" s="1">
        <v>9.0</v>
      </c>
      <c r="H4" s="1">
        <v>4.0</v>
      </c>
      <c r="I4" s="1">
        <v>0.333333</v>
      </c>
      <c r="J4" s="1">
        <v>2.0</v>
      </c>
      <c r="K4" s="1">
        <v>-1.065005</v>
      </c>
      <c r="L4" s="1">
        <v>100.0</v>
      </c>
      <c r="M4" s="1">
        <v>0.0</v>
      </c>
      <c r="N4" s="1">
        <v>0.0</v>
      </c>
      <c r="O4" s="1">
        <v>99.129788</v>
      </c>
    </row>
    <row r="5">
      <c r="A5" s="1" t="s">
        <v>193</v>
      </c>
      <c r="B5" s="1" t="s">
        <v>194</v>
      </c>
      <c r="C5" s="3" t="s">
        <v>24</v>
      </c>
      <c r="E5" s="1" t="str">
        <f>IFERROR(__xludf.DUMMYFUNCTION("IFERROR(REGEXEXTRACT(A5, ""res(269|122)""), ""none"")"),"122")</f>
        <v>122</v>
      </c>
      <c r="F5" s="1">
        <v>-15.55909</v>
      </c>
      <c r="G5" s="1">
        <v>12.0</v>
      </c>
      <c r="H5" s="1">
        <v>4.0</v>
      </c>
      <c r="I5" s="1">
        <v>0.25</v>
      </c>
      <c r="J5" s="1">
        <v>2.0</v>
      </c>
      <c r="K5" s="1">
        <v>-0.857348</v>
      </c>
      <c r="L5" s="1">
        <v>100.0</v>
      </c>
      <c r="M5" s="1">
        <v>0.0</v>
      </c>
      <c r="N5" s="1">
        <v>0.0</v>
      </c>
      <c r="O5" s="1">
        <v>101.833562</v>
      </c>
    </row>
    <row r="6">
      <c r="A6" s="1" t="s">
        <v>195</v>
      </c>
      <c r="B6" s="1" t="s">
        <v>196</v>
      </c>
      <c r="C6" s="3" t="s">
        <v>95</v>
      </c>
      <c r="D6" s="3"/>
      <c r="E6" s="1" t="str">
        <f>IFERROR(__xludf.DUMMYFUNCTION("IFERROR(REGEXEXTRACT(A6, ""res(269|122)""), ""none"")"),"122")</f>
        <v>122</v>
      </c>
      <c r="F6" s="1">
        <v>-16.502904</v>
      </c>
      <c r="G6" s="1">
        <v>8.0</v>
      </c>
      <c r="H6" s="1">
        <v>3.0</v>
      </c>
      <c r="I6" s="1">
        <v>0.25</v>
      </c>
      <c r="J6" s="1">
        <v>3.0</v>
      </c>
      <c r="K6" s="1">
        <v>-0.998347</v>
      </c>
      <c r="L6" s="1">
        <v>100.0</v>
      </c>
      <c r="M6" s="1">
        <v>0.0</v>
      </c>
      <c r="N6" s="1">
        <v>0.0</v>
      </c>
      <c r="O6" s="1">
        <v>96.748749</v>
      </c>
    </row>
    <row r="7">
      <c r="A7" s="1" t="s">
        <v>197</v>
      </c>
      <c r="B7" s="1" t="s">
        <v>94</v>
      </c>
      <c r="C7" s="3" t="s">
        <v>33</v>
      </c>
      <c r="D7" s="3"/>
      <c r="E7" s="1" t="str">
        <f>IFERROR(__xludf.DUMMYFUNCTION("IFERROR(REGEXEXTRACT(A7, ""res(269|122)""), ""none"")"),"122")</f>
        <v>122</v>
      </c>
      <c r="F7" s="1">
        <v>-16.222639</v>
      </c>
      <c r="G7" s="1">
        <v>10.0</v>
      </c>
      <c r="H7" s="1">
        <v>3.0</v>
      </c>
      <c r="I7" s="1">
        <v>0.3</v>
      </c>
      <c r="J7" s="1">
        <v>2.0</v>
      </c>
      <c r="K7" s="1">
        <v>-1.763647</v>
      </c>
      <c r="L7" s="1">
        <v>100.0</v>
      </c>
      <c r="M7" s="1">
        <v>0.0</v>
      </c>
      <c r="N7" s="1">
        <v>0.0</v>
      </c>
      <c r="O7" s="1">
        <v>97.313714</v>
      </c>
    </row>
    <row r="8">
      <c r="A8" s="1" t="s">
        <v>198</v>
      </c>
      <c r="B8" s="1" t="s">
        <v>30</v>
      </c>
      <c r="C8" s="3" t="s">
        <v>33</v>
      </c>
      <c r="D8" s="3"/>
      <c r="E8" s="1" t="str">
        <f>IFERROR(__xludf.DUMMYFUNCTION("IFERROR(REGEXEXTRACT(A8, ""res(269|122)""), ""none"")"),"122")</f>
        <v>122</v>
      </c>
      <c r="F8" s="1">
        <v>-15.296063</v>
      </c>
      <c r="G8" s="1">
        <v>8.0</v>
      </c>
      <c r="H8" s="1">
        <v>3.0</v>
      </c>
      <c r="I8" s="1">
        <v>0.25</v>
      </c>
      <c r="J8" s="1">
        <v>2.0</v>
      </c>
      <c r="K8" s="1">
        <v>-1.293353</v>
      </c>
      <c r="L8" s="1">
        <v>100.0</v>
      </c>
      <c r="M8" s="1">
        <v>0.0</v>
      </c>
      <c r="N8" s="1">
        <v>0.0</v>
      </c>
      <c r="O8" s="1">
        <v>96.660584</v>
      </c>
    </row>
    <row r="9">
      <c r="A9" s="1" t="s">
        <v>199</v>
      </c>
      <c r="B9" s="1" t="s">
        <v>200</v>
      </c>
      <c r="C9" s="3" t="s">
        <v>95</v>
      </c>
      <c r="D9" s="3"/>
      <c r="E9" s="1" t="str">
        <f>IFERROR(__xludf.DUMMYFUNCTION("IFERROR(REGEXEXTRACT(A9, ""res(269|122)""), ""none"")"),"122")</f>
        <v>122</v>
      </c>
      <c r="F9" s="1">
        <v>-15.047575</v>
      </c>
      <c r="G9" s="1">
        <v>8.0</v>
      </c>
      <c r="H9" s="1">
        <v>4.0</v>
      </c>
      <c r="I9" s="1">
        <v>0.25</v>
      </c>
      <c r="J9" s="1">
        <v>2.0</v>
      </c>
      <c r="K9" s="1">
        <v>-1.824829</v>
      </c>
      <c r="L9" s="1">
        <v>100.0</v>
      </c>
      <c r="M9" s="1">
        <v>0.0</v>
      </c>
      <c r="N9" s="1">
        <v>0.0</v>
      </c>
      <c r="O9" s="1">
        <v>97.377596</v>
      </c>
    </row>
    <row r="10">
      <c r="A10" s="1" t="s">
        <v>201</v>
      </c>
      <c r="B10" s="1" t="s">
        <v>35</v>
      </c>
      <c r="C10" s="3" t="s">
        <v>26</v>
      </c>
      <c r="D10" s="3"/>
      <c r="E10" s="1" t="str">
        <f>IFERROR(__xludf.DUMMYFUNCTION("IFERROR(REGEXEXTRACT(A10, ""res(269|122)""), ""none"")"),"122")</f>
        <v>122</v>
      </c>
      <c r="F10" s="1">
        <v>-15.950047</v>
      </c>
      <c r="G10" s="1">
        <v>7.0</v>
      </c>
      <c r="H10" s="1">
        <v>3.0</v>
      </c>
      <c r="I10" s="1">
        <v>0.285714</v>
      </c>
      <c r="J10" s="1">
        <v>3.0</v>
      </c>
      <c r="K10" s="1">
        <v>-1.505897</v>
      </c>
      <c r="L10" s="1">
        <v>100.0</v>
      </c>
      <c r="M10" s="1">
        <v>0.0</v>
      </c>
      <c r="N10" s="1">
        <v>0.0</v>
      </c>
      <c r="O10" s="1">
        <v>95.82977</v>
      </c>
    </row>
    <row r="11">
      <c r="A11" s="1" t="s">
        <v>202</v>
      </c>
      <c r="B11" s="1" t="s">
        <v>203</v>
      </c>
      <c r="C11" s="3" t="s">
        <v>24</v>
      </c>
      <c r="D11" s="3"/>
      <c r="E11" s="1" t="str">
        <f>IFERROR(__xludf.DUMMYFUNCTION("IFERROR(REGEXEXTRACT(A11, ""res(269|122)""), ""none"")"),"122")</f>
        <v>122</v>
      </c>
      <c r="F11" s="1">
        <v>-15.642859</v>
      </c>
      <c r="G11" s="1">
        <v>11.0</v>
      </c>
      <c r="H11" s="1">
        <v>3.0</v>
      </c>
      <c r="I11" s="1">
        <v>0.272727</v>
      </c>
      <c r="J11" s="1">
        <v>2.0</v>
      </c>
      <c r="K11" s="1">
        <v>-1.1816</v>
      </c>
      <c r="L11" s="1">
        <v>100.0</v>
      </c>
      <c r="M11" s="1">
        <v>0.0</v>
      </c>
      <c r="N11" s="1">
        <v>0.0</v>
      </c>
      <c r="O11" s="1">
        <v>99.448268</v>
      </c>
    </row>
    <row r="12">
      <c r="A12" s="1" t="s">
        <v>204</v>
      </c>
      <c r="B12" s="1" t="s">
        <v>99</v>
      </c>
      <c r="C12" s="3" t="s">
        <v>33</v>
      </c>
      <c r="D12" s="3"/>
      <c r="E12" s="1" t="str">
        <f>IFERROR(__xludf.DUMMYFUNCTION("IFERROR(REGEXEXTRACT(A12, ""res(269|122)""), ""none"")"),"122")</f>
        <v>122</v>
      </c>
      <c r="F12" s="1">
        <v>-15.476613</v>
      </c>
      <c r="G12" s="1">
        <v>12.0</v>
      </c>
      <c r="H12" s="1">
        <v>4.0</v>
      </c>
      <c r="I12" s="1">
        <v>0.333333</v>
      </c>
      <c r="J12" s="1">
        <v>2.0</v>
      </c>
      <c r="K12" s="1">
        <v>-0.623346</v>
      </c>
      <c r="L12" s="1">
        <v>100.0</v>
      </c>
      <c r="M12" s="1">
        <v>0.0</v>
      </c>
      <c r="N12" s="1">
        <v>0.0</v>
      </c>
      <c r="O12" s="1">
        <v>102.233374</v>
      </c>
    </row>
    <row r="13">
      <c r="A13" s="1" t="s">
        <v>205</v>
      </c>
      <c r="B13" s="1" t="s">
        <v>206</v>
      </c>
      <c r="C13" s="3" t="s">
        <v>95</v>
      </c>
      <c r="D13" s="3"/>
      <c r="E13" s="1" t="str">
        <f>IFERROR(__xludf.DUMMYFUNCTION("IFERROR(REGEXEXTRACT(A13, ""res(269|122)""), ""none"")"),"122")</f>
        <v>122</v>
      </c>
      <c r="F13" s="1">
        <v>-16.216217</v>
      </c>
      <c r="G13" s="1">
        <v>7.0</v>
      </c>
      <c r="H13" s="1">
        <v>4.0</v>
      </c>
      <c r="I13" s="1">
        <v>0.285714</v>
      </c>
      <c r="J13" s="1">
        <v>2.0</v>
      </c>
      <c r="K13" s="1">
        <v>-0.930066</v>
      </c>
      <c r="L13" s="1">
        <v>100.0</v>
      </c>
      <c r="M13" s="1">
        <v>0.0</v>
      </c>
      <c r="N13" s="1">
        <v>0.0</v>
      </c>
      <c r="O13" s="1">
        <v>96.139431</v>
      </c>
    </row>
    <row r="14">
      <c r="A14" s="1" t="s">
        <v>207</v>
      </c>
      <c r="B14" s="1" t="s">
        <v>208</v>
      </c>
      <c r="C14" s="3" t="s">
        <v>95</v>
      </c>
      <c r="D14" s="3"/>
      <c r="E14" s="1" t="str">
        <f>IFERROR(__xludf.DUMMYFUNCTION("IFERROR(REGEXEXTRACT(A14, ""res(269|122)""), ""none"")"),"122")</f>
        <v>122</v>
      </c>
      <c r="F14" s="1">
        <v>-15.113702</v>
      </c>
      <c r="G14" s="1">
        <v>8.0</v>
      </c>
      <c r="H14" s="1">
        <v>3.0</v>
      </c>
      <c r="I14" s="1">
        <v>0.25</v>
      </c>
      <c r="J14" s="1">
        <v>2.0</v>
      </c>
      <c r="K14" s="1">
        <v>-0.761492</v>
      </c>
      <c r="L14" s="1">
        <v>100.0</v>
      </c>
      <c r="M14" s="1">
        <v>0.0</v>
      </c>
      <c r="N14" s="1">
        <v>0.0</v>
      </c>
      <c r="O14" s="1">
        <v>97.374806</v>
      </c>
    </row>
    <row r="15">
      <c r="A15" s="1" t="s">
        <v>209</v>
      </c>
      <c r="B15" s="1" t="s">
        <v>210</v>
      </c>
      <c r="C15" s="3" t="s">
        <v>95</v>
      </c>
      <c r="D15" s="3"/>
      <c r="E15" s="1" t="str">
        <f>IFERROR(__xludf.DUMMYFUNCTION("IFERROR(REGEXEXTRACT(A15, ""res(269|122)""), ""none"")"),"122")</f>
        <v>122</v>
      </c>
      <c r="F15" s="1">
        <v>-15.419001</v>
      </c>
      <c r="G15" s="1">
        <v>8.0</v>
      </c>
      <c r="H15" s="1">
        <v>5.0</v>
      </c>
      <c r="I15" s="1">
        <v>0.5</v>
      </c>
      <c r="J15" s="1">
        <v>3.0</v>
      </c>
      <c r="K15" s="1">
        <v>-1.097048</v>
      </c>
      <c r="L15" s="1">
        <v>100.0</v>
      </c>
      <c r="M15" s="1">
        <v>0.0</v>
      </c>
      <c r="N15" s="1">
        <v>0.0</v>
      </c>
      <c r="O15" s="1">
        <v>99.983951</v>
      </c>
    </row>
    <row r="16">
      <c r="A16" s="1" t="s">
        <v>211</v>
      </c>
      <c r="B16" s="1" t="s">
        <v>212</v>
      </c>
      <c r="C16" s="3" t="s">
        <v>24</v>
      </c>
      <c r="D16" s="3"/>
      <c r="E16" s="1" t="str">
        <f>IFERROR(__xludf.DUMMYFUNCTION("IFERROR(REGEXEXTRACT(A16, ""res(269|122)""), ""none"")"),"122")</f>
        <v>122</v>
      </c>
      <c r="F16" s="1">
        <v>-15.695975</v>
      </c>
      <c r="G16" s="1">
        <v>7.0</v>
      </c>
      <c r="H16" s="1">
        <v>5.0</v>
      </c>
      <c r="I16" s="1">
        <v>0.428571</v>
      </c>
      <c r="J16" s="1">
        <v>2.0</v>
      </c>
      <c r="K16" s="1">
        <v>-0.51858</v>
      </c>
      <c r="L16" s="1">
        <v>100.0</v>
      </c>
      <c r="M16" s="1">
        <v>0.0</v>
      </c>
      <c r="N16" s="1">
        <v>0.0</v>
      </c>
      <c r="O16" s="1">
        <v>98.214016</v>
      </c>
    </row>
    <row r="17">
      <c r="A17" s="1" t="s">
        <v>213</v>
      </c>
      <c r="B17" s="1" t="s">
        <v>40</v>
      </c>
      <c r="C17" s="3" t="s">
        <v>33</v>
      </c>
      <c r="D17" s="3"/>
      <c r="E17" s="1" t="str">
        <f>IFERROR(__xludf.DUMMYFUNCTION("IFERROR(REGEXEXTRACT(A17, ""res(269|122)""), ""none"")"),"122")</f>
        <v>122</v>
      </c>
      <c r="F17" s="1">
        <v>-15.040718</v>
      </c>
      <c r="G17" s="1">
        <v>6.0</v>
      </c>
      <c r="H17" s="1">
        <v>3.0</v>
      </c>
      <c r="I17" s="1">
        <v>0.333333</v>
      </c>
      <c r="J17" s="1">
        <v>2.0</v>
      </c>
      <c r="K17" s="1">
        <v>-1.138986</v>
      </c>
      <c r="L17" s="1">
        <v>100.0</v>
      </c>
      <c r="M17" s="1">
        <v>0.0</v>
      </c>
      <c r="N17" s="1">
        <v>0.0</v>
      </c>
      <c r="O17" s="1">
        <v>95.153629</v>
      </c>
    </row>
    <row r="18">
      <c r="A18" s="1" t="s">
        <v>214</v>
      </c>
      <c r="B18" s="1" t="s">
        <v>44</v>
      </c>
      <c r="C18" s="3" t="s">
        <v>26</v>
      </c>
      <c r="D18" s="3"/>
      <c r="E18" s="1" t="str">
        <f>IFERROR(__xludf.DUMMYFUNCTION("IFERROR(REGEXEXTRACT(A18, ""res(269|122)""), ""none"")"),"122")</f>
        <v>122</v>
      </c>
      <c r="F18" s="1">
        <v>-15.260381</v>
      </c>
      <c r="G18" s="1">
        <v>8.0</v>
      </c>
      <c r="H18" s="1">
        <v>3.0</v>
      </c>
      <c r="I18" s="1">
        <v>0.25</v>
      </c>
      <c r="J18" s="1">
        <v>3.0</v>
      </c>
      <c r="K18" s="1">
        <v>-1.428861</v>
      </c>
      <c r="L18" s="1">
        <v>100.0</v>
      </c>
      <c r="M18" s="1">
        <v>0.0</v>
      </c>
      <c r="N18" s="1">
        <v>0.0</v>
      </c>
      <c r="O18" s="1">
        <v>97.560758</v>
      </c>
    </row>
    <row r="19">
      <c r="A19" s="1" t="s">
        <v>215</v>
      </c>
      <c r="B19" s="1" t="s">
        <v>216</v>
      </c>
      <c r="C19" s="3" t="s">
        <v>95</v>
      </c>
      <c r="D19" s="3"/>
      <c r="E19" s="1" t="str">
        <f>IFERROR(__xludf.DUMMYFUNCTION("IFERROR(REGEXEXTRACT(A19, ""res(269|122)""), ""none"")"),"122")</f>
        <v>122</v>
      </c>
      <c r="F19" s="1">
        <v>-16.747691</v>
      </c>
      <c r="G19" s="1">
        <v>10.0</v>
      </c>
      <c r="H19" s="1">
        <v>4.0</v>
      </c>
      <c r="I19" s="1">
        <v>0.4</v>
      </c>
      <c r="J19" s="1">
        <v>2.0</v>
      </c>
      <c r="K19" s="1">
        <v>-1.533959</v>
      </c>
      <c r="L19" s="1">
        <v>100.0</v>
      </c>
      <c r="M19" s="1">
        <v>0.0</v>
      </c>
      <c r="N19" s="1">
        <v>0.0</v>
      </c>
      <c r="O19" s="1">
        <v>98.11835</v>
      </c>
    </row>
    <row r="20">
      <c r="A20" s="1" t="s">
        <v>217</v>
      </c>
      <c r="B20" s="1" t="s">
        <v>218</v>
      </c>
      <c r="C20" s="3" t="s">
        <v>95</v>
      </c>
      <c r="D20" s="3"/>
      <c r="E20" s="1" t="str">
        <f>IFERROR(__xludf.DUMMYFUNCTION("IFERROR(REGEXEXTRACT(A20, ""res(269|122)""), ""none"")"),"122")</f>
        <v>122</v>
      </c>
      <c r="F20" s="1">
        <v>-15.251888</v>
      </c>
      <c r="G20" s="1">
        <v>10.0</v>
      </c>
      <c r="H20" s="1">
        <v>4.0</v>
      </c>
      <c r="I20" s="1">
        <v>0.4</v>
      </c>
      <c r="J20" s="1">
        <v>2.0</v>
      </c>
      <c r="K20" s="1">
        <v>-0.922495</v>
      </c>
      <c r="L20" s="1">
        <v>100.0</v>
      </c>
      <c r="M20" s="1">
        <v>0.0</v>
      </c>
      <c r="N20" s="1">
        <v>0.0</v>
      </c>
      <c r="O20" s="1">
        <v>100.225617</v>
      </c>
    </row>
    <row r="21">
      <c r="A21" s="1" t="s">
        <v>219</v>
      </c>
      <c r="B21" s="1" t="s">
        <v>220</v>
      </c>
      <c r="C21" s="3" t="s">
        <v>95</v>
      </c>
      <c r="D21" s="3"/>
      <c r="E21" s="1" t="str">
        <f>IFERROR(__xludf.DUMMYFUNCTION("IFERROR(REGEXEXTRACT(A21, ""res(269|122)""), ""none"")"),"122")</f>
        <v>122</v>
      </c>
      <c r="F21" s="1">
        <v>-15.933583</v>
      </c>
      <c r="G21" s="1">
        <v>10.0</v>
      </c>
      <c r="H21" s="1">
        <v>4.0</v>
      </c>
      <c r="I21" s="1">
        <v>0.4</v>
      </c>
      <c r="J21" s="1">
        <v>3.0</v>
      </c>
      <c r="K21" s="1">
        <v>-0.861401</v>
      </c>
      <c r="L21" s="1">
        <v>100.0</v>
      </c>
      <c r="M21" s="1">
        <v>0.0</v>
      </c>
      <c r="N21" s="1">
        <v>0.0</v>
      </c>
      <c r="O21" s="1">
        <v>100.605016</v>
      </c>
    </row>
    <row r="22">
      <c r="A22" s="1" t="s">
        <v>221</v>
      </c>
      <c r="B22" s="1" t="s">
        <v>222</v>
      </c>
      <c r="C22" s="3" t="s">
        <v>24</v>
      </c>
      <c r="D22" s="3"/>
      <c r="E22" s="1" t="str">
        <f>IFERROR(__xludf.DUMMYFUNCTION("IFERROR(REGEXEXTRACT(A22, ""res(269|122)""), ""none"")"),"122")</f>
        <v>122</v>
      </c>
      <c r="F22" s="1">
        <v>-15.3418</v>
      </c>
      <c r="G22" s="1">
        <v>9.0</v>
      </c>
      <c r="H22" s="1">
        <v>4.0</v>
      </c>
      <c r="I22" s="1">
        <v>0.333333</v>
      </c>
      <c r="J22" s="1">
        <v>2.0</v>
      </c>
      <c r="K22" s="1">
        <v>-1.486109</v>
      </c>
      <c r="L22" s="1">
        <v>100.0</v>
      </c>
      <c r="M22" s="1">
        <v>0.0</v>
      </c>
      <c r="N22" s="1">
        <v>0.0</v>
      </c>
      <c r="O22" s="1">
        <v>98.505424</v>
      </c>
    </row>
    <row r="23">
      <c r="A23" s="1" t="s">
        <v>223</v>
      </c>
      <c r="B23" s="1" t="s">
        <v>49</v>
      </c>
      <c r="C23" s="3" t="s">
        <v>33</v>
      </c>
      <c r="D23" s="3"/>
      <c r="E23" s="1" t="str">
        <f>IFERROR(__xludf.DUMMYFUNCTION("IFERROR(REGEXEXTRACT(A23, ""res(269|122)""), ""none"")"),"122")</f>
        <v>122</v>
      </c>
      <c r="F23" s="1">
        <v>-16.481134</v>
      </c>
      <c r="G23" s="1">
        <v>7.0</v>
      </c>
      <c r="H23" s="1">
        <v>3.0</v>
      </c>
      <c r="I23" s="1">
        <v>0.285714</v>
      </c>
      <c r="J23" s="1">
        <v>2.0</v>
      </c>
      <c r="K23" s="1">
        <v>-1.079586</v>
      </c>
      <c r="L23" s="1">
        <v>100.0</v>
      </c>
      <c r="M23" s="1">
        <v>0.0</v>
      </c>
      <c r="N23" s="1">
        <v>0.0</v>
      </c>
      <c r="O23" s="1">
        <v>94.724994</v>
      </c>
    </row>
    <row r="24">
      <c r="A24" s="1" t="s">
        <v>224</v>
      </c>
      <c r="B24" s="1" t="s">
        <v>53</v>
      </c>
      <c r="C24" s="3" t="s">
        <v>33</v>
      </c>
      <c r="D24" s="3"/>
      <c r="E24" s="1" t="str">
        <f>IFERROR(__xludf.DUMMYFUNCTION("IFERROR(REGEXEXTRACT(A24, ""res(269|122)""), ""none"")"),"122")</f>
        <v>122</v>
      </c>
      <c r="F24" s="1">
        <v>-15.209335</v>
      </c>
      <c r="G24" s="1">
        <v>9.0</v>
      </c>
      <c r="H24" s="1">
        <v>3.0</v>
      </c>
      <c r="I24" s="1">
        <v>0.555556</v>
      </c>
      <c r="J24" s="1">
        <v>2.0</v>
      </c>
      <c r="K24" s="1">
        <v>-0.616797</v>
      </c>
      <c r="L24" s="1">
        <v>100.0</v>
      </c>
      <c r="M24" s="1">
        <v>0.0</v>
      </c>
      <c r="N24" s="1">
        <v>0.0</v>
      </c>
      <c r="O24" s="1">
        <v>98.729424</v>
      </c>
    </row>
    <row r="25">
      <c r="A25" s="1" t="s">
        <v>225</v>
      </c>
      <c r="B25" s="1" t="s">
        <v>226</v>
      </c>
      <c r="C25" s="3" t="s">
        <v>95</v>
      </c>
      <c r="D25" s="3"/>
      <c r="E25" s="1" t="str">
        <f>IFERROR(__xludf.DUMMYFUNCTION("IFERROR(REGEXEXTRACT(A25, ""res(269|122)""), ""none"")"),"122")</f>
        <v>122</v>
      </c>
      <c r="F25" s="1">
        <v>-16.256898</v>
      </c>
      <c r="G25" s="1">
        <v>11.0</v>
      </c>
      <c r="H25" s="1">
        <v>4.0</v>
      </c>
      <c r="I25" s="1">
        <v>0.272727</v>
      </c>
      <c r="J25" s="1">
        <v>2.0</v>
      </c>
      <c r="K25" s="1">
        <v>-1.787076</v>
      </c>
      <c r="L25" s="1">
        <v>100.0</v>
      </c>
      <c r="M25" s="1">
        <v>0.0</v>
      </c>
      <c r="N25" s="1">
        <v>0.0</v>
      </c>
      <c r="O25" s="1">
        <v>99.228753</v>
      </c>
    </row>
    <row r="26">
      <c r="A26" s="1" t="s">
        <v>227</v>
      </c>
      <c r="B26" s="1" t="s">
        <v>228</v>
      </c>
      <c r="C26" s="3" t="s">
        <v>24</v>
      </c>
      <c r="D26" s="3"/>
      <c r="E26" s="1" t="str">
        <f>IFERROR(__xludf.DUMMYFUNCTION("IFERROR(REGEXEXTRACT(A26, ""res(269|122)""), ""none"")"),"122")</f>
        <v>122</v>
      </c>
      <c r="F26" s="1">
        <v>-17.376492</v>
      </c>
      <c r="G26" s="1">
        <v>6.0</v>
      </c>
      <c r="H26" s="1">
        <v>3.0</v>
      </c>
      <c r="I26" s="1">
        <v>0.333333</v>
      </c>
      <c r="J26" s="1">
        <v>2.0</v>
      </c>
      <c r="K26" s="1">
        <v>-0.775723</v>
      </c>
      <c r="L26" s="1">
        <v>100.0</v>
      </c>
      <c r="M26" s="1">
        <v>0.0</v>
      </c>
      <c r="N26" s="1">
        <v>0.0</v>
      </c>
      <c r="O26" s="1">
        <v>93.181118</v>
      </c>
    </row>
    <row r="27">
      <c r="A27" s="1" t="s">
        <v>229</v>
      </c>
      <c r="B27" s="1" t="s">
        <v>58</v>
      </c>
      <c r="C27" s="3" t="s">
        <v>33</v>
      </c>
      <c r="D27" s="3"/>
      <c r="E27" s="1" t="str">
        <f>IFERROR(__xludf.DUMMYFUNCTION("IFERROR(REGEXEXTRACT(A27, ""res(269|122)""), ""none"")"),"122")</f>
        <v>122</v>
      </c>
      <c r="F27" s="1">
        <v>-17.724274</v>
      </c>
      <c r="G27" s="1">
        <v>8.0</v>
      </c>
      <c r="H27" s="1">
        <v>3.0</v>
      </c>
      <c r="I27" s="1">
        <v>0.25</v>
      </c>
      <c r="J27" s="1">
        <v>2.0</v>
      </c>
      <c r="K27" s="1">
        <v>-1.29152999999999</v>
      </c>
      <c r="L27" s="1">
        <v>100.0</v>
      </c>
      <c r="M27" s="1">
        <v>0.0</v>
      </c>
      <c r="N27" s="1">
        <v>0.0</v>
      </c>
      <c r="O27" s="1">
        <v>94.234196</v>
      </c>
    </row>
    <row r="28">
      <c r="A28" s="1" t="s">
        <v>230</v>
      </c>
      <c r="B28" s="1" t="s">
        <v>231</v>
      </c>
      <c r="C28" s="3" t="s">
        <v>24</v>
      </c>
      <c r="D28" s="3"/>
      <c r="E28" s="1" t="str">
        <f>IFERROR(__xludf.DUMMYFUNCTION("IFERROR(REGEXEXTRACT(A28, ""res(269|122)""), ""none"")"),"122")</f>
        <v>122</v>
      </c>
      <c r="F28" s="1">
        <v>-16.569372</v>
      </c>
      <c r="G28" s="1">
        <v>8.0</v>
      </c>
      <c r="H28" s="1">
        <v>3.0</v>
      </c>
      <c r="I28" s="1">
        <v>0.5</v>
      </c>
      <c r="J28" s="1">
        <v>2.0</v>
      </c>
      <c r="K28" s="1">
        <v>-0.987431</v>
      </c>
      <c r="L28" s="1">
        <v>100.0</v>
      </c>
      <c r="M28" s="1">
        <v>0.0</v>
      </c>
      <c r="N28" s="1">
        <v>0.0</v>
      </c>
      <c r="O28" s="1">
        <v>95.943197</v>
      </c>
    </row>
    <row r="29">
      <c r="A29" s="1" t="s">
        <v>232</v>
      </c>
      <c r="B29" s="1" t="s">
        <v>62</v>
      </c>
      <c r="C29" s="3" t="s">
        <v>33</v>
      </c>
      <c r="D29" s="3"/>
      <c r="E29" s="1" t="str">
        <f>IFERROR(__xludf.DUMMYFUNCTION("IFERROR(REGEXEXTRACT(A29, ""res(269|122)""), ""none"")"),"122")</f>
        <v>122</v>
      </c>
      <c r="F29" s="1">
        <v>-16.448389</v>
      </c>
      <c r="G29" s="1">
        <v>9.0</v>
      </c>
      <c r="H29" s="1">
        <v>3.0</v>
      </c>
      <c r="I29" s="1">
        <v>0.333333</v>
      </c>
      <c r="J29" s="1">
        <v>2.0</v>
      </c>
      <c r="K29" s="1">
        <v>-1.562614</v>
      </c>
      <c r="L29" s="1">
        <v>100.0</v>
      </c>
      <c r="M29" s="1">
        <v>0.0</v>
      </c>
      <c r="N29" s="1">
        <v>0.0</v>
      </c>
      <c r="O29" s="1">
        <v>96.32233</v>
      </c>
    </row>
    <row r="30">
      <c r="A30" s="1" t="s">
        <v>233</v>
      </c>
      <c r="B30" s="1" t="s">
        <v>103</v>
      </c>
      <c r="C30" s="3" t="s">
        <v>33</v>
      </c>
      <c r="D30" s="3"/>
      <c r="E30" s="1" t="str">
        <f>IFERROR(__xludf.DUMMYFUNCTION("IFERROR(REGEXEXTRACT(A30, ""res(269|122)""), ""none"")"),"122")</f>
        <v>122</v>
      </c>
      <c r="F30" s="1">
        <v>-16.810235</v>
      </c>
      <c r="G30" s="1">
        <v>9.0</v>
      </c>
      <c r="H30" s="1">
        <v>3.0</v>
      </c>
      <c r="I30" s="1">
        <v>0.444444</v>
      </c>
      <c r="J30" s="1">
        <v>2.0</v>
      </c>
      <c r="K30" s="1">
        <v>-0.880047</v>
      </c>
      <c r="L30" s="1">
        <v>100.0</v>
      </c>
      <c r="M30" s="1">
        <v>0.0</v>
      </c>
      <c r="N30" s="1">
        <v>0.0</v>
      </c>
      <c r="O30" s="1">
        <v>96.754162</v>
      </c>
    </row>
    <row r="31">
      <c r="A31" s="1" t="s">
        <v>234</v>
      </c>
      <c r="B31" s="1" t="s">
        <v>235</v>
      </c>
      <c r="C31" s="3" t="s">
        <v>95</v>
      </c>
      <c r="D31" s="3"/>
      <c r="E31" s="1" t="str">
        <f>IFERROR(__xludf.DUMMYFUNCTION("IFERROR(REGEXEXTRACT(A31, ""res(269|122)""), ""none"")"),"122")</f>
        <v>122</v>
      </c>
      <c r="F31" s="1">
        <v>-15.466932</v>
      </c>
      <c r="G31" s="1">
        <v>7.0</v>
      </c>
      <c r="H31" s="1">
        <v>3.0</v>
      </c>
      <c r="I31" s="1">
        <v>0.285714</v>
      </c>
      <c r="J31" s="1">
        <v>2.0</v>
      </c>
      <c r="K31" s="1">
        <v>-1.068929</v>
      </c>
      <c r="L31" s="1">
        <v>100.0</v>
      </c>
      <c r="M31" s="1">
        <v>0.0</v>
      </c>
      <c r="N31" s="1">
        <v>0.0</v>
      </c>
      <c r="O31" s="1">
        <v>95.749853</v>
      </c>
    </row>
    <row r="32">
      <c r="A32" s="1" t="s">
        <v>236</v>
      </c>
      <c r="B32" s="1" t="s">
        <v>107</v>
      </c>
      <c r="C32" s="3" t="s">
        <v>33</v>
      </c>
      <c r="D32" s="3"/>
      <c r="E32" s="1" t="str">
        <f>IFERROR(__xludf.DUMMYFUNCTION("IFERROR(REGEXEXTRACT(A32, ""res(269|122)""), ""none"")"),"122")</f>
        <v>122</v>
      </c>
      <c r="F32" s="1">
        <v>-15.035637</v>
      </c>
      <c r="G32" s="1">
        <v>8.0</v>
      </c>
      <c r="H32" s="1">
        <v>4.0</v>
      </c>
      <c r="I32" s="1">
        <v>0.25</v>
      </c>
      <c r="J32" s="1">
        <v>2.0</v>
      </c>
      <c r="K32" s="1">
        <v>-0.915905</v>
      </c>
      <c r="L32" s="1">
        <v>100.0</v>
      </c>
      <c r="M32" s="1">
        <v>0.0</v>
      </c>
      <c r="N32" s="1">
        <v>0.0</v>
      </c>
      <c r="O32" s="1">
        <v>98.298458</v>
      </c>
    </row>
    <row r="33">
      <c r="A33" s="1" t="s">
        <v>237</v>
      </c>
      <c r="B33" s="1" t="s">
        <v>238</v>
      </c>
      <c r="C33" s="3" t="s">
        <v>95</v>
      </c>
      <c r="D33" s="3"/>
      <c r="E33" s="1" t="str">
        <f>IFERROR(__xludf.DUMMYFUNCTION("IFERROR(REGEXEXTRACT(A33, ""res(269|122)""), ""none"")"),"122")</f>
        <v>122</v>
      </c>
      <c r="F33" s="1">
        <v>-16.448683</v>
      </c>
      <c r="G33" s="1">
        <v>7.0</v>
      </c>
      <c r="H33" s="1">
        <v>4.0</v>
      </c>
      <c r="I33" s="1">
        <v>0.428571</v>
      </c>
      <c r="J33" s="1">
        <v>2.0</v>
      </c>
      <c r="K33" s="1">
        <v>-1.118176</v>
      </c>
      <c r="L33" s="1">
        <v>100.0</v>
      </c>
      <c r="M33" s="1">
        <v>0.0</v>
      </c>
      <c r="N33" s="1">
        <v>0.0</v>
      </c>
      <c r="O33" s="1">
        <v>95.861712</v>
      </c>
    </row>
    <row r="34">
      <c r="A34" s="1" t="s">
        <v>239</v>
      </c>
      <c r="B34" s="1" t="s">
        <v>240</v>
      </c>
      <c r="C34" s="3" t="s">
        <v>95</v>
      </c>
      <c r="D34" s="3"/>
      <c r="E34" s="1" t="str">
        <f>IFERROR(__xludf.DUMMYFUNCTION("IFERROR(REGEXEXTRACT(A34, ""res(269|122)""), ""none"")"),"122")</f>
        <v>122</v>
      </c>
      <c r="F34" s="1">
        <v>-15.291041</v>
      </c>
      <c r="G34" s="1">
        <v>8.0</v>
      </c>
      <c r="H34" s="1">
        <v>3.0</v>
      </c>
      <c r="I34" s="1">
        <v>0.375</v>
      </c>
      <c r="J34" s="1">
        <v>2.0</v>
      </c>
      <c r="K34" s="1">
        <v>-0.739298999999999</v>
      </c>
      <c r="L34" s="1">
        <v>100.0</v>
      </c>
      <c r="M34" s="1">
        <v>0.0</v>
      </c>
      <c r="N34" s="1">
        <v>0.0</v>
      </c>
      <c r="O34" s="1">
        <v>97.34466</v>
      </c>
    </row>
    <row r="35">
      <c r="A35" s="1" t="s">
        <v>241</v>
      </c>
      <c r="B35" s="1" t="s">
        <v>242</v>
      </c>
      <c r="C35" s="3" t="s">
        <v>95</v>
      </c>
      <c r="D35" s="3"/>
      <c r="E35" s="1" t="str">
        <f>IFERROR(__xludf.DUMMYFUNCTION("IFERROR(REGEXEXTRACT(A35, ""res(269|122)""), ""none"")"),"122")</f>
        <v>122</v>
      </c>
      <c r="F35" s="1">
        <v>-15.786774</v>
      </c>
      <c r="G35" s="1">
        <v>8.0</v>
      </c>
      <c r="H35" s="1">
        <v>4.0</v>
      </c>
      <c r="I35" s="1">
        <v>0.25</v>
      </c>
      <c r="J35" s="1">
        <v>3.0</v>
      </c>
      <c r="K35" s="1">
        <v>-1.312683</v>
      </c>
      <c r="L35" s="1">
        <v>100.0</v>
      </c>
      <c r="M35" s="1">
        <v>0.0</v>
      </c>
      <c r="N35" s="1">
        <v>0.0</v>
      </c>
      <c r="O35" s="1">
        <v>98.150543</v>
      </c>
    </row>
    <row r="36">
      <c r="A36" s="1" t="s">
        <v>243</v>
      </c>
      <c r="B36" s="1" t="s">
        <v>244</v>
      </c>
      <c r="C36" s="3" t="s">
        <v>95</v>
      </c>
      <c r="D36" s="3"/>
      <c r="E36" s="1" t="str">
        <f>IFERROR(__xludf.DUMMYFUNCTION("IFERROR(REGEXEXTRACT(A36, ""res(269|122)""), ""none"")"),"122")</f>
        <v>122</v>
      </c>
      <c r="F36" s="1">
        <v>-15.074335</v>
      </c>
      <c r="G36" s="1">
        <v>8.0</v>
      </c>
      <c r="H36" s="1">
        <v>3.0</v>
      </c>
      <c r="I36" s="1">
        <v>0.25</v>
      </c>
      <c r="J36" s="1">
        <v>3.0</v>
      </c>
      <c r="K36" s="1">
        <v>-2.102802</v>
      </c>
      <c r="L36" s="1">
        <v>100.0</v>
      </c>
      <c r="M36" s="1">
        <v>0.0</v>
      </c>
      <c r="N36" s="1">
        <v>0.0</v>
      </c>
      <c r="O36" s="1">
        <v>97.072863</v>
      </c>
    </row>
    <row r="37">
      <c r="A37" s="1" t="s">
        <v>245</v>
      </c>
      <c r="B37" s="1" t="s">
        <v>246</v>
      </c>
      <c r="C37" s="3" t="s">
        <v>95</v>
      </c>
      <c r="D37" s="3"/>
      <c r="E37" s="1" t="str">
        <f>IFERROR(__xludf.DUMMYFUNCTION("IFERROR(REGEXEXTRACT(A37, ""res(269|122)""), ""none"")"),"122")</f>
        <v>122</v>
      </c>
      <c r="F37" s="1">
        <v>-16.056932</v>
      </c>
      <c r="G37" s="1">
        <v>7.0</v>
      </c>
      <c r="H37" s="1">
        <v>3.0</v>
      </c>
      <c r="I37" s="1">
        <v>0.571429</v>
      </c>
      <c r="J37" s="1">
        <v>2.0</v>
      </c>
      <c r="K37" s="1">
        <v>-0.884192</v>
      </c>
      <c r="L37" s="1">
        <v>100.0</v>
      </c>
      <c r="M37" s="1">
        <v>0.0</v>
      </c>
      <c r="N37" s="1">
        <v>0.0</v>
      </c>
      <c r="O37" s="1">
        <v>95.630305</v>
      </c>
    </row>
    <row r="38">
      <c r="A38" s="1" t="s">
        <v>247</v>
      </c>
      <c r="B38" s="1" t="s">
        <v>110</v>
      </c>
      <c r="C38" s="3" t="s">
        <v>33</v>
      </c>
      <c r="D38" s="3"/>
      <c r="E38" s="1" t="str">
        <f>IFERROR(__xludf.DUMMYFUNCTION("IFERROR(REGEXEXTRACT(A38, ""res(269|122)""), ""none"")"),"122")</f>
        <v>122</v>
      </c>
      <c r="F38" s="1">
        <v>-17.375967</v>
      </c>
      <c r="G38" s="1">
        <v>8.0</v>
      </c>
      <c r="H38" s="1">
        <v>3.0</v>
      </c>
      <c r="I38" s="1">
        <v>0.25</v>
      </c>
      <c r="J38" s="1">
        <v>2.0</v>
      </c>
      <c r="K38" s="1">
        <v>-1.320226</v>
      </c>
      <c r="L38" s="1">
        <v>100.0</v>
      </c>
      <c r="M38" s="1">
        <v>0.0</v>
      </c>
      <c r="N38" s="1">
        <v>0.0</v>
      </c>
      <c r="O38" s="1">
        <v>94.553807</v>
      </c>
    </row>
    <row r="39">
      <c r="A39" s="1" t="s">
        <v>248</v>
      </c>
      <c r="B39" s="1" t="s">
        <v>249</v>
      </c>
      <c r="C39" s="3" t="s">
        <v>24</v>
      </c>
      <c r="D39" s="3" t="s">
        <v>428</v>
      </c>
      <c r="E39" s="1" t="str">
        <f>IFERROR(__xludf.DUMMYFUNCTION("IFERROR(REGEXEXTRACT(A39, ""res(269|122)""), ""none"")"),"122")</f>
        <v>122</v>
      </c>
      <c r="F39" s="1">
        <v>-17.093997</v>
      </c>
      <c r="G39" s="1">
        <v>10.0</v>
      </c>
      <c r="H39" s="1">
        <v>3.0</v>
      </c>
      <c r="I39" s="1">
        <v>0.3</v>
      </c>
      <c r="J39" s="1">
        <v>2.0</v>
      </c>
      <c r="K39" s="1">
        <v>-0.77841</v>
      </c>
      <c r="L39" s="1">
        <v>100.0</v>
      </c>
      <c r="M39" s="1">
        <v>0.0</v>
      </c>
      <c r="N39" s="1">
        <v>0.0</v>
      </c>
      <c r="O39" s="1">
        <v>97.427593</v>
      </c>
    </row>
    <row r="40">
      <c r="A40" s="1" t="s">
        <v>250</v>
      </c>
      <c r="B40" s="1" t="s">
        <v>65</v>
      </c>
      <c r="C40" s="3" t="s">
        <v>26</v>
      </c>
      <c r="D40" s="3"/>
      <c r="E40" s="1" t="str">
        <f>IFERROR(__xludf.DUMMYFUNCTION("IFERROR(REGEXEXTRACT(A40, ""res(269|122)""), ""none"")"),"122")</f>
        <v>122</v>
      </c>
      <c r="F40" s="1">
        <v>-17.086206</v>
      </c>
      <c r="G40" s="1">
        <v>7.0</v>
      </c>
      <c r="H40" s="1">
        <v>4.0</v>
      </c>
      <c r="I40" s="1">
        <v>0.285714</v>
      </c>
      <c r="J40" s="1">
        <v>3.0</v>
      </c>
      <c r="K40" s="1">
        <v>-1.038701</v>
      </c>
      <c r="L40" s="1">
        <v>100.0</v>
      </c>
      <c r="M40" s="1">
        <v>0.0</v>
      </c>
      <c r="N40" s="1">
        <v>0.0</v>
      </c>
      <c r="O40" s="1">
        <v>96.160807</v>
      </c>
    </row>
    <row r="41">
      <c r="A41" s="1" t="s">
        <v>251</v>
      </c>
      <c r="B41" s="1" t="s">
        <v>69</v>
      </c>
      <c r="C41" s="3" t="s">
        <v>33</v>
      </c>
      <c r="D41" s="3" t="s">
        <v>71</v>
      </c>
      <c r="E41" s="1" t="str">
        <f>IFERROR(__xludf.DUMMYFUNCTION("IFERROR(REGEXEXTRACT(A41, ""res(269|122)""), ""none"")"),"122")</f>
        <v>122</v>
      </c>
      <c r="F41" s="1">
        <v>-15.386234</v>
      </c>
      <c r="G41" s="1">
        <v>11.0</v>
      </c>
      <c r="H41" s="1">
        <v>4.0</v>
      </c>
      <c r="I41" s="1">
        <v>0.454545</v>
      </c>
      <c r="J41" s="1">
        <v>2.0</v>
      </c>
      <c r="K41" s="1">
        <v>-0.508212</v>
      </c>
      <c r="L41" s="1">
        <v>100.0</v>
      </c>
      <c r="M41" s="1">
        <v>0.0</v>
      </c>
      <c r="N41" s="1">
        <v>0.0</v>
      </c>
      <c r="O41" s="1">
        <v>101.560099</v>
      </c>
    </row>
    <row r="42">
      <c r="A42" s="1" t="s">
        <v>252</v>
      </c>
      <c r="B42" s="1" t="s">
        <v>114</v>
      </c>
      <c r="C42" s="3" t="s">
        <v>24</v>
      </c>
      <c r="D42" s="3"/>
      <c r="E42" s="1" t="str">
        <f>IFERROR(__xludf.DUMMYFUNCTION("IFERROR(REGEXEXTRACT(A42, ""res(269|122)""), ""none"")"),"122")</f>
        <v>122</v>
      </c>
      <c r="F42" s="1">
        <v>-16.231911</v>
      </c>
      <c r="G42" s="1">
        <v>12.0</v>
      </c>
      <c r="H42" s="1">
        <v>2.0</v>
      </c>
      <c r="I42" s="1">
        <v>0.25</v>
      </c>
      <c r="J42" s="1">
        <v>2.0</v>
      </c>
      <c r="K42" s="1">
        <v>-0.38947</v>
      </c>
      <c r="L42" s="1">
        <v>100.0</v>
      </c>
      <c r="M42" s="1">
        <v>0.0</v>
      </c>
      <c r="N42" s="1">
        <v>0.0</v>
      </c>
      <c r="O42" s="1">
        <v>99.628619</v>
      </c>
    </row>
    <row r="43">
      <c r="A43" s="1" t="s">
        <v>253</v>
      </c>
      <c r="B43" s="1" t="s">
        <v>254</v>
      </c>
      <c r="C43" s="3" t="s">
        <v>95</v>
      </c>
      <c r="D43" s="3"/>
      <c r="E43" s="1" t="str">
        <f>IFERROR(__xludf.DUMMYFUNCTION("IFERROR(REGEXEXTRACT(A43, ""res(269|122)""), ""none"")"),"122")</f>
        <v>122</v>
      </c>
      <c r="F43" s="1">
        <v>-15.527357</v>
      </c>
      <c r="G43" s="1">
        <v>8.0</v>
      </c>
      <c r="H43" s="1">
        <v>3.0</v>
      </c>
      <c r="I43" s="1">
        <v>0.25</v>
      </c>
      <c r="J43" s="1">
        <v>2.0</v>
      </c>
      <c r="K43" s="1">
        <v>-0.966032</v>
      </c>
      <c r="L43" s="1">
        <v>100.0</v>
      </c>
      <c r="M43" s="1">
        <v>0.0</v>
      </c>
      <c r="N43" s="1">
        <v>0.0</v>
      </c>
      <c r="O43" s="1">
        <v>96.756611</v>
      </c>
    </row>
    <row r="44">
      <c r="A44" s="1" t="s">
        <v>255</v>
      </c>
      <c r="B44" s="1" t="s">
        <v>256</v>
      </c>
      <c r="C44" s="3" t="s">
        <v>24</v>
      </c>
      <c r="D44" s="3"/>
      <c r="E44" s="1" t="str">
        <f>IFERROR(__xludf.DUMMYFUNCTION("IFERROR(REGEXEXTRACT(A44, ""res(269|122)""), ""none"")"),"122")</f>
        <v>122</v>
      </c>
      <c r="F44" s="1">
        <v>-15.777823</v>
      </c>
      <c r="G44" s="1">
        <v>9.0</v>
      </c>
      <c r="H44" s="1">
        <v>4.0</v>
      </c>
      <c r="I44" s="1">
        <v>0.333333</v>
      </c>
      <c r="J44" s="1">
        <v>2.0</v>
      </c>
      <c r="K44" s="1">
        <v>-1.671146</v>
      </c>
      <c r="L44" s="1">
        <v>100.0</v>
      </c>
      <c r="M44" s="1">
        <v>0.0</v>
      </c>
      <c r="N44" s="1">
        <v>0.0</v>
      </c>
      <c r="O44" s="1">
        <v>97.884364</v>
      </c>
    </row>
    <row r="45">
      <c r="C45" s="5"/>
      <c r="D45" s="5"/>
    </row>
    <row r="46">
      <c r="C46" s="5"/>
      <c r="D46" s="5"/>
    </row>
    <row r="47">
      <c r="C47" s="5"/>
      <c r="D47" s="5"/>
    </row>
    <row r="48">
      <c r="C48" s="5"/>
      <c r="D48" s="5"/>
    </row>
    <row r="49">
      <c r="C49" s="5"/>
      <c r="D49" s="5"/>
    </row>
    <row r="50">
      <c r="C50" s="5"/>
      <c r="D50" s="5"/>
    </row>
    <row r="51">
      <c r="C51" s="5"/>
      <c r="D51" s="5"/>
    </row>
    <row r="52">
      <c r="C52" s="5"/>
      <c r="D52" s="5"/>
    </row>
    <row r="53">
      <c r="C53" s="5"/>
      <c r="D53" s="5"/>
    </row>
    <row r="54">
      <c r="C54" s="5"/>
      <c r="D54" s="5"/>
    </row>
    <row r="55">
      <c r="C55" s="5"/>
      <c r="D55" s="5"/>
    </row>
    <row r="56">
      <c r="C56" s="5"/>
      <c r="D56" s="5"/>
    </row>
    <row r="57">
      <c r="C57" s="5"/>
      <c r="D57" s="5"/>
    </row>
    <row r="58">
      <c r="C58" s="5"/>
      <c r="D58" s="5"/>
    </row>
    <row r="59">
      <c r="C59" s="5"/>
      <c r="D59" s="5"/>
    </row>
    <row r="60">
      <c r="C60" s="5"/>
      <c r="D60" s="5"/>
    </row>
    <row r="61">
      <c r="C61" s="5"/>
      <c r="D61" s="5"/>
    </row>
    <row r="62">
      <c r="C62" s="5"/>
      <c r="D62" s="5"/>
    </row>
    <row r="63">
      <c r="C63" s="5"/>
      <c r="D63" s="5"/>
    </row>
    <row r="64">
      <c r="C64" s="5"/>
      <c r="D64" s="5"/>
    </row>
    <row r="65">
      <c r="C65" s="5"/>
      <c r="D65" s="5"/>
    </row>
    <row r="66">
      <c r="C66" s="5"/>
      <c r="D66" s="5"/>
    </row>
    <row r="67">
      <c r="C67" s="5"/>
      <c r="D67" s="5"/>
    </row>
    <row r="68">
      <c r="C68" s="5"/>
      <c r="D68" s="5"/>
    </row>
    <row r="69">
      <c r="C69" s="5"/>
      <c r="D69" s="5"/>
    </row>
    <row r="70">
      <c r="C70" s="5"/>
      <c r="D70" s="5"/>
    </row>
    <row r="71">
      <c r="C71" s="5"/>
      <c r="D71" s="5"/>
    </row>
    <row r="72">
      <c r="C72" s="5"/>
      <c r="D72" s="5"/>
    </row>
    <row r="73">
      <c r="C73" s="5"/>
      <c r="D73" s="5"/>
    </row>
    <row r="74">
      <c r="C74" s="5"/>
      <c r="D74" s="5"/>
    </row>
    <row r="75">
      <c r="C75" s="5"/>
      <c r="D75" s="5"/>
    </row>
    <row r="76">
      <c r="C76" s="5"/>
      <c r="D76" s="5"/>
    </row>
    <row r="77">
      <c r="C77" s="5"/>
      <c r="D77" s="5"/>
    </row>
    <row r="78">
      <c r="C78" s="5"/>
      <c r="D78" s="5"/>
    </row>
    <row r="79">
      <c r="C79" s="5"/>
      <c r="D79" s="5"/>
    </row>
    <row r="80">
      <c r="C80" s="5"/>
      <c r="D80" s="5"/>
    </row>
    <row r="81">
      <c r="C81" s="5"/>
      <c r="D81" s="5"/>
    </row>
    <row r="82">
      <c r="C82" s="5"/>
      <c r="D82" s="5"/>
    </row>
    <row r="83">
      <c r="C83" s="5"/>
      <c r="D83" s="5"/>
    </row>
    <row r="84">
      <c r="C84" s="5"/>
      <c r="D84" s="5"/>
    </row>
    <row r="85">
      <c r="C85" s="5"/>
      <c r="D85" s="5"/>
    </row>
    <row r="86">
      <c r="C86" s="5"/>
      <c r="D86" s="5"/>
    </row>
    <row r="87">
      <c r="C87" s="5"/>
      <c r="D87" s="5"/>
    </row>
    <row r="88">
      <c r="C88" s="5"/>
      <c r="D88" s="5"/>
    </row>
    <row r="89">
      <c r="C89" s="5"/>
      <c r="D89" s="5"/>
    </row>
    <row r="90">
      <c r="C90" s="5"/>
      <c r="D90" s="5"/>
    </row>
    <row r="91">
      <c r="C91" s="5"/>
      <c r="D91" s="5"/>
    </row>
    <row r="92">
      <c r="C92" s="5"/>
      <c r="D92" s="5"/>
    </row>
    <row r="93">
      <c r="C93" s="5"/>
      <c r="D93" s="5"/>
    </row>
    <row r="94">
      <c r="C94" s="5"/>
      <c r="D94" s="5"/>
    </row>
    <row r="95">
      <c r="C95" s="5"/>
      <c r="D95" s="5"/>
    </row>
    <row r="96">
      <c r="C96" s="5"/>
      <c r="D96" s="5"/>
    </row>
    <row r="97">
      <c r="C97" s="5"/>
      <c r="D97" s="5"/>
    </row>
    <row r="98">
      <c r="C98" s="5"/>
      <c r="D98" s="5"/>
    </row>
    <row r="99">
      <c r="C99" s="5"/>
      <c r="D99" s="5"/>
    </row>
    <row r="100">
      <c r="C100" s="5"/>
      <c r="D100" s="5"/>
    </row>
    <row r="101">
      <c r="C101" s="5"/>
      <c r="D101" s="5"/>
    </row>
    <row r="102">
      <c r="C102" s="5"/>
      <c r="D102" s="5"/>
    </row>
    <row r="103">
      <c r="C103" s="5"/>
      <c r="D103" s="5"/>
    </row>
    <row r="104">
      <c r="C104" s="5"/>
      <c r="D104" s="5"/>
    </row>
    <row r="105">
      <c r="C105" s="5"/>
      <c r="D105" s="5"/>
    </row>
    <row r="106">
      <c r="C106" s="5"/>
      <c r="D106" s="5"/>
    </row>
    <row r="107">
      <c r="C107" s="5"/>
      <c r="D107" s="5"/>
    </row>
    <row r="108">
      <c r="C108" s="5"/>
      <c r="D108" s="5"/>
    </row>
    <row r="109">
      <c r="C109" s="5"/>
      <c r="D109" s="5"/>
    </row>
    <row r="110">
      <c r="C110" s="5"/>
      <c r="D110" s="5"/>
    </row>
    <row r="111">
      <c r="C111" s="5"/>
      <c r="D111" s="5"/>
    </row>
    <row r="112">
      <c r="C112" s="5"/>
      <c r="D112" s="5"/>
    </row>
    <row r="113">
      <c r="C113" s="5"/>
      <c r="D113" s="5"/>
    </row>
    <row r="114">
      <c r="C114" s="5"/>
      <c r="D114" s="5"/>
    </row>
    <row r="115">
      <c r="C115" s="5"/>
      <c r="D115" s="5"/>
    </row>
    <row r="116">
      <c r="C116" s="5"/>
      <c r="D116" s="5"/>
    </row>
    <row r="117">
      <c r="C117" s="5"/>
      <c r="D117" s="5"/>
    </row>
    <row r="118">
      <c r="C118" s="5"/>
      <c r="D118" s="5"/>
    </row>
    <row r="119">
      <c r="C119" s="5"/>
      <c r="D119" s="5"/>
    </row>
    <row r="120">
      <c r="C120" s="5"/>
      <c r="D120" s="5"/>
    </row>
    <row r="121">
      <c r="C121" s="5"/>
      <c r="D121" s="5"/>
    </row>
    <row r="122">
      <c r="C122" s="5"/>
      <c r="D122" s="5"/>
    </row>
    <row r="123">
      <c r="C123" s="5"/>
      <c r="D123" s="5"/>
    </row>
    <row r="124">
      <c r="C124" s="5"/>
      <c r="D124" s="5"/>
    </row>
    <row r="125">
      <c r="C125" s="5"/>
      <c r="D125" s="5"/>
    </row>
    <row r="126">
      <c r="C126" s="5"/>
      <c r="D126" s="5"/>
    </row>
    <row r="127">
      <c r="C127" s="5"/>
      <c r="D127" s="5"/>
    </row>
    <row r="128">
      <c r="C128" s="5"/>
      <c r="D128" s="5"/>
    </row>
    <row r="129">
      <c r="C129" s="5"/>
      <c r="D129" s="5"/>
    </row>
    <row r="130">
      <c r="C130" s="5"/>
      <c r="D130" s="5"/>
    </row>
    <row r="131">
      <c r="C131" s="5"/>
      <c r="D131" s="5"/>
    </row>
    <row r="132">
      <c r="C132" s="5"/>
      <c r="D132" s="5"/>
    </row>
    <row r="133">
      <c r="C133" s="5"/>
      <c r="D133" s="5"/>
    </row>
    <row r="134">
      <c r="C134" s="5"/>
      <c r="D134" s="5"/>
    </row>
    <row r="135">
      <c r="C135" s="5"/>
      <c r="D135" s="5"/>
    </row>
    <row r="136">
      <c r="C136" s="5"/>
      <c r="D136" s="5"/>
    </row>
    <row r="137">
      <c r="C137" s="5"/>
      <c r="D137" s="5"/>
    </row>
    <row r="138">
      <c r="C138" s="5"/>
      <c r="D138" s="5"/>
    </row>
    <row r="139">
      <c r="C139" s="5"/>
      <c r="D139" s="5"/>
    </row>
    <row r="140">
      <c r="C140" s="5"/>
      <c r="D140" s="5"/>
    </row>
    <row r="141">
      <c r="C141" s="5"/>
      <c r="D141" s="5"/>
    </row>
    <row r="142">
      <c r="C142" s="5"/>
      <c r="D142" s="5"/>
    </row>
    <row r="143">
      <c r="C143" s="5"/>
      <c r="D143" s="5"/>
    </row>
    <row r="144">
      <c r="C144" s="5"/>
      <c r="D144" s="5"/>
    </row>
    <row r="145">
      <c r="C145" s="5"/>
      <c r="D145" s="5"/>
    </row>
    <row r="146">
      <c r="C146" s="5"/>
      <c r="D146" s="5"/>
    </row>
    <row r="147">
      <c r="C147" s="5"/>
      <c r="D147" s="5"/>
    </row>
    <row r="148">
      <c r="C148" s="5"/>
      <c r="D148" s="5"/>
    </row>
    <row r="149">
      <c r="C149" s="5"/>
      <c r="D149" s="5"/>
    </row>
    <row r="150">
      <c r="C150" s="5"/>
      <c r="D150" s="5"/>
    </row>
    <row r="151">
      <c r="C151" s="5"/>
      <c r="D151" s="5"/>
    </row>
    <row r="152">
      <c r="C152" s="5"/>
      <c r="D152" s="5"/>
    </row>
    <row r="153">
      <c r="C153" s="5"/>
      <c r="D153" s="5"/>
    </row>
    <row r="154">
      <c r="C154" s="5"/>
      <c r="D154" s="5"/>
    </row>
    <row r="155">
      <c r="C155" s="5"/>
      <c r="D155" s="5"/>
    </row>
    <row r="156">
      <c r="C156" s="5"/>
      <c r="D156" s="5"/>
    </row>
    <row r="157">
      <c r="C157" s="5"/>
      <c r="D157" s="5"/>
    </row>
    <row r="158">
      <c r="C158" s="5"/>
      <c r="D158" s="5"/>
    </row>
    <row r="159">
      <c r="C159" s="5"/>
      <c r="D159" s="5"/>
    </row>
    <row r="160">
      <c r="C160" s="5"/>
      <c r="D160" s="5"/>
    </row>
    <row r="161">
      <c r="C161" s="5"/>
      <c r="D161" s="5"/>
    </row>
    <row r="162">
      <c r="C162" s="5"/>
      <c r="D162" s="5"/>
    </row>
    <row r="163">
      <c r="C163" s="5"/>
      <c r="D163" s="5"/>
    </row>
    <row r="164">
      <c r="C164" s="5"/>
      <c r="D164" s="5"/>
    </row>
    <row r="165">
      <c r="C165" s="5"/>
      <c r="D165" s="5"/>
    </row>
    <row r="166">
      <c r="C166" s="5"/>
      <c r="D166" s="5"/>
    </row>
    <row r="167">
      <c r="C167" s="5"/>
      <c r="D167" s="5"/>
    </row>
    <row r="168">
      <c r="C168" s="5"/>
      <c r="D168" s="5"/>
    </row>
    <row r="169">
      <c r="C169" s="5"/>
      <c r="D169" s="5"/>
    </row>
    <row r="170">
      <c r="C170" s="5"/>
      <c r="D170" s="5"/>
    </row>
    <row r="171">
      <c r="C171" s="5"/>
      <c r="D171" s="5"/>
    </row>
    <row r="172">
      <c r="C172" s="5"/>
      <c r="D172" s="5"/>
    </row>
    <row r="173">
      <c r="C173" s="5"/>
      <c r="D173" s="5"/>
    </row>
    <row r="174">
      <c r="C174" s="5"/>
      <c r="D174" s="5"/>
    </row>
    <row r="175">
      <c r="C175" s="5"/>
      <c r="D175" s="5"/>
    </row>
    <row r="176">
      <c r="C176" s="5"/>
      <c r="D176" s="5"/>
    </row>
    <row r="177">
      <c r="C177" s="5"/>
      <c r="D177" s="5"/>
    </row>
    <row r="178">
      <c r="C178" s="5"/>
      <c r="D178" s="5"/>
    </row>
    <row r="179">
      <c r="C179" s="5"/>
      <c r="D179" s="5"/>
    </row>
    <row r="180">
      <c r="C180" s="5"/>
      <c r="D180" s="5"/>
    </row>
    <row r="181">
      <c r="C181" s="5"/>
      <c r="D181" s="5"/>
    </row>
    <row r="182">
      <c r="C182" s="5"/>
      <c r="D182" s="5"/>
    </row>
    <row r="183">
      <c r="C183" s="5"/>
      <c r="D183" s="5"/>
    </row>
    <row r="184">
      <c r="C184" s="5"/>
      <c r="D184" s="5"/>
    </row>
    <row r="185">
      <c r="C185" s="5"/>
      <c r="D185" s="5"/>
    </row>
    <row r="186">
      <c r="C186" s="5"/>
      <c r="D186" s="5"/>
    </row>
    <row r="187">
      <c r="C187" s="5"/>
      <c r="D187" s="5"/>
    </row>
    <row r="188">
      <c r="C188" s="5"/>
      <c r="D188" s="5"/>
    </row>
    <row r="189">
      <c r="C189" s="5"/>
      <c r="D189" s="5"/>
    </row>
    <row r="190">
      <c r="C190" s="5"/>
      <c r="D190" s="5"/>
    </row>
    <row r="191">
      <c r="C191" s="5"/>
      <c r="D191" s="5"/>
    </row>
    <row r="192">
      <c r="C192" s="5"/>
      <c r="D192" s="5"/>
    </row>
    <row r="193">
      <c r="C193" s="5"/>
      <c r="D193" s="5"/>
    </row>
    <row r="194">
      <c r="C194" s="5"/>
      <c r="D194" s="5"/>
    </row>
    <row r="195">
      <c r="C195" s="5"/>
      <c r="D195" s="5"/>
    </row>
    <row r="196">
      <c r="C196" s="5"/>
      <c r="D196" s="5"/>
    </row>
    <row r="197">
      <c r="C197" s="5"/>
      <c r="D197" s="5"/>
    </row>
    <row r="198">
      <c r="C198" s="5"/>
      <c r="D198" s="5"/>
    </row>
    <row r="199">
      <c r="C199" s="5"/>
      <c r="D199" s="5"/>
    </row>
    <row r="200">
      <c r="C200" s="5"/>
      <c r="D200" s="5"/>
    </row>
    <row r="201">
      <c r="C201" s="5"/>
      <c r="D201" s="5"/>
    </row>
    <row r="202">
      <c r="C202" s="5"/>
      <c r="D202" s="5"/>
    </row>
    <row r="203">
      <c r="C203" s="5"/>
      <c r="D203" s="5"/>
    </row>
    <row r="204">
      <c r="C204" s="5"/>
      <c r="D204" s="5"/>
    </row>
    <row r="205">
      <c r="C205" s="5"/>
      <c r="D205" s="5"/>
    </row>
    <row r="206">
      <c r="C206" s="5"/>
      <c r="D206" s="5"/>
    </row>
    <row r="207">
      <c r="C207" s="5"/>
      <c r="D207" s="5"/>
    </row>
    <row r="208">
      <c r="C208" s="5"/>
      <c r="D208" s="5"/>
    </row>
    <row r="209">
      <c r="C209" s="5"/>
      <c r="D209" s="5"/>
    </row>
    <row r="210">
      <c r="C210" s="5"/>
      <c r="D210" s="5"/>
    </row>
    <row r="211">
      <c r="C211" s="5"/>
      <c r="D211" s="5"/>
    </row>
    <row r="212">
      <c r="C212" s="5"/>
      <c r="D212" s="5"/>
    </row>
    <row r="213">
      <c r="C213" s="5"/>
      <c r="D213" s="5"/>
    </row>
    <row r="214">
      <c r="C214" s="5"/>
      <c r="D214" s="5"/>
    </row>
    <row r="215">
      <c r="C215" s="5"/>
      <c r="D215" s="5"/>
    </row>
    <row r="216">
      <c r="C216" s="5"/>
      <c r="D216" s="5"/>
    </row>
    <row r="217">
      <c r="C217" s="5"/>
      <c r="D217" s="5"/>
    </row>
    <row r="218">
      <c r="C218" s="5"/>
      <c r="D218" s="5"/>
    </row>
    <row r="219">
      <c r="C219" s="5"/>
      <c r="D219" s="5"/>
    </row>
    <row r="220">
      <c r="C220" s="5"/>
      <c r="D220" s="5"/>
    </row>
    <row r="221">
      <c r="C221" s="5"/>
      <c r="D221" s="5"/>
    </row>
    <row r="222">
      <c r="C222" s="5"/>
      <c r="D222" s="5"/>
    </row>
    <row r="223">
      <c r="C223" s="5"/>
      <c r="D223" s="5"/>
    </row>
    <row r="224">
      <c r="C224" s="5"/>
      <c r="D224" s="5"/>
    </row>
    <row r="225">
      <c r="C225" s="5"/>
      <c r="D225" s="5"/>
    </row>
    <row r="226">
      <c r="C226" s="5"/>
      <c r="D226" s="5"/>
    </row>
    <row r="227">
      <c r="C227" s="5"/>
      <c r="D227" s="5"/>
    </row>
    <row r="228">
      <c r="C228" s="5"/>
      <c r="D228" s="5"/>
    </row>
    <row r="229">
      <c r="C229" s="5"/>
      <c r="D229" s="5"/>
    </row>
    <row r="230">
      <c r="C230" s="5"/>
      <c r="D230" s="5"/>
    </row>
    <row r="231">
      <c r="C231" s="5"/>
      <c r="D231" s="5"/>
    </row>
    <row r="232">
      <c r="C232" s="5"/>
      <c r="D232" s="5"/>
    </row>
    <row r="233">
      <c r="C233" s="5"/>
      <c r="D233" s="5"/>
    </row>
    <row r="234">
      <c r="C234" s="5"/>
      <c r="D234" s="5"/>
    </row>
    <row r="235">
      <c r="C235" s="5"/>
      <c r="D235" s="5"/>
    </row>
    <row r="236">
      <c r="C236" s="5"/>
      <c r="D236" s="5"/>
    </row>
    <row r="237">
      <c r="C237" s="5"/>
      <c r="D237" s="5"/>
    </row>
    <row r="238">
      <c r="C238" s="5"/>
      <c r="D238" s="5"/>
    </row>
    <row r="239">
      <c r="C239" s="5"/>
      <c r="D239" s="5"/>
    </row>
    <row r="240">
      <c r="C240" s="5"/>
      <c r="D240" s="5"/>
    </row>
    <row r="241">
      <c r="C241" s="5"/>
      <c r="D241" s="5"/>
    </row>
    <row r="242">
      <c r="C242" s="5"/>
      <c r="D242" s="5"/>
    </row>
    <row r="243">
      <c r="C243" s="5"/>
      <c r="D243" s="5"/>
    </row>
    <row r="244">
      <c r="C244" s="5"/>
      <c r="D244" s="5"/>
    </row>
    <row r="245">
      <c r="C245" s="5"/>
      <c r="D245" s="5"/>
    </row>
    <row r="246">
      <c r="C246" s="5"/>
      <c r="D246" s="5"/>
    </row>
    <row r="247">
      <c r="C247" s="5"/>
      <c r="D247" s="5"/>
    </row>
    <row r="248">
      <c r="C248" s="5"/>
      <c r="D248" s="5"/>
    </row>
    <row r="249">
      <c r="C249" s="5"/>
      <c r="D249" s="5"/>
    </row>
    <row r="250">
      <c r="C250" s="5"/>
      <c r="D250" s="5"/>
    </row>
    <row r="251">
      <c r="C251" s="5"/>
      <c r="D251" s="5"/>
    </row>
    <row r="252">
      <c r="C252" s="5"/>
      <c r="D252" s="5"/>
    </row>
    <row r="253">
      <c r="C253" s="5"/>
      <c r="D253" s="5"/>
    </row>
    <row r="254">
      <c r="C254" s="5"/>
      <c r="D254" s="5"/>
    </row>
    <row r="255">
      <c r="C255" s="5"/>
      <c r="D255" s="5"/>
    </row>
    <row r="256">
      <c r="C256" s="5"/>
      <c r="D256" s="5"/>
    </row>
    <row r="257">
      <c r="C257" s="5"/>
      <c r="D257" s="5"/>
    </row>
    <row r="258">
      <c r="C258" s="5"/>
      <c r="D258" s="5"/>
    </row>
    <row r="259">
      <c r="C259" s="5"/>
      <c r="D259" s="5"/>
    </row>
    <row r="260">
      <c r="C260" s="5"/>
      <c r="D260" s="5"/>
    </row>
    <row r="261">
      <c r="C261" s="5"/>
      <c r="D261" s="5"/>
    </row>
    <row r="262">
      <c r="C262" s="5"/>
      <c r="D262" s="5"/>
    </row>
    <row r="263">
      <c r="C263" s="5"/>
      <c r="D263" s="5"/>
    </row>
    <row r="264">
      <c r="C264" s="5"/>
      <c r="D264" s="5"/>
    </row>
    <row r="265">
      <c r="C265" s="5"/>
      <c r="D265" s="5"/>
    </row>
    <row r="266">
      <c r="C266" s="5"/>
      <c r="D266" s="5"/>
    </row>
    <row r="267">
      <c r="C267" s="5"/>
      <c r="D267" s="5"/>
    </row>
    <row r="268">
      <c r="C268" s="5"/>
      <c r="D268" s="5"/>
    </row>
    <row r="269">
      <c r="C269" s="5"/>
      <c r="D269" s="5"/>
    </row>
    <row r="270">
      <c r="C270" s="5"/>
      <c r="D270" s="5"/>
    </row>
    <row r="271">
      <c r="C271" s="5"/>
      <c r="D271" s="5"/>
    </row>
    <row r="272">
      <c r="C272" s="5"/>
      <c r="D272" s="5"/>
    </row>
    <row r="273">
      <c r="C273" s="5"/>
      <c r="D273" s="5"/>
    </row>
    <row r="274">
      <c r="C274" s="5"/>
      <c r="D274" s="5"/>
    </row>
    <row r="275">
      <c r="C275" s="5"/>
      <c r="D275" s="5"/>
    </row>
    <row r="276">
      <c r="C276" s="5"/>
      <c r="D276" s="5"/>
    </row>
    <row r="277">
      <c r="C277" s="5"/>
      <c r="D277" s="5"/>
    </row>
    <row r="278">
      <c r="C278" s="5"/>
      <c r="D278" s="5"/>
    </row>
    <row r="279">
      <c r="C279" s="5"/>
      <c r="D279" s="5"/>
    </row>
    <row r="280">
      <c r="C280" s="5"/>
      <c r="D280" s="5"/>
    </row>
    <row r="281">
      <c r="C281" s="5"/>
      <c r="D281" s="5"/>
    </row>
    <row r="282">
      <c r="C282" s="5"/>
      <c r="D282" s="5"/>
    </row>
    <row r="283">
      <c r="C283" s="5"/>
      <c r="D283" s="5"/>
    </row>
    <row r="284">
      <c r="C284" s="5"/>
      <c r="D284" s="5"/>
    </row>
    <row r="285">
      <c r="C285" s="5"/>
      <c r="D285" s="5"/>
    </row>
    <row r="286">
      <c r="C286" s="5"/>
      <c r="D286" s="5"/>
    </row>
    <row r="287">
      <c r="C287" s="5"/>
      <c r="D287" s="5"/>
    </row>
    <row r="288">
      <c r="C288" s="5"/>
      <c r="D288" s="5"/>
    </row>
    <row r="289">
      <c r="C289" s="5"/>
      <c r="D289" s="5"/>
    </row>
    <row r="290">
      <c r="C290" s="5"/>
      <c r="D290" s="5"/>
    </row>
    <row r="291">
      <c r="C291" s="5"/>
      <c r="D291" s="5"/>
    </row>
    <row r="292">
      <c r="C292" s="5"/>
      <c r="D292" s="5"/>
    </row>
    <row r="293">
      <c r="C293" s="5"/>
      <c r="D293" s="5"/>
    </row>
    <row r="294">
      <c r="C294" s="5"/>
      <c r="D294" s="5"/>
    </row>
    <row r="295">
      <c r="C295" s="5"/>
      <c r="D295" s="5"/>
    </row>
    <row r="296">
      <c r="C296" s="5"/>
      <c r="D296" s="5"/>
    </row>
    <row r="297">
      <c r="C297" s="5"/>
      <c r="D297" s="5"/>
    </row>
    <row r="298">
      <c r="C298" s="5"/>
      <c r="D298" s="5"/>
    </row>
    <row r="299">
      <c r="C299" s="5"/>
      <c r="D299" s="5"/>
    </row>
    <row r="300">
      <c r="C300" s="5"/>
      <c r="D300" s="5"/>
    </row>
    <row r="301">
      <c r="C301" s="5"/>
      <c r="D301" s="5"/>
    </row>
    <row r="302">
      <c r="C302" s="5"/>
      <c r="D302" s="5"/>
    </row>
    <row r="303">
      <c r="C303" s="5"/>
      <c r="D303" s="5"/>
    </row>
    <row r="304">
      <c r="C304" s="5"/>
      <c r="D304" s="5"/>
    </row>
    <row r="305">
      <c r="C305" s="5"/>
      <c r="D305" s="5"/>
    </row>
    <row r="306">
      <c r="C306" s="5"/>
      <c r="D306" s="5"/>
    </row>
    <row r="307">
      <c r="C307" s="5"/>
      <c r="D307" s="5"/>
    </row>
    <row r="308">
      <c r="C308" s="5"/>
      <c r="D308" s="5"/>
    </row>
    <row r="309">
      <c r="C309" s="5"/>
      <c r="D309" s="5"/>
    </row>
    <row r="310">
      <c r="C310" s="5"/>
      <c r="D310" s="5"/>
    </row>
    <row r="311">
      <c r="C311" s="5"/>
      <c r="D311" s="5"/>
    </row>
    <row r="312">
      <c r="C312" s="5"/>
      <c r="D312" s="5"/>
    </row>
    <row r="313">
      <c r="C313" s="5"/>
      <c r="D313" s="5"/>
    </row>
    <row r="314">
      <c r="C314" s="5"/>
      <c r="D314" s="5"/>
    </row>
    <row r="315">
      <c r="C315" s="5"/>
      <c r="D315" s="5"/>
    </row>
    <row r="316">
      <c r="C316" s="5"/>
      <c r="D316" s="5"/>
    </row>
    <row r="317">
      <c r="C317" s="5"/>
      <c r="D317" s="5"/>
    </row>
    <row r="318">
      <c r="C318" s="5"/>
      <c r="D318" s="5"/>
    </row>
    <row r="319">
      <c r="C319" s="5"/>
      <c r="D319" s="5"/>
    </row>
    <row r="320">
      <c r="C320" s="5"/>
      <c r="D320" s="5"/>
    </row>
    <row r="321">
      <c r="C321" s="5"/>
      <c r="D321" s="5"/>
    </row>
    <row r="322">
      <c r="C322" s="5"/>
      <c r="D322" s="5"/>
    </row>
    <row r="323">
      <c r="C323" s="5"/>
      <c r="D323" s="5"/>
    </row>
    <row r="324">
      <c r="C324" s="5"/>
      <c r="D324" s="5"/>
    </row>
    <row r="325">
      <c r="C325" s="5"/>
      <c r="D325" s="5"/>
    </row>
    <row r="326">
      <c r="C326" s="5"/>
      <c r="D326" s="5"/>
    </row>
    <row r="327">
      <c r="C327" s="5"/>
      <c r="D327" s="5"/>
    </row>
    <row r="328">
      <c r="C328" s="5"/>
      <c r="D328" s="5"/>
    </row>
    <row r="329">
      <c r="C329" s="5"/>
      <c r="D329" s="5"/>
    </row>
    <row r="330">
      <c r="C330" s="5"/>
      <c r="D330" s="5"/>
    </row>
    <row r="331">
      <c r="C331" s="5"/>
      <c r="D331" s="5"/>
    </row>
    <row r="332">
      <c r="C332" s="5"/>
      <c r="D332" s="5"/>
    </row>
    <row r="333">
      <c r="C333" s="5"/>
      <c r="D333" s="5"/>
    </row>
    <row r="334">
      <c r="C334" s="5"/>
      <c r="D334" s="5"/>
    </row>
    <row r="335">
      <c r="C335" s="5"/>
      <c r="D335" s="5"/>
    </row>
    <row r="336">
      <c r="C336" s="5"/>
      <c r="D336" s="5"/>
    </row>
    <row r="337">
      <c r="C337" s="5"/>
      <c r="D337" s="5"/>
    </row>
    <row r="338">
      <c r="C338" s="5"/>
      <c r="D338" s="5"/>
    </row>
    <row r="339">
      <c r="C339" s="5"/>
      <c r="D339" s="5"/>
    </row>
    <row r="340">
      <c r="C340" s="5"/>
      <c r="D340" s="5"/>
    </row>
    <row r="341">
      <c r="C341" s="5"/>
      <c r="D341" s="5"/>
    </row>
    <row r="342">
      <c r="C342" s="5"/>
      <c r="D342" s="5"/>
    </row>
    <row r="343">
      <c r="C343" s="5"/>
      <c r="D343" s="5"/>
    </row>
    <row r="344">
      <c r="C344" s="5"/>
      <c r="D344" s="5"/>
    </row>
    <row r="345">
      <c r="C345" s="5"/>
      <c r="D345" s="5"/>
    </row>
    <row r="346">
      <c r="C346" s="5"/>
      <c r="D346" s="5"/>
    </row>
    <row r="347">
      <c r="C347" s="5"/>
      <c r="D347" s="5"/>
    </row>
    <row r="348">
      <c r="C348" s="5"/>
      <c r="D348" s="5"/>
    </row>
    <row r="349">
      <c r="C349" s="5"/>
      <c r="D349" s="5"/>
    </row>
    <row r="350">
      <c r="C350" s="5"/>
      <c r="D350" s="5"/>
    </row>
    <row r="351">
      <c r="C351" s="5"/>
      <c r="D351" s="5"/>
    </row>
    <row r="352">
      <c r="C352" s="5"/>
      <c r="D352" s="5"/>
    </row>
    <row r="353">
      <c r="C353" s="5"/>
      <c r="D353" s="5"/>
    </row>
    <row r="354">
      <c r="C354" s="5"/>
      <c r="D354" s="5"/>
    </row>
    <row r="355">
      <c r="C355" s="5"/>
      <c r="D355" s="5"/>
    </row>
    <row r="356">
      <c r="C356" s="5"/>
      <c r="D356" s="5"/>
    </row>
    <row r="357">
      <c r="C357" s="5"/>
      <c r="D357" s="5"/>
    </row>
    <row r="358">
      <c r="C358" s="5"/>
      <c r="D358" s="5"/>
    </row>
    <row r="359">
      <c r="C359" s="5"/>
      <c r="D359" s="5"/>
    </row>
    <row r="360">
      <c r="C360" s="5"/>
      <c r="D360" s="5"/>
    </row>
    <row r="361">
      <c r="C361" s="5"/>
      <c r="D361" s="5"/>
    </row>
    <row r="362">
      <c r="C362" s="5"/>
      <c r="D362" s="5"/>
    </row>
    <row r="363">
      <c r="C363" s="5"/>
      <c r="D363" s="5"/>
    </row>
    <row r="364">
      <c r="C364" s="5"/>
      <c r="D364" s="5"/>
    </row>
    <row r="365">
      <c r="C365" s="5"/>
      <c r="D365" s="5"/>
    </row>
    <row r="366">
      <c r="C366" s="5"/>
      <c r="D366" s="5"/>
    </row>
    <row r="367">
      <c r="C367" s="5"/>
      <c r="D367" s="5"/>
    </row>
    <row r="368">
      <c r="C368" s="5"/>
      <c r="D368" s="5"/>
    </row>
    <row r="369">
      <c r="C369" s="5"/>
      <c r="D369" s="5"/>
    </row>
    <row r="370">
      <c r="C370" s="5"/>
      <c r="D370" s="5"/>
    </row>
    <row r="371">
      <c r="C371" s="5"/>
      <c r="D371" s="5"/>
    </row>
    <row r="372">
      <c r="C372" s="5"/>
      <c r="D372" s="5"/>
    </row>
    <row r="373">
      <c r="C373" s="5"/>
      <c r="D373" s="5"/>
    </row>
    <row r="374">
      <c r="C374" s="5"/>
      <c r="D374" s="5"/>
    </row>
    <row r="375">
      <c r="C375" s="5"/>
      <c r="D375" s="5"/>
    </row>
    <row r="376">
      <c r="C376" s="5"/>
      <c r="D376" s="5"/>
    </row>
    <row r="377">
      <c r="C377" s="5"/>
      <c r="D377" s="5"/>
    </row>
    <row r="378">
      <c r="C378" s="5"/>
      <c r="D378" s="5"/>
    </row>
    <row r="379">
      <c r="C379" s="5"/>
      <c r="D379" s="5"/>
    </row>
    <row r="380">
      <c r="C380" s="5"/>
      <c r="D380" s="5"/>
    </row>
    <row r="381">
      <c r="C381" s="5"/>
      <c r="D381" s="5"/>
    </row>
    <row r="382">
      <c r="C382" s="5"/>
      <c r="D382" s="5"/>
    </row>
    <row r="383">
      <c r="C383" s="5"/>
      <c r="D383" s="5"/>
    </row>
    <row r="384">
      <c r="C384" s="5"/>
      <c r="D384" s="5"/>
    </row>
    <row r="385">
      <c r="C385" s="5"/>
      <c r="D385" s="5"/>
    </row>
    <row r="386">
      <c r="C386" s="5"/>
      <c r="D386" s="5"/>
    </row>
    <row r="387">
      <c r="C387" s="5"/>
      <c r="D387" s="5"/>
    </row>
    <row r="388">
      <c r="C388" s="5"/>
      <c r="D388" s="5"/>
    </row>
    <row r="389">
      <c r="C389" s="5"/>
      <c r="D389" s="5"/>
    </row>
    <row r="390">
      <c r="C390" s="5"/>
      <c r="D390" s="5"/>
    </row>
    <row r="391">
      <c r="C391" s="5"/>
      <c r="D391" s="5"/>
    </row>
    <row r="392">
      <c r="C392" s="5"/>
      <c r="D392" s="5"/>
    </row>
    <row r="393">
      <c r="C393" s="5"/>
      <c r="D393" s="5"/>
    </row>
    <row r="394">
      <c r="C394" s="5"/>
      <c r="D394" s="5"/>
    </row>
    <row r="395">
      <c r="C395" s="5"/>
      <c r="D395" s="5"/>
    </row>
    <row r="396">
      <c r="C396" s="5"/>
      <c r="D396" s="5"/>
    </row>
    <row r="397">
      <c r="C397" s="5"/>
      <c r="D397" s="5"/>
    </row>
    <row r="398">
      <c r="C398" s="5"/>
      <c r="D398" s="5"/>
    </row>
    <row r="399">
      <c r="C399" s="5"/>
      <c r="D399" s="5"/>
    </row>
    <row r="400">
      <c r="C400" s="5"/>
      <c r="D400" s="5"/>
    </row>
    <row r="401">
      <c r="C401" s="5"/>
      <c r="D401" s="5"/>
    </row>
    <row r="402">
      <c r="C402" s="5"/>
      <c r="D402" s="5"/>
    </row>
    <row r="403">
      <c r="C403" s="5"/>
      <c r="D403" s="5"/>
    </row>
    <row r="404">
      <c r="C404" s="5"/>
      <c r="D404" s="5"/>
    </row>
    <row r="405">
      <c r="C405" s="5"/>
      <c r="D405" s="5"/>
    </row>
    <row r="406">
      <c r="C406" s="5"/>
      <c r="D406" s="5"/>
    </row>
    <row r="407">
      <c r="C407" s="5"/>
      <c r="D407" s="5"/>
    </row>
    <row r="408">
      <c r="C408" s="5"/>
      <c r="D408" s="5"/>
    </row>
    <row r="409">
      <c r="C409" s="5"/>
      <c r="D409" s="5"/>
    </row>
    <row r="410">
      <c r="C410" s="5"/>
      <c r="D410" s="5"/>
    </row>
    <row r="411">
      <c r="C411" s="5"/>
      <c r="D411" s="5"/>
    </row>
    <row r="412">
      <c r="C412" s="5"/>
      <c r="D412" s="5"/>
    </row>
    <row r="413">
      <c r="C413" s="5"/>
      <c r="D413" s="5"/>
    </row>
    <row r="414">
      <c r="C414" s="5"/>
      <c r="D414" s="5"/>
    </row>
    <row r="415">
      <c r="C415" s="5"/>
      <c r="D415" s="5"/>
    </row>
    <row r="416">
      <c r="C416" s="5"/>
      <c r="D416" s="5"/>
    </row>
    <row r="417">
      <c r="C417" s="5"/>
      <c r="D417" s="5"/>
    </row>
    <row r="418">
      <c r="C418" s="5"/>
      <c r="D418" s="5"/>
    </row>
    <row r="419">
      <c r="C419" s="5"/>
      <c r="D419" s="5"/>
    </row>
    <row r="420">
      <c r="C420" s="5"/>
      <c r="D420" s="5"/>
    </row>
    <row r="421">
      <c r="C421" s="5"/>
      <c r="D421" s="5"/>
    </row>
    <row r="422">
      <c r="C422" s="5"/>
      <c r="D422" s="5"/>
    </row>
    <row r="423">
      <c r="C423" s="5"/>
      <c r="D423" s="5"/>
    </row>
    <row r="424">
      <c r="C424" s="5"/>
      <c r="D424" s="5"/>
    </row>
    <row r="425">
      <c r="C425" s="5"/>
      <c r="D425" s="5"/>
    </row>
    <row r="426">
      <c r="C426" s="5"/>
      <c r="D426" s="5"/>
    </row>
    <row r="427">
      <c r="C427" s="5"/>
      <c r="D427" s="5"/>
    </row>
    <row r="428">
      <c r="C428" s="5"/>
      <c r="D428" s="5"/>
    </row>
    <row r="429">
      <c r="C429" s="5"/>
      <c r="D429" s="5"/>
    </row>
    <row r="430">
      <c r="C430" s="5"/>
      <c r="D430" s="5"/>
    </row>
    <row r="431">
      <c r="C431" s="5"/>
      <c r="D431" s="5"/>
    </row>
    <row r="432">
      <c r="C432" s="5"/>
      <c r="D432" s="5"/>
    </row>
    <row r="433">
      <c r="C433" s="5"/>
      <c r="D433" s="5"/>
    </row>
    <row r="434">
      <c r="C434" s="5"/>
      <c r="D434" s="5"/>
    </row>
    <row r="435">
      <c r="C435" s="5"/>
      <c r="D435" s="5"/>
    </row>
    <row r="436">
      <c r="C436" s="5"/>
      <c r="D436" s="5"/>
    </row>
    <row r="437">
      <c r="C437" s="5"/>
      <c r="D437" s="5"/>
    </row>
    <row r="438">
      <c r="C438" s="5"/>
      <c r="D438" s="5"/>
    </row>
    <row r="439">
      <c r="C439" s="5"/>
      <c r="D439" s="5"/>
    </row>
    <row r="440">
      <c r="C440" s="5"/>
      <c r="D440" s="5"/>
    </row>
    <row r="441">
      <c r="C441" s="5"/>
      <c r="D441" s="5"/>
    </row>
    <row r="442">
      <c r="C442" s="5"/>
      <c r="D442" s="5"/>
    </row>
    <row r="443">
      <c r="C443" s="5"/>
      <c r="D443" s="5"/>
    </row>
    <row r="444">
      <c r="C444" s="5"/>
      <c r="D444" s="5"/>
    </row>
    <row r="445">
      <c r="C445" s="5"/>
      <c r="D445" s="5"/>
    </row>
    <row r="446">
      <c r="C446" s="5"/>
      <c r="D446" s="5"/>
    </row>
    <row r="447">
      <c r="C447" s="5"/>
      <c r="D447" s="5"/>
    </row>
    <row r="448">
      <c r="C448" s="5"/>
      <c r="D448" s="5"/>
    </row>
    <row r="449">
      <c r="C449" s="5"/>
      <c r="D449" s="5"/>
    </row>
    <row r="450">
      <c r="C450" s="5"/>
      <c r="D450" s="5"/>
    </row>
    <row r="451">
      <c r="C451" s="5"/>
      <c r="D451" s="5"/>
    </row>
    <row r="452">
      <c r="C452" s="5"/>
      <c r="D452" s="5"/>
    </row>
    <row r="453">
      <c r="C453" s="5"/>
      <c r="D453" s="5"/>
    </row>
    <row r="454">
      <c r="C454" s="5"/>
      <c r="D454" s="5"/>
    </row>
    <row r="455">
      <c r="C455" s="5"/>
      <c r="D455" s="5"/>
    </row>
    <row r="456">
      <c r="C456" s="5"/>
      <c r="D456" s="5"/>
    </row>
    <row r="457">
      <c r="C457" s="5"/>
      <c r="D457" s="5"/>
    </row>
    <row r="458">
      <c r="C458" s="5"/>
      <c r="D458" s="5"/>
    </row>
    <row r="459">
      <c r="C459" s="5"/>
      <c r="D459" s="5"/>
    </row>
    <row r="460">
      <c r="C460" s="5"/>
      <c r="D460" s="5"/>
    </row>
    <row r="461">
      <c r="C461" s="5"/>
      <c r="D461" s="5"/>
    </row>
    <row r="462">
      <c r="C462" s="5"/>
      <c r="D462" s="5"/>
    </row>
    <row r="463">
      <c r="C463" s="5"/>
      <c r="D463" s="5"/>
    </row>
    <row r="464">
      <c r="C464" s="5"/>
      <c r="D464" s="5"/>
    </row>
    <row r="465">
      <c r="C465" s="5"/>
      <c r="D465" s="5"/>
    </row>
    <row r="466">
      <c r="C466" s="5"/>
      <c r="D466" s="5"/>
    </row>
    <row r="467">
      <c r="C467" s="5"/>
      <c r="D467" s="5"/>
    </row>
    <row r="468">
      <c r="C468" s="5"/>
      <c r="D468" s="5"/>
    </row>
    <row r="469">
      <c r="C469" s="5"/>
      <c r="D469" s="5"/>
    </row>
    <row r="470">
      <c r="C470" s="5"/>
      <c r="D470" s="5"/>
    </row>
    <row r="471">
      <c r="C471" s="5"/>
      <c r="D471" s="5"/>
    </row>
    <row r="472">
      <c r="C472" s="5"/>
      <c r="D472" s="5"/>
    </row>
    <row r="473">
      <c r="C473" s="5"/>
      <c r="D473" s="5"/>
    </row>
    <row r="474">
      <c r="C474" s="5"/>
      <c r="D474" s="5"/>
    </row>
    <row r="475">
      <c r="C475" s="5"/>
      <c r="D475" s="5"/>
    </row>
    <row r="476">
      <c r="C476" s="5"/>
      <c r="D476" s="5"/>
    </row>
    <row r="477">
      <c r="C477" s="5"/>
      <c r="D477" s="5"/>
    </row>
    <row r="478">
      <c r="C478" s="5"/>
      <c r="D478" s="5"/>
    </row>
    <row r="479">
      <c r="C479" s="5"/>
      <c r="D479" s="5"/>
    </row>
    <row r="480">
      <c r="C480" s="5"/>
      <c r="D480" s="5"/>
    </row>
    <row r="481">
      <c r="C481" s="5"/>
      <c r="D481" s="5"/>
    </row>
    <row r="482">
      <c r="C482" s="5"/>
      <c r="D482" s="5"/>
    </row>
    <row r="483">
      <c r="C483" s="5"/>
      <c r="D483" s="5"/>
    </row>
    <row r="484">
      <c r="C484" s="5"/>
      <c r="D484" s="5"/>
    </row>
    <row r="485">
      <c r="C485" s="5"/>
      <c r="D485" s="5"/>
    </row>
    <row r="486">
      <c r="C486" s="5"/>
      <c r="D486" s="5"/>
    </row>
    <row r="487">
      <c r="C487" s="5"/>
      <c r="D487" s="5"/>
    </row>
    <row r="488">
      <c r="C488" s="5"/>
      <c r="D488" s="5"/>
    </row>
    <row r="489">
      <c r="C489" s="5"/>
      <c r="D489" s="5"/>
    </row>
    <row r="490">
      <c r="C490" s="5"/>
      <c r="D490" s="5"/>
    </row>
    <row r="491">
      <c r="C491" s="5"/>
      <c r="D491" s="5"/>
    </row>
    <row r="492">
      <c r="C492" s="5"/>
      <c r="D492" s="5"/>
    </row>
    <row r="493">
      <c r="C493" s="5"/>
      <c r="D493" s="5"/>
    </row>
    <row r="494">
      <c r="C494" s="5"/>
      <c r="D494" s="5"/>
    </row>
    <row r="495">
      <c r="C495" s="5"/>
      <c r="D495" s="5"/>
    </row>
    <row r="496">
      <c r="C496" s="5"/>
      <c r="D496" s="5"/>
    </row>
    <row r="497">
      <c r="C497" s="5"/>
      <c r="D497" s="5"/>
    </row>
    <row r="498">
      <c r="C498" s="5"/>
      <c r="D498" s="5"/>
    </row>
    <row r="499">
      <c r="C499" s="5"/>
      <c r="D499" s="5"/>
    </row>
    <row r="500">
      <c r="C500" s="5"/>
      <c r="D500" s="5"/>
    </row>
    <row r="501">
      <c r="C501" s="5"/>
      <c r="D501" s="5"/>
    </row>
    <row r="502">
      <c r="C502" s="5"/>
      <c r="D502" s="5"/>
    </row>
    <row r="503">
      <c r="C503" s="5"/>
      <c r="D503" s="5"/>
    </row>
    <row r="504">
      <c r="C504" s="5"/>
      <c r="D504" s="5"/>
    </row>
    <row r="505">
      <c r="C505" s="5"/>
      <c r="D505" s="5"/>
    </row>
    <row r="506">
      <c r="C506" s="5"/>
      <c r="D506" s="5"/>
    </row>
    <row r="507">
      <c r="C507" s="5"/>
      <c r="D507" s="5"/>
    </row>
    <row r="508">
      <c r="C508" s="5"/>
      <c r="D508" s="5"/>
    </row>
    <row r="509">
      <c r="C509" s="5"/>
      <c r="D509" s="5"/>
    </row>
    <row r="510">
      <c r="C510" s="5"/>
      <c r="D510" s="5"/>
    </row>
    <row r="511">
      <c r="C511" s="5"/>
      <c r="D511" s="5"/>
    </row>
    <row r="512">
      <c r="C512" s="5"/>
      <c r="D512" s="5"/>
    </row>
    <row r="513">
      <c r="C513" s="5"/>
      <c r="D513" s="5"/>
    </row>
    <row r="514">
      <c r="C514" s="5"/>
      <c r="D514" s="5"/>
    </row>
    <row r="515">
      <c r="C515" s="5"/>
      <c r="D515" s="5"/>
    </row>
    <row r="516">
      <c r="C516" s="5"/>
      <c r="D516" s="5"/>
    </row>
    <row r="517">
      <c r="C517" s="5"/>
      <c r="D517" s="5"/>
    </row>
    <row r="518">
      <c r="C518" s="5"/>
      <c r="D518" s="5"/>
    </row>
    <row r="519">
      <c r="C519" s="5"/>
      <c r="D519" s="5"/>
    </row>
    <row r="520">
      <c r="C520" s="5"/>
      <c r="D520" s="5"/>
    </row>
    <row r="521">
      <c r="C521" s="5"/>
      <c r="D521" s="5"/>
    </row>
    <row r="522">
      <c r="C522" s="5"/>
      <c r="D522" s="5"/>
    </row>
    <row r="523">
      <c r="C523" s="5"/>
      <c r="D523" s="5"/>
    </row>
    <row r="524">
      <c r="C524" s="5"/>
      <c r="D524" s="5"/>
    </row>
    <row r="525">
      <c r="C525" s="5"/>
      <c r="D525" s="5"/>
    </row>
    <row r="526">
      <c r="C526" s="5"/>
      <c r="D526" s="5"/>
    </row>
    <row r="527">
      <c r="C527" s="5"/>
      <c r="D527" s="5"/>
    </row>
    <row r="528">
      <c r="C528" s="5"/>
      <c r="D528" s="5"/>
    </row>
    <row r="529">
      <c r="C529" s="5"/>
      <c r="D529" s="5"/>
    </row>
    <row r="530">
      <c r="C530" s="5"/>
      <c r="D530" s="5"/>
    </row>
    <row r="531">
      <c r="C531" s="5"/>
      <c r="D531" s="5"/>
    </row>
    <row r="532">
      <c r="C532" s="5"/>
      <c r="D532" s="5"/>
    </row>
    <row r="533">
      <c r="C533" s="5"/>
      <c r="D533" s="5"/>
    </row>
    <row r="534">
      <c r="C534" s="5"/>
      <c r="D534" s="5"/>
    </row>
    <row r="535">
      <c r="C535" s="5"/>
      <c r="D535" s="5"/>
    </row>
    <row r="536">
      <c r="C536" s="5"/>
      <c r="D536" s="5"/>
    </row>
    <row r="537">
      <c r="C537" s="5"/>
      <c r="D537" s="5"/>
    </row>
    <row r="538">
      <c r="C538" s="5"/>
      <c r="D538" s="5"/>
    </row>
    <row r="539">
      <c r="C539" s="5"/>
      <c r="D539" s="5"/>
    </row>
    <row r="540">
      <c r="C540" s="5"/>
      <c r="D540" s="5"/>
    </row>
    <row r="541">
      <c r="C541" s="5"/>
      <c r="D541" s="5"/>
    </row>
    <row r="542">
      <c r="C542" s="5"/>
      <c r="D542" s="5"/>
    </row>
    <row r="543">
      <c r="C543" s="5"/>
      <c r="D543" s="5"/>
    </row>
    <row r="544">
      <c r="C544" s="5"/>
      <c r="D544" s="5"/>
    </row>
    <row r="545">
      <c r="C545" s="5"/>
      <c r="D545" s="5"/>
    </row>
    <row r="546">
      <c r="C546" s="5"/>
      <c r="D546" s="5"/>
    </row>
    <row r="547">
      <c r="C547" s="5"/>
      <c r="D547" s="5"/>
    </row>
    <row r="548">
      <c r="C548" s="5"/>
      <c r="D548" s="5"/>
    </row>
    <row r="549">
      <c r="C549" s="5"/>
      <c r="D549" s="5"/>
    </row>
    <row r="550">
      <c r="C550" s="5"/>
      <c r="D550" s="5"/>
    </row>
    <row r="551">
      <c r="C551" s="5"/>
      <c r="D551" s="5"/>
    </row>
    <row r="552">
      <c r="C552" s="5"/>
      <c r="D552" s="5"/>
    </row>
    <row r="553">
      <c r="C553" s="5"/>
      <c r="D553" s="5"/>
    </row>
    <row r="554">
      <c r="C554" s="5"/>
      <c r="D554" s="5"/>
    </row>
    <row r="555">
      <c r="C555" s="5"/>
      <c r="D555" s="5"/>
    </row>
    <row r="556">
      <c r="C556" s="5"/>
      <c r="D556" s="5"/>
    </row>
    <row r="557">
      <c r="C557" s="5"/>
      <c r="D557" s="5"/>
    </row>
    <row r="558">
      <c r="C558" s="5"/>
      <c r="D558" s="5"/>
    </row>
    <row r="559">
      <c r="C559" s="5"/>
      <c r="D559" s="5"/>
    </row>
    <row r="560">
      <c r="C560" s="5"/>
      <c r="D560" s="5"/>
    </row>
    <row r="561">
      <c r="C561" s="5"/>
      <c r="D561" s="5"/>
    </row>
    <row r="562">
      <c r="C562" s="5"/>
      <c r="D562" s="5"/>
    </row>
    <row r="563">
      <c r="C563" s="5"/>
      <c r="D563" s="5"/>
    </row>
    <row r="564">
      <c r="C564" s="5"/>
      <c r="D564" s="5"/>
    </row>
    <row r="565">
      <c r="C565" s="5"/>
      <c r="D565" s="5"/>
    </row>
    <row r="566">
      <c r="C566" s="5"/>
      <c r="D566" s="5"/>
    </row>
    <row r="567">
      <c r="C567" s="5"/>
      <c r="D567" s="5"/>
    </row>
    <row r="568">
      <c r="C568" s="5"/>
      <c r="D568" s="5"/>
    </row>
    <row r="569">
      <c r="C569" s="5"/>
      <c r="D569" s="5"/>
    </row>
    <row r="570">
      <c r="C570" s="5"/>
      <c r="D570" s="5"/>
    </row>
    <row r="571">
      <c r="C571" s="5"/>
      <c r="D571" s="5"/>
    </row>
    <row r="572">
      <c r="C572" s="5"/>
      <c r="D572" s="5"/>
    </row>
    <row r="573">
      <c r="C573" s="5"/>
      <c r="D573" s="5"/>
    </row>
    <row r="574">
      <c r="C574" s="5"/>
      <c r="D574" s="5"/>
    </row>
    <row r="575">
      <c r="C575" s="5"/>
      <c r="D575" s="5"/>
    </row>
    <row r="576">
      <c r="C576" s="5"/>
      <c r="D576" s="5"/>
    </row>
    <row r="577">
      <c r="C577" s="5"/>
      <c r="D577" s="5"/>
    </row>
    <row r="578">
      <c r="C578" s="5"/>
      <c r="D578" s="5"/>
    </row>
    <row r="579">
      <c r="C579" s="5"/>
      <c r="D579" s="5"/>
    </row>
    <row r="580">
      <c r="C580" s="5"/>
      <c r="D580" s="5"/>
    </row>
    <row r="581">
      <c r="C581" s="5"/>
      <c r="D581" s="5"/>
    </row>
    <row r="582">
      <c r="C582" s="5"/>
      <c r="D582" s="5"/>
    </row>
    <row r="583">
      <c r="C583" s="5"/>
      <c r="D583" s="5"/>
    </row>
    <row r="584">
      <c r="C584" s="5"/>
      <c r="D584" s="5"/>
    </row>
    <row r="585">
      <c r="C585" s="5"/>
      <c r="D585" s="5"/>
    </row>
    <row r="586">
      <c r="C586" s="5"/>
      <c r="D586" s="5"/>
    </row>
    <row r="587">
      <c r="C587" s="5"/>
      <c r="D587" s="5"/>
    </row>
    <row r="588">
      <c r="C588" s="5"/>
      <c r="D588" s="5"/>
    </row>
    <row r="589">
      <c r="C589" s="5"/>
      <c r="D589" s="5"/>
    </row>
    <row r="590">
      <c r="C590" s="5"/>
      <c r="D590" s="5"/>
    </row>
    <row r="591">
      <c r="C591" s="5"/>
      <c r="D591" s="5"/>
    </row>
    <row r="592">
      <c r="C592" s="5"/>
      <c r="D592" s="5"/>
    </row>
    <row r="593">
      <c r="C593" s="5"/>
      <c r="D593" s="5"/>
    </row>
    <row r="594">
      <c r="C594" s="5"/>
      <c r="D594" s="5"/>
    </row>
    <row r="595">
      <c r="C595" s="5"/>
      <c r="D595" s="5"/>
    </row>
    <row r="596">
      <c r="C596" s="5"/>
      <c r="D596" s="5"/>
    </row>
    <row r="597">
      <c r="C597" s="5"/>
      <c r="D597" s="5"/>
    </row>
    <row r="598">
      <c r="C598" s="5"/>
      <c r="D598" s="5"/>
    </row>
    <row r="599">
      <c r="C599" s="5"/>
      <c r="D599" s="5"/>
    </row>
    <row r="600">
      <c r="C600" s="5"/>
      <c r="D600" s="5"/>
    </row>
    <row r="601">
      <c r="C601" s="5"/>
      <c r="D601" s="5"/>
    </row>
    <row r="602">
      <c r="C602" s="5"/>
      <c r="D602" s="5"/>
    </row>
    <row r="603">
      <c r="C603" s="5"/>
      <c r="D603" s="5"/>
    </row>
    <row r="604">
      <c r="C604" s="5"/>
      <c r="D604" s="5"/>
    </row>
    <row r="605">
      <c r="C605" s="5"/>
      <c r="D605" s="5"/>
    </row>
  </sheetData>
  <conditionalFormatting sqref="C1:C605 D3:D5">
    <cfRule type="containsText" dxfId="0" priority="1" operator="containsText" text="yes">
      <formula>NOT(ISERROR(SEARCH(("yes"),(C1))))</formula>
    </cfRule>
  </conditionalFormatting>
  <conditionalFormatting sqref="C1:C605 D3:D5">
    <cfRule type="containsText" dxfId="1" priority="2" operator="containsText" text="decent">
      <formula>NOT(ISERROR(SEARCH(("decent"),(C1))))</formula>
    </cfRule>
  </conditionalFormatting>
  <conditionalFormatting sqref="C1:C605 D3:D5">
    <cfRule type="containsText" dxfId="2" priority="3" operator="containsText" text="maybe">
      <formula>NOT(ISERROR(SEARCH(("maybe"),(C1))))</formula>
    </cfRule>
  </conditionalFormatting>
  <conditionalFormatting sqref="C1:C605 D3:D5">
    <cfRule type="containsText" dxfId="3" priority="4" operator="containsText" text="no">
      <formula>NOT(ISERROR(SEARCH(("no"),(C1))))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2" max="2" width="17.25"/>
    <col customWidth="1" min="3" max="4" width="20.88"/>
  </cols>
  <sheetData>
    <row r="1">
      <c r="A1" s="1" t="s">
        <v>0</v>
      </c>
      <c r="B1" s="1" t="s">
        <v>1</v>
      </c>
      <c r="C1" s="3" t="s">
        <v>5</v>
      </c>
      <c r="D1" s="3" t="s">
        <v>4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</row>
    <row r="2">
      <c r="A2" s="1" t="s">
        <v>257</v>
      </c>
      <c r="B2" s="1" t="s">
        <v>117</v>
      </c>
      <c r="C2" s="3" t="s">
        <v>33</v>
      </c>
      <c r="D2" s="3"/>
      <c r="E2" s="1" t="str">
        <f>IFERROR(__xludf.DUMMYFUNCTION("IFERROR(REGEXEXTRACT(A2, ""res(269|122)""), ""none"")"),"269")</f>
        <v>269</v>
      </c>
      <c r="F2" s="1">
        <v>-16.620105</v>
      </c>
      <c r="G2" s="1">
        <v>12.0</v>
      </c>
      <c r="H2" s="1">
        <v>3.0</v>
      </c>
      <c r="I2" s="1">
        <v>0.416667</v>
      </c>
      <c r="J2" s="1">
        <v>2.0</v>
      </c>
      <c r="K2" s="1">
        <v>-0.664324</v>
      </c>
      <c r="L2" s="1">
        <v>100.0</v>
      </c>
      <c r="M2" s="1">
        <v>0.0</v>
      </c>
      <c r="N2" s="1">
        <v>0.0</v>
      </c>
      <c r="O2" s="1">
        <v>100.132238</v>
      </c>
    </row>
    <row r="3">
      <c r="A3" s="1" t="s">
        <v>258</v>
      </c>
      <c r="B3" s="1" t="s">
        <v>259</v>
      </c>
      <c r="C3" s="3" t="s">
        <v>95</v>
      </c>
      <c r="D3" s="3"/>
      <c r="E3" s="1" t="str">
        <f>IFERROR(__xludf.DUMMYFUNCTION("IFERROR(REGEXEXTRACT(A3, ""res(269|122)""), ""none"")"),"269")</f>
        <v>269</v>
      </c>
      <c r="F3" s="1">
        <v>-16.020646</v>
      </c>
      <c r="G3" s="1">
        <v>9.0</v>
      </c>
      <c r="H3" s="1">
        <v>1.0</v>
      </c>
      <c r="I3" s="1">
        <v>0.333333</v>
      </c>
      <c r="J3" s="1">
        <v>3.0</v>
      </c>
      <c r="K3" s="1">
        <v>-2.057194</v>
      </c>
      <c r="L3" s="1">
        <v>100.0</v>
      </c>
      <c r="M3" s="1">
        <v>0.0</v>
      </c>
      <c r="N3" s="1">
        <v>0.0</v>
      </c>
      <c r="O3" s="1">
        <v>95.255493</v>
      </c>
    </row>
    <row r="4">
      <c r="A4" s="1" t="s">
        <v>260</v>
      </c>
      <c r="B4" s="1" t="s">
        <v>261</v>
      </c>
      <c r="C4" s="3" t="s">
        <v>95</v>
      </c>
      <c r="D4" s="3"/>
      <c r="E4" s="1" t="str">
        <f>IFERROR(__xludf.DUMMYFUNCTION("IFERROR(REGEXEXTRACT(A4, ""res(269|122)""), ""none"")"),"269")</f>
        <v>269</v>
      </c>
      <c r="F4" s="1">
        <v>-16.416697</v>
      </c>
      <c r="G4" s="1">
        <v>9.0</v>
      </c>
      <c r="H4" s="1">
        <v>1.0</v>
      </c>
      <c r="I4" s="1">
        <v>0.333333</v>
      </c>
      <c r="J4" s="1">
        <v>3.0</v>
      </c>
      <c r="K4" s="1">
        <v>-2.107731</v>
      </c>
      <c r="L4" s="1">
        <v>100.0</v>
      </c>
      <c r="M4" s="1">
        <v>0.0</v>
      </c>
      <c r="N4" s="1">
        <v>0.0</v>
      </c>
      <c r="O4" s="1">
        <v>94.808905</v>
      </c>
    </row>
    <row r="5">
      <c r="A5" s="1" t="s">
        <v>262</v>
      </c>
      <c r="B5" s="1" t="s">
        <v>74</v>
      </c>
      <c r="C5" s="3" t="s">
        <v>33</v>
      </c>
      <c r="D5" s="3"/>
      <c r="E5" s="1" t="str">
        <f>IFERROR(__xludf.DUMMYFUNCTION("IFERROR(REGEXEXTRACT(A5, ""res(269|122)""), ""none"")"),"269")</f>
        <v>269</v>
      </c>
      <c r="F5" s="1">
        <v>-15.124595</v>
      </c>
      <c r="G5" s="1">
        <v>8.0</v>
      </c>
      <c r="H5" s="1">
        <v>5.0</v>
      </c>
      <c r="I5" s="1">
        <v>0.375</v>
      </c>
      <c r="J5" s="1">
        <v>2.0</v>
      </c>
      <c r="K5" s="1">
        <v>-0.84012</v>
      </c>
      <c r="L5" s="1">
        <v>100.0</v>
      </c>
      <c r="M5" s="1">
        <v>0.0</v>
      </c>
      <c r="N5" s="1">
        <v>0.0</v>
      </c>
      <c r="O5" s="1">
        <v>99.410285</v>
      </c>
    </row>
    <row r="6">
      <c r="A6" s="1" t="s">
        <v>263</v>
      </c>
      <c r="B6" s="1" t="s">
        <v>264</v>
      </c>
      <c r="C6" s="3" t="s">
        <v>95</v>
      </c>
      <c r="D6" s="3"/>
      <c r="E6" s="1" t="str">
        <f>IFERROR(__xludf.DUMMYFUNCTION("IFERROR(REGEXEXTRACT(A6, ""res(269|122)""), ""none"")"),"269")</f>
        <v>269</v>
      </c>
      <c r="F6" s="1">
        <v>-15.247766</v>
      </c>
      <c r="G6" s="1">
        <v>6.0</v>
      </c>
      <c r="H6" s="1">
        <v>2.0</v>
      </c>
      <c r="I6" s="1">
        <v>0.333333</v>
      </c>
      <c r="J6" s="1">
        <v>3.0</v>
      </c>
      <c r="K6" s="1">
        <v>-1.003179</v>
      </c>
      <c r="L6" s="1">
        <v>100.0</v>
      </c>
      <c r="M6" s="1">
        <v>0.0</v>
      </c>
      <c r="N6" s="1">
        <v>0.0</v>
      </c>
      <c r="O6" s="1">
        <v>95.082388</v>
      </c>
    </row>
    <row r="7">
      <c r="A7" s="1" t="s">
        <v>265</v>
      </c>
      <c r="B7" s="1" t="s">
        <v>120</v>
      </c>
      <c r="C7" s="3" t="s">
        <v>33</v>
      </c>
      <c r="D7" s="3"/>
      <c r="E7" s="1" t="str">
        <f>IFERROR(__xludf.DUMMYFUNCTION("IFERROR(REGEXEXTRACT(A7, ""res(269|122)""), ""none"")"),"269")</f>
        <v>269</v>
      </c>
      <c r="F7" s="1">
        <v>-15.234041</v>
      </c>
      <c r="G7" s="1">
        <v>8.0</v>
      </c>
      <c r="H7" s="1">
        <v>3.0</v>
      </c>
      <c r="I7" s="1">
        <v>0.25</v>
      </c>
      <c r="J7" s="1">
        <v>3.0</v>
      </c>
      <c r="K7" s="1">
        <v>-0.552818</v>
      </c>
      <c r="L7" s="1">
        <v>100.0</v>
      </c>
      <c r="M7" s="1">
        <v>0.0</v>
      </c>
      <c r="N7" s="1">
        <v>0.0</v>
      </c>
      <c r="O7" s="1">
        <v>98.463141</v>
      </c>
    </row>
    <row r="8">
      <c r="A8" s="1" t="s">
        <v>266</v>
      </c>
      <c r="B8" s="1" t="s">
        <v>77</v>
      </c>
      <c r="C8" s="3" t="s">
        <v>33</v>
      </c>
      <c r="D8" s="3"/>
      <c r="E8" s="1" t="str">
        <f>IFERROR(__xludf.DUMMYFUNCTION("IFERROR(REGEXEXTRACT(A8, ""res(269|122)""), ""none"")"),"269")</f>
        <v>269</v>
      </c>
      <c r="F8" s="1">
        <v>-15.196061</v>
      </c>
      <c r="G8" s="1">
        <v>7.0</v>
      </c>
      <c r="H8" s="1">
        <v>2.0</v>
      </c>
      <c r="I8" s="1">
        <v>0.285714</v>
      </c>
      <c r="J8" s="1">
        <v>2.0</v>
      </c>
      <c r="K8" s="1">
        <v>-1.471521</v>
      </c>
      <c r="L8" s="1">
        <v>100.0</v>
      </c>
      <c r="M8" s="1">
        <v>0.0</v>
      </c>
      <c r="N8" s="1">
        <v>0.0</v>
      </c>
      <c r="O8" s="1">
        <v>94.618132</v>
      </c>
    </row>
    <row r="9">
      <c r="A9" s="1" t="s">
        <v>267</v>
      </c>
      <c r="B9" s="1" t="s">
        <v>268</v>
      </c>
      <c r="C9" s="3" t="s">
        <v>95</v>
      </c>
      <c r="D9" s="3"/>
      <c r="E9" s="1" t="str">
        <f>IFERROR(__xludf.DUMMYFUNCTION("IFERROR(REGEXEXTRACT(A9, ""res(269|122)""), ""none"")"),"269")</f>
        <v>269</v>
      </c>
      <c r="F9" s="1">
        <v>-15.475748</v>
      </c>
      <c r="G9" s="1">
        <v>11.0</v>
      </c>
      <c r="H9" s="1">
        <v>1.0</v>
      </c>
      <c r="I9" s="1">
        <v>0.272727</v>
      </c>
      <c r="J9" s="1">
        <v>2.0</v>
      </c>
      <c r="K9" s="1">
        <v>-0.318571</v>
      </c>
      <c r="L9" s="1">
        <v>100.0</v>
      </c>
      <c r="M9" s="1">
        <v>0.0</v>
      </c>
      <c r="N9" s="1">
        <v>0.0</v>
      </c>
      <c r="O9" s="1">
        <v>98.478408</v>
      </c>
    </row>
    <row r="10">
      <c r="A10" s="1" t="s">
        <v>269</v>
      </c>
      <c r="B10" s="1" t="s">
        <v>270</v>
      </c>
      <c r="C10" s="3" t="s">
        <v>95</v>
      </c>
      <c r="D10" s="3"/>
      <c r="E10" s="1" t="str">
        <f>IFERROR(__xludf.DUMMYFUNCTION("IFERROR(REGEXEXTRACT(A10, ""res(269|122)""), ""none"")"),"269")</f>
        <v>269</v>
      </c>
      <c r="F10" s="1">
        <v>-15.217109</v>
      </c>
      <c r="G10" s="1">
        <v>8.0</v>
      </c>
      <c r="H10" s="1">
        <v>2.0</v>
      </c>
      <c r="I10" s="1">
        <v>0.25</v>
      </c>
      <c r="J10" s="1">
        <v>3.0</v>
      </c>
      <c r="K10" s="1">
        <v>-1.096035</v>
      </c>
      <c r="L10" s="1">
        <v>100.0</v>
      </c>
      <c r="M10" s="1">
        <v>0.0</v>
      </c>
      <c r="N10" s="1">
        <v>0.0</v>
      </c>
      <c r="O10" s="1">
        <v>96.936856</v>
      </c>
    </row>
    <row r="11">
      <c r="A11" s="1" t="s">
        <v>271</v>
      </c>
      <c r="B11" s="1" t="s">
        <v>272</v>
      </c>
      <c r="C11" s="3" t="s">
        <v>95</v>
      </c>
      <c r="D11" s="3"/>
      <c r="E11" s="1" t="str">
        <f>IFERROR(__xludf.DUMMYFUNCTION("IFERROR(REGEXEXTRACT(A11, ""res(269|122)""), ""none"")"),"269")</f>
        <v>269</v>
      </c>
      <c r="F11" s="1">
        <v>-16.067978</v>
      </c>
      <c r="G11" s="1">
        <v>10.0</v>
      </c>
      <c r="H11" s="1">
        <v>3.0</v>
      </c>
      <c r="I11" s="1">
        <v>0.4</v>
      </c>
      <c r="J11" s="1">
        <v>4.0</v>
      </c>
      <c r="K11" s="1">
        <v>-1.686262</v>
      </c>
      <c r="L11" s="1">
        <v>100.0</v>
      </c>
      <c r="M11" s="1">
        <v>0.0</v>
      </c>
      <c r="N11" s="1">
        <v>0.0</v>
      </c>
      <c r="O11" s="1">
        <v>99.64576</v>
      </c>
    </row>
    <row r="12">
      <c r="A12" s="1" t="s">
        <v>273</v>
      </c>
      <c r="B12" s="1" t="s">
        <v>274</v>
      </c>
      <c r="C12" s="3" t="s">
        <v>95</v>
      </c>
      <c r="D12" s="3"/>
      <c r="E12" s="1" t="str">
        <f>IFERROR(__xludf.DUMMYFUNCTION("IFERROR(REGEXEXTRACT(A12, ""res(269|122)""), ""none"")"),"269")</f>
        <v>269</v>
      </c>
      <c r="F12" s="1">
        <v>-16.067978</v>
      </c>
      <c r="G12" s="1">
        <v>10.0</v>
      </c>
      <c r="H12" s="1">
        <v>3.0</v>
      </c>
      <c r="I12" s="1">
        <v>0.4</v>
      </c>
      <c r="J12" s="1">
        <v>4.0</v>
      </c>
      <c r="K12" s="1">
        <v>-1.686262</v>
      </c>
      <c r="L12" s="1">
        <v>100.0</v>
      </c>
      <c r="M12" s="1">
        <v>0.0</v>
      </c>
      <c r="N12" s="1">
        <v>0.0</v>
      </c>
      <c r="O12" s="1">
        <v>99.64576</v>
      </c>
    </row>
    <row r="13">
      <c r="A13" s="1" t="s">
        <v>275</v>
      </c>
      <c r="B13" s="1" t="s">
        <v>276</v>
      </c>
      <c r="C13" s="3" t="s">
        <v>24</v>
      </c>
      <c r="D13" s="3"/>
      <c r="E13" s="1" t="str">
        <f>IFERROR(__xludf.DUMMYFUNCTION("IFERROR(REGEXEXTRACT(A13, ""res(269|122)""), ""none"")"),"269")</f>
        <v>269</v>
      </c>
      <c r="F13" s="1">
        <v>-15.296307</v>
      </c>
      <c r="G13" s="1">
        <v>7.0</v>
      </c>
      <c r="H13" s="1">
        <v>3.0</v>
      </c>
      <c r="I13" s="1">
        <v>0.285714</v>
      </c>
      <c r="J13" s="1">
        <v>2.0</v>
      </c>
      <c r="K13" s="1">
        <v>-1.992376</v>
      </c>
      <c r="L13" s="1">
        <v>100.0</v>
      </c>
      <c r="M13" s="1">
        <v>0.0</v>
      </c>
      <c r="N13" s="1">
        <v>0.0</v>
      </c>
      <c r="O13" s="1">
        <v>94.997031</v>
      </c>
    </row>
    <row r="14">
      <c r="A14" s="1" t="s">
        <v>277</v>
      </c>
      <c r="B14" s="1" t="s">
        <v>278</v>
      </c>
      <c r="C14" s="3" t="s">
        <v>95</v>
      </c>
      <c r="D14" s="3"/>
      <c r="E14" s="1" t="str">
        <f>IFERROR(__xludf.DUMMYFUNCTION("IFERROR(REGEXEXTRACT(A14, ""res(269|122)""), ""none"")"),"269")</f>
        <v>269</v>
      </c>
      <c r="F14" s="1">
        <v>-15.325992</v>
      </c>
      <c r="G14" s="1">
        <v>8.0</v>
      </c>
      <c r="H14" s="1">
        <v>2.0</v>
      </c>
      <c r="I14" s="1">
        <v>0.25</v>
      </c>
      <c r="J14" s="1">
        <v>2.0</v>
      </c>
      <c r="K14" s="1">
        <v>-0.597145</v>
      </c>
      <c r="L14" s="1">
        <v>100.0</v>
      </c>
      <c r="M14" s="1">
        <v>0.0</v>
      </c>
      <c r="N14" s="1">
        <v>0.0</v>
      </c>
      <c r="O14" s="1">
        <v>96.326863</v>
      </c>
    </row>
    <row r="15">
      <c r="A15" s="1" t="s">
        <v>279</v>
      </c>
      <c r="B15" s="1" t="s">
        <v>123</v>
      </c>
      <c r="C15" s="3" t="s">
        <v>95</v>
      </c>
      <c r="D15" s="3"/>
      <c r="E15" s="1" t="str">
        <f>IFERROR(__xludf.DUMMYFUNCTION("IFERROR(REGEXEXTRACT(A15, ""res(269|122)""), ""none"")"),"269")</f>
        <v>269</v>
      </c>
      <c r="F15" s="1">
        <v>-15.778424</v>
      </c>
      <c r="G15" s="1">
        <v>10.0</v>
      </c>
      <c r="H15" s="1">
        <v>4.0</v>
      </c>
      <c r="I15" s="1">
        <v>0.3</v>
      </c>
      <c r="J15" s="1">
        <v>2.0</v>
      </c>
      <c r="K15" s="1">
        <v>-0.444144</v>
      </c>
      <c r="L15" s="1">
        <v>100.0</v>
      </c>
      <c r="M15" s="1">
        <v>0.0</v>
      </c>
      <c r="N15" s="1">
        <v>0.0</v>
      </c>
      <c r="O15" s="1">
        <v>100.077432</v>
      </c>
    </row>
    <row r="16">
      <c r="A16" s="1" t="s">
        <v>280</v>
      </c>
      <c r="B16" s="1" t="s">
        <v>126</v>
      </c>
      <c r="C16" s="3" t="s">
        <v>33</v>
      </c>
      <c r="D16" s="3"/>
      <c r="E16" s="1" t="str">
        <f>IFERROR(__xludf.DUMMYFUNCTION("IFERROR(REGEXEXTRACT(A16, ""res(269|122)""), ""none"")"),"269")</f>
        <v>269</v>
      </c>
      <c r="F16" s="1">
        <v>-16.377062</v>
      </c>
      <c r="G16" s="1">
        <v>9.0</v>
      </c>
      <c r="H16" s="1">
        <v>1.0</v>
      </c>
      <c r="I16" s="1">
        <v>0.333333</v>
      </c>
      <c r="J16" s="1">
        <v>2.0</v>
      </c>
      <c r="K16" s="1">
        <v>-1.84415</v>
      </c>
      <c r="L16" s="1">
        <v>100.0</v>
      </c>
      <c r="M16" s="1">
        <v>0.0</v>
      </c>
      <c r="N16" s="1">
        <v>0.0</v>
      </c>
      <c r="O16" s="1">
        <v>94.112121</v>
      </c>
    </row>
    <row r="17">
      <c r="A17" s="1" t="s">
        <v>281</v>
      </c>
      <c r="B17" s="1" t="s">
        <v>282</v>
      </c>
      <c r="C17" s="3" t="s">
        <v>95</v>
      </c>
      <c r="D17" s="3"/>
      <c r="E17" s="1" t="str">
        <f>IFERROR(__xludf.DUMMYFUNCTION("IFERROR(REGEXEXTRACT(A17, ""res(269|122)""), ""none"")"),"269")</f>
        <v>269</v>
      </c>
      <c r="F17" s="1">
        <v>-15.737774</v>
      </c>
      <c r="G17" s="1">
        <v>8.0</v>
      </c>
      <c r="H17" s="1">
        <v>4.0</v>
      </c>
      <c r="I17" s="1">
        <v>0.375</v>
      </c>
      <c r="J17" s="1">
        <v>2.0</v>
      </c>
      <c r="K17" s="1">
        <v>-0.922352</v>
      </c>
      <c r="L17" s="1">
        <v>100.0</v>
      </c>
      <c r="M17" s="1">
        <v>0.0</v>
      </c>
      <c r="N17" s="1">
        <v>0.0</v>
      </c>
      <c r="O17" s="1">
        <v>97.714874</v>
      </c>
    </row>
    <row r="18">
      <c r="A18" s="1" t="s">
        <v>283</v>
      </c>
      <c r="B18" s="1" t="s">
        <v>129</v>
      </c>
      <c r="C18" s="3" t="s">
        <v>95</v>
      </c>
      <c r="D18" s="3"/>
      <c r="E18" s="1" t="str">
        <f>IFERROR(__xludf.DUMMYFUNCTION("IFERROR(REGEXEXTRACT(A18, ""res(269|122)""), ""none"")"),"269")</f>
        <v>269</v>
      </c>
      <c r="F18" s="1">
        <v>-16.004339</v>
      </c>
      <c r="G18" s="1">
        <v>7.0</v>
      </c>
      <c r="H18" s="1">
        <v>1.0</v>
      </c>
      <c r="I18" s="1">
        <v>0.285714</v>
      </c>
      <c r="J18" s="1">
        <v>2.0</v>
      </c>
      <c r="K18" s="1">
        <v>-0.643672</v>
      </c>
      <c r="L18" s="1">
        <v>100.0</v>
      </c>
      <c r="M18" s="1">
        <v>0.0</v>
      </c>
      <c r="N18" s="1">
        <v>0.0</v>
      </c>
      <c r="O18" s="1">
        <v>93.637703</v>
      </c>
    </row>
    <row r="19">
      <c r="A19" s="1" t="s">
        <v>284</v>
      </c>
      <c r="B19" s="1" t="s">
        <v>285</v>
      </c>
      <c r="C19" s="3" t="s">
        <v>95</v>
      </c>
      <c r="D19" s="3"/>
      <c r="E19" s="1" t="str">
        <f>IFERROR(__xludf.DUMMYFUNCTION("IFERROR(REGEXEXTRACT(A19, ""res(269|122)""), ""none"")"),"269")</f>
        <v>269</v>
      </c>
      <c r="F19" s="1">
        <v>-15.399039</v>
      </c>
      <c r="G19" s="1">
        <v>6.0</v>
      </c>
      <c r="H19" s="1">
        <v>3.0</v>
      </c>
      <c r="I19" s="1">
        <v>0.333333</v>
      </c>
      <c r="J19" s="1">
        <v>2.0</v>
      </c>
      <c r="K19" s="1">
        <v>-0.254448</v>
      </c>
      <c r="L19" s="1">
        <v>100.0</v>
      </c>
      <c r="M19" s="1">
        <v>0.0</v>
      </c>
      <c r="N19" s="1">
        <v>0.0</v>
      </c>
      <c r="O19" s="1">
        <v>95.679846</v>
      </c>
    </row>
    <row r="20">
      <c r="A20" s="1" t="s">
        <v>286</v>
      </c>
      <c r="B20" s="1" t="s">
        <v>287</v>
      </c>
      <c r="C20" s="3" t="s">
        <v>95</v>
      </c>
      <c r="D20" s="3"/>
      <c r="E20" s="1" t="str">
        <f>IFERROR(__xludf.DUMMYFUNCTION("IFERROR(REGEXEXTRACT(A20, ""res(269|122)""), ""none"")"),"269")</f>
        <v>269</v>
      </c>
      <c r="F20" s="1">
        <v>-15.848908</v>
      </c>
      <c r="G20" s="1">
        <v>8.0</v>
      </c>
      <c r="H20" s="1">
        <v>3.0</v>
      </c>
      <c r="I20" s="1">
        <v>0.375</v>
      </c>
      <c r="J20" s="1">
        <v>2.0</v>
      </c>
      <c r="K20" s="1">
        <v>-0.923644</v>
      </c>
      <c r="L20" s="1">
        <v>100.0</v>
      </c>
      <c r="M20" s="1">
        <v>0.0</v>
      </c>
      <c r="N20" s="1">
        <v>0.0</v>
      </c>
      <c r="O20" s="1">
        <v>96.602448</v>
      </c>
    </row>
    <row r="21">
      <c r="A21" s="1" t="s">
        <v>288</v>
      </c>
      <c r="B21" s="1" t="s">
        <v>80</v>
      </c>
      <c r="C21" s="3" t="s">
        <v>33</v>
      </c>
      <c r="D21" s="3"/>
      <c r="E21" s="1" t="str">
        <f>IFERROR(__xludf.DUMMYFUNCTION("IFERROR(REGEXEXTRACT(A21, ""res(269|122)""), ""none"")"),"269")</f>
        <v>269</v>
      </c>
      <c r="F21" s="1">
        <v>-15.111049</v>
      </c>
      <c r="G21" s="1">
        <v>8.0</v>
      </c>
      <c r="H21" s="1">
        <v>4.0</v>
      </c>
      <c r="I21" s="1">
        <v>0.5</v>
      </c>
      <c r="J21" s="1">
        <v>3.0</v>
      </c>
      <c r="K21" s="1">
        <v>-1.48802099999999</v>
      </c>
      <c r="L21" s="1">
        <v>100.0</v>
      </c>
      <c r="M21" s="1">
        <v>0.0</v>
      </c>
      <c r="N21" s="1">
        <v>0.0</v>
      </c>
      <c r="O21" s="1">
        <v>98.90093</v>
      </c>
    </row>
    <row r="22">
      <c r="A22" s="1" t="s">
        <v>289</v>
      </c>
      <c r="B22" s="1" t="s">
        <v>290</v>
      </c>
      <c r="C22" s="3" t="s">
        <v>95</v>
      </c>
      <c r="D22" s="3"/>
      <c r="E22" s="1" t="str">
        <f>IFERROR(__xludf.DUMMYFUNCTION("IFERROR(REGEXEXTRACT(A22, ""res(269|122)""), ""none"")"),"269")</f>
        <v>269</v>
      </c>
      <c r="F22" s="1">
        <v>-15.62437</v>
      </c>
      <c r="G22" s="1">
        <v>8.0</v>
      </c>
      <c r="H22" s="1">
        <v>3.0</v>
      </c>
      <c r="I22" s="1">
        <v>0.25</v>
      </c>
      <c r="J22" s="1">
        <v>2.0</v>
      </c>
      <c r="K22" s="1">
        <v>-0.578782</v>
      </c>
      <c r="L22" s="1">
        <v>100.0</v>
      </c>
      <c r="M22" s="1">
        <v>0.0</v>
      </c>
      <c r="N22" s="1">
        <v>0.0</v>
      </c>
      <c r="O22" s="1">
        <v>97.046848</v>
      </c>
    </row>
    <row r="23">
      <c r="A23" s="1" t="s">
        <v>291</v>
      </c>
      <c r="B23" s="1" t="s">
        <v>292</v>
      </c>
      <c r="C23" s="3" t="s">
        <v>95</v>
      </c>
      <c r="D23" s="3"/>
      <c r="E23" s="1" t="str">
        <f>IFERROR(__xludf.DUMMYFUNCTION("IFERROR(REGEXEXTRACT(A23, ""res(269|122)""), ""none"")"),"269")</f>
        <v>269</v>
      </c>
      <c r="F23" s="1">
        <v>-16.657537</v>
      </c>
      <c r="G23" s="1">
        <v>10.0</v>
      </c>
      <c r="H23" s="1">
        <v>3.0</v>
      </c>
      <c r="I23" s="1">
        <v>0.3</v>
      </c>
      <c r="J23" s="1">
        <v>2.0</v>
      </c>
      <c r="K23" s="1">
        <v>-1.135125</v>
      </c>
      <c r="L23" s="1">
        <v>100.0</v>
      </c>
      <c r="M23" s="1">
        <v>0.0</v>
      </c>
      <c r="N23" s="1">
        <v>0.0</v>
      </c>
      <c r="O23" s="1">
        <v>97.507338</v>
      </c>
    </row>
    <row r="24">
      <c r="A24" s="1" t="s">
        <v>293</v>
      </c>
      <c r="B24" s="1" t="s">
        <v>294</v>
      </c>
      <c r="C24" s="3" t="s">
        <v>95</v>
      </c>
      <c r="D24" s="3"/>
      <c r="E24" s="1" t="str">
        <f>IFERROR(__xludf.DUMMYFUNCTION("IFERROR(REGEXEXTRACT(A24, ""res(269|122)""), ""none"")"),"269")</f>
        <v>269</v>
      </c>
      <c r="F24" s="1">
        <v>-15.0051</v>
      </c>
      <c r="G24" s="1">
        <v>8.0</v>
      </c>
      <c r="H24" s="1">
        <v>1.0</v>
      </c>
      <c r="I24" s="1">
        <v>0.25</v>
      </c>
      <c r="J24" s="1">
        <v>3.0</v>
      </c>
      <c r="K24" s="1">
        <v>-2.024033</v>
      </c>
      <c r="L24" s="1">
        <v>100.0</v>
      </c>
      <c r="M24" s="1">
        <v>0.0</v>
      </c>
      <c r="N24" s="1">
        <v>0.0</v>
      </c>
      <c r="O24" s="1">
        <v>95.220867</v>
      </c>
    </row>
    <row r="25">
      <c r="A25" s="1" t="s">
        <v>295</v>
      </c>
      <c r="B25" s="1" t="s">
        <v>132</v>
      </c>
      <c r="C25" s="3" t="s">
        <v>95</v>
      </c>
      <c r="D25" s="3"/>
      <c r="E25" s="1" t="str">
        <f>IFERROR(__xludf.DUMMYFUNCTION("IFERROR(REGEXEXTRACT(A25, ""res(269|122)""), ""none"")"),"269")</f>
        <v>269</v>
      </c>
      <c r="F25" s="1">
        <v>-15.787491</v>
      </c>
      <c r="G25" s="1">
        <v>6.0</v>
      </c>
      <c r="H25" s="1">
        <v>2.0</v>
      </c>
      <c r="I25" s="1">
        <v>0.333333</v>
      </c>
      <c r="J25" s="1">
        <v>3.0</v>
      </c>
      <c r="K25" s="1">
        <v>-1.153959</v>
      </c>
      <c r="L25" s="1">
        <v>100.0</v>
      </c>
      <c r="M25" s="1">
        <v>0.0</v>
      </c>
      <c r="N25" s="1">
        <v>0.0</v>
      </c>
      <c r="O25" s="1">
        <v>94.391883</v>
      </c>
    </row>
    <row r="26">
      <c r="A26" s="1" t="s">
        <v>296</v>
      </c>
      <c r="B26" s="1" t="s">
        <v>135</v>
      </c>
      <c r="C26" s="3" t="s">
        <v>95</v>
      </c>
      <c r="D26" s="3"/>
      <c r="E26" s="1" t="str">
        <f>IFERROR(__xludf.DUMMYFUNCTION("IFERROR(REGEXEXTRACT(A26, ""res(269|122)""), ""none"")"),"269")</f>
        <v>269</v>
      </c>
      <c r="F26" s="1">
        <v>-16.526444</v>
      </c>
      <c r="G26" s="1">
        <v>7.0</v>
      </c>
      <c r="H26" s="1">
        <v>3.0</v>
      </c>
      <c r="I26" s="1">
        <v>0.428571</v>
      </c>
      <c r="J26" s="1">
        <v>3.0</v>
      </c>
      <c r="K26" s="1">
        <v>-1.370961</v>
      </c>
      <c r="L26" s="1">
        <v>100.0</v>
      </c>
      <c r="M26" s="1">
        <v>0.0</v>
      </c>
      <c r="N26" s="1">
        <v>0.0</v>
      </c>
      <c r="O26" s="1">
        <v>95.531166</v>
      </c>
    </row>
    <row r="27">
      <c r="A27" s="1" t="s">
        <v>297</v>
      </c>
      <c r="B27" s="1" t="s">
        <v>138</v>
      </c>
      <c r="C27" s="3" t="s">
        <v>95</v>
      </c>
      <c r="D27" s="3"/>
      <c r="E27" s="1" t="str">
        <f>IFERROR(__xludf.DUMMYFUNCTION("IFERROR(REGEXEXTRACT(A27, ""res(269|122)""), ""none"")"),"269")</f>
        <v>269</v>
      </c>
      <c r="F27" s="1">
        <v>-15.442965</v>
      </c>
      <c r="G27" s="1">
        <v>7.0</v>
      </c>
      <c r="H27" s="1">
        <v>3.0</v>
      </c>
      <c r="I27" s="1">
        <v>0.285714</v>
      </c>
      <c r="J27" s="1">
        <v>2.0</v>
      </c>
      <c r="K27" s="1">
        <v>-0.995888</v>
      </c>
      <c r="L27" s="1">
        <v>100.0</v>
      </c>
      <c r="M27" s="1">
        <v>0.0</v>
      </c>
      <c r="N27" s="1">
        <v>0.0</v>
      </c>
      <c r="O27" s="1">
        <v>95.846861</v>
      </c>
    </row>
    <row r="28">
      <c r="A28" s="1" t="s">
        <v>298</v>
      </c>
      <c r="B28" s="1" t="s">
        <v>299</v>
      </c>
      <c r="C28" s="3" t="s">
        <v>95</v>
      </c>
      <c r="D28" s="3"/>
      <c r="E28" s="1" t="str">
        <f>IFERROR(__xludf.DUMMYFUNCTION("IFERROR(REGEXEXTRACT(A28, ""res(269|122)""), ""none"")"),"269")</f>
        <v>269</v>
      </c>
      <c r="F28" s="1">
        <v>-15.442965</v>
      </c>
      <c r="G28" s="1">
        <v>7.0</v>
      </c>
      <c r="H28" s="1">
        <v>3.0</v>
      </c>
      <c r="I28" s="1">
        <v>0.285714</v>
      </c>
      <c r="J28" s="1">
        <v>2.0</v>
      </c>
      <c r="K28" s="1">
        <v>-0.995888</v>
      </c>
      <c r="L28" s="1">
        <v>100.0</v>
      </c>
      <c r="M28" s="1">
        <v>0.0</v>
      </c>
      <c r="N28" s="1">
        <v>0.0</v>
      </c>
      <c r="O28" s="1">
        <v>95.846861</v>
      </c>
    </row>
    <row r="29">
      <c r="A29" s="1" t="s">
        <v>300</v>
      </c>
      <c r="B29" s="1" t="s">
        <v>301</v>
      </c>
      <c r="C29" s="3" t="s">
        <v>95</v>
      </c>
      <c r="D29" s="3"/>
      <c r="E29" s="1" t="str">
        <f>IFERROR(__xludf.DUMMYFUNCTION("IFERROR(REGEXEXTRACT(A29, ""res(269|122)""), ""none"")"),"269")</f>
        <v>269</v>
      </c>
      <c r="F29" s="1">
        <v>-16.187871</v>
      </c>
      <c r="G29" s="1">
        <v>8.0</v>
      </c>
      <c r="H29" s="1">
        <v>2.0</v>
      </c>
      <c r="I29" s="1">
        <v>0.25</v>
      </c>
      <c r="J29" s="1">
        <v>2.0</v>
      </c>
      <c r="K29" s="1">
        <v>-1.664296</v>
      </c>
      <c r="L29" s="1">
        <v>100.0</v>
      </c>
      <c r="M29" s="1">
        <v>0.0</v>
      </c>
      <c r="N29" s="1">
        <v>0.0</v>
      </c>
      <c r="O29" s="1">
        <v>94.397833</v>
      </c>
    </row>
    <row r="30">
      <c r="A30" s="1" t="s">
        <v>302</v>
      </c>
      <c r="B30" s="1" t="s">
        <v>303</v>
      </c>
      <c r="C30" s="3" t="s">
        <v>24</v>
      </c>
      <c r="D30" s="3"/>
      <c r="E30" s="1" t="str">
        <f>IFERROR(__xludf.DUMMYFUNCTION("IFERROR(REGEXEXTRACT(A30, ""res(269|122)""), ""none"")"),"269")</f>
        <v>269</v>
      </c>
      <c r="F30" s="1">
        <v>-15.122502</v>
      </c>
      <c r="G30" s="1">
        <v>9.0</v>
      </c>
      <c r="H30" s="1">
        <v>1.0</v>
      </c>
      <c r="I30" s="1">
        <v>0.333333</v>
      </c>
      <c r="J30" s="1">
        <v>2.0</v>
      </c>
      <c r="K30" s="1">
        <v>-1.2518</v>
      </c>
      <c r="L30" s="1">
        <v>100.0</v>
      </c>
      <c r="M30" s="1">
        <v>0.0</v>
      </c>
      <c r="N30" s="1">
        <v>0.0</v>
      </c>
      <c r="O30" s="1">
        <v>95.959031</v>
      </c>
    </row>
    <row r="31">
      <c r="A31" s="1" t="s">
        <v>304</v>
      </c>
      <c r="B31" s="1" t="s">
        <v>305</v>
      </c>
      <c r="C31" s="3" t="s">
        <v>95</v>
      </c>
      <c r="D31" s="3"/>
      <c r="E31" s="1" t="str">
        <f>IFERROR(__xludf.DUMMYFUNCTION("IFERROR(REGEXEXTRACT(A31, ""res(269|122)""), ""none"")"),"269")</f>
        <v>269</v>
      </c>
      <c r="F31" s="1">
        <v>-16.909101</v>
      </c>
      <c r="G31" s="1">
        <v>8.0</v>
      </c>
      <c r="H31" s="1">
        <v>3.0</v>
      </c>
      <c r="I31" s="1">
        <v>0.5</v>
      </c>
      <c r="J31" s="1">
        <v>2.0</v>
      </c>
      <c r="K31" s="1">
        <v>-1.107364</v>
      </c>
      <c r="L31" s="1">
        <v>100.0</v>
      </c>
      <c r="M31" s="1">
        <v>0.0</v>
      </c>
      <c r="N31" s="1">
        <v>0.0</v>
      </c>
      <c r="O31" s="1">
        <v>95.483535</v>
      </c>
    </row>
    <row r="32">
      <c r="A32" s="1" t="s">
        <v>306</v>
      </c>
      <c r="B32" s="1" t="s">
        <v>307</v>
      </c>
      <c r="C32" s="3" t="s">
        <v>95</v>
      </c>
      <c r="D32" s="3"/>
      <c r="E32" s="1" t="str">
        <f>IFERROR(__xludf.DUMMYFUNCTION("IFERROR(REGEXEXTRACT(A32, ""res(269|122)""), ""none"")"),"269")</f>
        <v>269</v>
      </c>
      <c r="F32" s="1">
        <v>-15.785852</v>
      </c>
      <c r="G32" s="1">
        <v>7.0</v>
      </c>
      <c r="H32" s="1">
        <v>5.0</v>
      </c>
      <c r="I32" s="1">
        <v>0.285714</v>
      </c>
      <c r="J32" s="1">
        <v>2.0</v>
      </c>
      <c r="K32" s="1">
        <v>-0.799353999999999</v>
      </c>
      <c r="L32" s="1">
        <v>100.0</v>
      </c>
      <c r="M32" s="1">
        <v>0.0</v>
      </c>
      <c r="N32" s="1">
        <v>0.0</v>
      </c>
      <c r="O32" s="1">
        <v>97.700508</v>
      </c>
    </row>
    <row r="33">
      <c r="A33" s="1" t="s">
        <v>308</v>
      </c>
      <c r="B33" s="1" t="s">
        <v>141</v>
      </c>
      <c r="C33" s="3" t="s">
        <v>95</v>
      </c>
      <c r="D33" s="3"/>
      <c r="E33" s="1" t="str">
        <f>IFERROR(__xludf.DUMMYFUNCTION("IFERROR(REGEXEXTRACT(A33, ""res(269|122)""), ""none"")"),"269")</f>
        <v>269</v>
      </c>
      <c r="F33" s="1">
        <v>-15.155078</v>
      </c>
      <c r="G33" s="1">
        <v>8.0</v>
      </c>
      <c r="H33" s="1">
        <v>2.0</v>
      </c>
      <c r="I33" s="1">
        <v>0.25</v>
      </c>
      <c r="J33" s="1">
        <v>2.0</v>
      </c>
      <c r="K33" s="1">
        <v>-0.394031</v>
      </c>
      <c r="L33" s="1">
        <v>100.0</v>
      </c>
      <c r="M33" s="1">
        <v>0.0</v>
      </c>
      <c r="N33" s="1">
        <v>0.0</v>
      </c>
      <c r="O33" s="1">
        <v>96.700891</v>
      </c>
    </row>
    <row r="34">
      <c r="A34" s="1" t="s">
        <v>309</v>
      </c>
      <c r="B34" s="1" t="s">
        <v>144</v>
      </c>
      <c r="C34" s="3" t="s">
        <v>95</v>
      </c>
      <c r="D34" s="3"/>
      <c r="E34" s="1" t="str">
        <f>IFERROR(__xludf.DUMMYFUNCTION("IFERROR(REGEXEXTRACT(A34, ""res(269|122)""), ""none"")"),"269")</f>
        <v>269</v>
      </c>
      <c r="F34" s="1">
        <v>-15.473368</v>
      </c>
      <c r="G34" s="1">
        <v>8.0</v>
      </c>
      <c r="H34" s="1">
        <v>2.0</v>
      </c>
      <c r="I34" s="1">
        <v>0.375</v>
      </c>
      <c r="J34" s="1">
        <v>2.0</v>
      </c>
      <c r="K34" s="1">
        <v>-0.972362</v>
      </c>
      <c r="L34" s="1">
        <v>100.0</v>
      </c>
      <c r="M34" s="1">
        <v>0.0</v>
      </c>
      <c r="N34" s="1">
        <v>0.0</v>
      </c>
      <c r="O34" s="1">
        <v>95.92927</v>
      </c>
    </row>
    <row r="35">
      <c r="A35" s="1" t="s">
        <v>310</v>
      </c>
      <c r="B35" s="1" t="s">
        <v>147</v>
      </c>
      <c r="C35" s="3" t="s">
        <v>95</v>
      </c>
      <c r="D35" s="3"/>
      <c r="E35" s="1" t="str">
        <f>IFERROR(__xludf.DUMMYFUNCTION("IFERROR(REGEXEXTRACT(A35, ""res(269|122)""), ""none"")"),"269")</f>
        <v>269</v>
      </c>
      <c r="F35" s="1">
        <v>-15.32929</v>
      </c>
      <c r="G35" s="1">
        <v>9.0</v>
      </c>
      <c r="H35" s="1">
        <v>2.0</v>
      </c>
      <c r="I35" s="1">
        <v>0.444444</v>
      </c>
      <c r="J35" s="1">
        <v>3.0</v>
      </c>
      <c r="K35" s="1">
        <v>-1.169854</v>
      </c>
      <c r="L35" s="1">
        <v>100.0</v>
      </c>
      <c r="M35" s="1">
        <v>0.0</v>
      </c>
      <c r="N35" s="1">
        <v>0.0</v>
      </c>
      <c r="O35" s="1">
        <v>97.9453</v>
      </c>
    </row>
    <row r="36">
      <c r="A36" s="1" t="s">
        <v>311</v>
      </c>
      <c r="B36" s="1" t="s">
        <v>312</v>
      </c>
      <c r="C36" s="1" t="s">
        <v>95</v>
      </c>
      <c r="D36" s="3"/>
      <c r="E36" s="1" t="str">
        <f>IFERROR(__xludf.DUMMYFUNCTION("IFERROR(REGEXEXTRACT(A36, ""res(269|122)""), ""none"")"),"269")</f>
        <v>269</v>
      </c>
      <c r="F36" s="1">
        <v>-17.46746</v>
      </c>
      <c r="G36" s="1">
        <v>9.0</v>
      </c>
      <c r="H36" s="1">
        <v>2.0</v>
      </c>
      <c r="I36" s="1">
        <v>0.333333</v>
      </c>
      <c r="J36" s="1">
        <v>2.0</v>
      </c>
      <c r="K36" s="1">
        <v>-0.960204</v>
      </c>
      <c r="L36" s="1">
        <v>100.0</v>
      </c>
      <c r="M36" s="1">
        <v>0.0</v>
      </c>
      <c r="N36" s="1">
        <v>0.0</v>
      </c>
      <c r="O36" s="1">
        <v>94.905669</v>
      </c>
    </row>
    <row r="37">
      <c r="A37" s="1" t="s">
        <v>313</v>
      </c>
      <c r="B37" s="1" t="s">
        <v>314</v>
      </c>
      <c r="C37" s="3" t="s">
        <v>95</v>
      </c>
      <c r="D37" s="3"/>
      <c r="E37" s="1" t="str">
        <f>IFERROR(__xludf.DUMMYFUNCTION("IFERROR(REGEXEXTRACT(A37, ""res(269|122)""), ""none"")"),"269")</f>
        <v>269</v>
      </c>
      <c r="F37" s="1">
        <v>-15.769609</v>
      </c>
      <c r="G37" s="1">
        <v>8.0</v>
      </c>
      <c r="H37" s="1">
        <v>2.0</v>
      </c>
      <c r="I37" s="1">
        <v>0.25</v>
      </c>
      <c r="J37" s="1">
        <v>2.0</v>
      </c>
      <c r="K37" s="1">
        <v>-1.998276</v>
      </c>
      <c r="L37" s="1">
        <v>100.0</v>
      </c>
      <c r="M37" s="1">
        <v>0.0</v>
      </c>
      <c r="N37" s="1">
        <v>0.0</v>
      </c>
      <c r="O37" s="1">
        <v>94.482115</v>
      </c>
    </row>
    <row r="38">
      <c r="A38" s="1" t="s">
        <v>315</v>
      </c>
      <c r="B38" s="1" t="s">
        <v>316</v>
      </c>
      <c r="C38" s="3" t="s">
        <v>95</v>
      </c>
      <c r="D38" s="3"/>
      <c r="E38" s="1" t="str">
        <f>IFERROR(__xludf.DUMMYFUNCTION("IFERROR(REGEXEXTRACT(A38, ""res(269|122)""), ""none"")"),"269")</f>
        <v>269</v>
      </c>
      <c r="F38" s="1">
        <v>-16.531836</v>
      </c>
      <c r="G38" s="1">
        <v>10.0</v>
      </c>
      <c r="H38" s="1">
        <v>2.0</v>
      </c>
      <c r="I38" s="1">
        <v>0.3</v>
      </c>
      <c r="J38" s="1">
        <v>2.0</v>
      </c>
      <c r="K38" s="1">
        <v>-0.888794</v>
      </c>
      <c r="L38" s="1">
        <v>100.0</v>
      </c>
      <c r="M38" s="1">
        <v>0.0</v>
      </c>
      <c r="N38" s="1">
        <v>0.0</v>
      </c>
      <c r="O38" s="1">
        <v>96.87937</v>
      </c>
    </row>
    <row r="39">
      <c r="A39" s="1" t="s">
        <v>317</v>
      </c>
      <c r="B39" s="1" t="s">
        <v>318</v>
      </c>
      <c r="C39" s="3" t="s">
        <v>95</v>
      </c>
      <c r="D39" s="3"/>
      <c r="E39" s="1" t="str">
        <f>IFERROR(__xludf.DUMMYFUNCTION("IFERROR(REGEXEXTRACT(A39, ""res(269|122)""), ""none"")"),"269")</f>
        <v>269</v>
      </c>
      <c r="F39" s="1">
        <v>-15.695983</v>
      </c>
      <c r="G39" s="1">
        <v>8.0</v>
      </c>
      <c r="H39" s="1">
        <v>3.0</v>
      </c>
      <c r="I39" s="1">
        <v>0.375</v>
      </c>
      <c r="J39" s="1">
        <v>2.0</v>
      </c>
      <c r="K39" s="1">
        <v>-0.764023</v>
      </c>
      <c r="L39" s="1">
        <v>100.0</v>
      </c>
      <c r="M39" s="1">
        <v>0.0</v>
      </c>
      <c r="N39" s="1">
        <v>0.0</v>
      </c>
      <c r="O39" s="1">
        <v>96.914994</v>
      </c>
    </row>
    <row r="40">
      <c r="A40" s="1" t="s">
        <v>319</v>
      </c>
      <c r="B40" s="1" t="s">
        <v>150</v>
      </c>
      <c r="C40" s="3" t="s">
        <v>95</v>
      </c>
      <c r="D40" s="3"/>
      <c r="E40" s="1" t="str">
        <f>IFERROR(__xludf.DUMMYFUNCTION("IFERROR(REGEXEXTRACT(A40, ""res(269|122)""), ""none"")"),"269")</f>
        <v>269</v>
      </c>
      <c r="F40" s="1">
        <v>-16.574584</v>
      </c>
      <c r="G40" s="1">
        <v>6.0</v>
      </c>
      <c r="H40" s="1">
        <v>1.0</v>
      </c>
      <c r="I40" s="1">
        <v>0.333333</v>
      </c>
      <c r="J40" s="1">
        <v>2.0</v>
      </c>
      <c r="K40" s="1">
        <v>-0.53138</v>
      </c>
      <c r="L40" s="1">
        <v>100.0</v>
      </c>
      <c r="M40" s="1">
        <v>0.0</v>
      </c>
      <c r="N40" s="1">
        <v>0.0</v>
      </c>
      <c r="O40" s="1">
        <v>92.227369</v>
      </c>
    </row>
    <row r="41">
      <c r="A41" s="1" t="s">
        <v>320</v>
      </c>
      <c r="B41" s="1" t="s">
        <v>153</v>
      </c>
      <c r="C41" s="3" t="s">
        <v>95</v>
      </c>
      <c r="D41" s="3"/>
      <c r="E41" s="1" t="str">
        <f>IFERROR(__xludf.DUMMYFUNCTION("IFERROR(REGEXEXTRACT(A41, ""res(269|122)""), ""none"")"),"269")</f>
        <v>269</v>
      </c>
      <c r="F41" s="1">
        <v>-16.381515</v>
      </c>
      <c r="G41" s="1">
        <v>6.0</v>
      </c>
      <c r="H41" s="1">
        <v>3.0</v>
      </c>
      <c r="I41" s="1">
        <v>0.5</v>
      </c>
      <c r="J41" s="1">
        <v>2.0</v>
      </c>
      <c r="K41" s="1">
        <v>-0.391175999999999</v>
      </c>
      <c r="L41" s="1">
        <v>100.0</v>
      </c>
      <c r="M41" s="1">
        <v>0.0</v>
      </c>
      <c r="N41" s="1">
        <v>0.0</v>
      </c>
      <c r="O41" s="1">
        <v>94.727309</v>
      </c>
    </row>
    <row r="42">
      <c r="A42" s="1" t="s">
        <v>321</v>
      </c>
      <c r="B42" s="1" t="s">
        <v>322</v>
      </c>
      <c r="C42" s="3" t="s">
        <v>95</v>
      </c>
      <c r="D42" s="3"/>
      <c r="E42" s="1" t="str">
        <f>IFERROR(__xludf.DUMMYFUNCTION("IFERROR(REGEXEXTRACT(A42, ""res(269|122)""), ""none"")"),"269")</f>
        <v>269</v>
      </c>
      <c r="F42" s="1">
        <v>-16.381515</v>
      </c>
      <c r="G42" s="1">
        <v>6.0</v>
      </c>
      <c r="H42" s="1">
        <v>3.0</v>
      </c>
      <c r="I42" s="1">
        <v>0.5</v>
      </c>
      <c r="J42" s="1">
        <v>2.0</v>
      </c>
      <c r="K42" s="1">
        <v>-0.391175999999999</v>
      </c>
      <c r="L42" s="1">
        <v>100.0</v>
      </c>
      <c r="M42" s="1">
        <v>0.0</v>
      </c>
      <c r="N42" s="1">
        <v>0.0</v>
      </c>
      <c r="O42" s="1">
        <v>94.727309</v>
      </c>
    </row>
    <row r="43">
      <c r="A43" s="1" t="s">
        <v>323</v>
      </c>
      <c r="B43" s="1" t="s">
        <v>324</v>
      </c>
      <c r="C43" s="3" t="s">
        <v>95</v>
      </c>
      <c r="D43" s="3"/>
      <c r="E43" s="1" t="str">
        <f>IFERROR(__xludf.DUMMYFUNCTION("IFERROR(REGEXEXTRACT(A43, ""res(269|122)""), ""none"")"),"269")</f>
        <v>269</v>
      </c>
      <c r="F43" s="1">
        <v>-16.381515</v>
      </c>
      <c r="G43" s="1">
        <v>6.0</v>
      </c>
      <c r="H43" s="1">
        <v>3.0</v>
      </c>
      <c r="I43" s="1">
        <v>0.5</v>
      </c>
      <c r="J43" s="1">
        <v>2.0</v>
      </c>
      <c r="K43" s="1">
        <v>-0.391175999999999</v>
      </c>
      <c r="L43" s="1">
        <v>100.0</v>
      </c>
      <c r="M43" s="1">
        <v>0.0</v>
      </c>
      <c r="N43" s="1">
        <v>0.0</v>
      </c>
      <c r="O43" s="1">
        <v>94.727309</v>
      </c>
    </row>
    <row r="44">
      <c r="A44" s="1" t="s">
        <v>325</v>
      </c>
      <c r="B44" s="1" t="s">
        <v>326</v>
      </c>
      <c r="C44" s="3" t="s">
        <v>24</v>
      </c>
      <c r="D44" s="3"/>
      <c r="E44" s="1" t="str">
        <f>IFERROR(__xludf.DUMMYFUNCTION("IFERROR(REGEXEXTRACT(A44, ""res(269|122)""), ""none"")"),"269")</f>
        <v>269</v>
      </c>
      <c r="F44" s="1">
        <v>-16.758312</v>
      </c>
      <c r="G44" s="1">
        <v>7.0</v>
      </c>
      <c r="H44" s="1">
        <v>4.0</v>
      </c>
      <c r="I44" s="1">
        <v>0.428571</v>
      </c>
      <c r="J44" s="1">
        <v>2.0</v>
      </c>
      <c r="K44" s="1">
        <v>-1.542056</v>
      </c>
      <c r="L44" s="1">
        <v>100.0</v>
      </c>
      <c r="M44" s="1">
        <v>0.0</v>
      </c>
      <c r="N44" s="1">
        <v>0.0</v>
      </c>
      <c r="O44" s="1">
        <v>95.128203</v>
      </c>
    </row>
    <row r="45">
      <c r="A45" s="1" t="s">
        <v>327</v>
      </c>
      <c r="B45" s="1" t="s">
        <v>156</v>
      </c>
      <c r="C45" s="3" t="s">
        <v>33</v>
      </c>
      <c r="D45" s="3"/>
      <c r="E45" s="1" t="str">
        <f>IFERROR(__xludf.DUMMYFUNCTION("IFERROR(REGEXEXTRACT(A45, ""res(269|122)""), ""none"")"),"269")</f>
        <v>269</v>
      </c>
      <c r="F45" s="1">
        <v>-16.196607</v>
      </c>
      <c r="G45" s="1">
        <v>8.0</v>
      </c>
      <c r="H45" s="1">
        <v>5.0</v>
      </c>
      <c r="I45" s="1">
        <v>0.625</v>
      </c>
      <c r="J45" s="1">
        <v>3.0</v>
      </c>
      <c r="K45" s="1">
        <v>-1.08205699999999</v>
      </c>
      <c r="L45" s="1">
        <v>100.0</v>
      </c>
      <c r="M45" s="1">
        <v>0.0</v>
      </c>
      <c r="N45" s="1">
        <v>0.0</v>
      </c>
      <c r="O45" s="1">
        <v>99.346336</v>
      </c>
    </row>
    <row r="46">
      <c r="A46" s="1" t="s">
        <v>328</v>
      </c>
      <c r="B46" s="1" t="s">
        <v>329</v>
      </c>
      <c r="C46" s="3" t="s">
        <v>95</v>
      </c>
      <c r="D46" s="3"/>
      <c r="E46" s="1" t="str">
        <f>IFERROR(__xludf.DUMMYFUNCTION("IFERROR(REGEXEXTRACT(A46, ""res(269|122)""), ""none"")"),"269")</f>
        <v>269</v>
      </c>
      <c r="F46" s="1">
        <v>-15.182474</v>
      </c>
      <c r="G46" s="1">
        <v>7.0</v>
      </c>
      <c r="H46" s="1">
        <v>2.0</v>
      </c>
      <c r="I46" s="1">
        <v>0.285714</v>
      </c>
      <c r="J46" s="1">
        <v>2.0</v>
      </c>
      <c r="K46" s="1">
        <v>-0.62157</v>
      </c>
      <c r="L46" s="1">
        <v>100.0</v>
      </c>
      <c r="M46" s="1">
        <v>0.0</v>
      </c>
      <c r="N46" s="1">
        <v>0.0</v>
      </c>
      <c r="O46" s="1">
        <v>95.48167</v>
      </c>
    </row>
    <row r="47">
      <c r="A47" s="1" t="s">
        <v>330</v>
      </c>
      <c r="B47" s="1" t="s">
        <v>159</v>
      </c>
      <c r="C47" s="3" t="s">
        <v>33</v>
      </c>
      <c r="D47" s="3"/>
      <c r="E47" s="1" t="str">
        <f>IFERROR(__xludf.DUMMYFUNCTION("IFERROR(REGEXEXTRACT(A47, ""res(269|122)""), ""none"")"),"269")</f>
        <v>269</v>
      </c>
      <c r="F47" s="1">
        <v>-17.250811</v>
      </c>
      <c r="G47" s="1">
        <v>11.0</v>
      </c>
      <c r="H47" s="1">
        <v>5.0</v>
      </c>
      <c r="I47" s="1">
        <v>0.272727</v>
      </c>
      <c r="J47" s="1">
        <v>2.0</v>
      </c>
      <c r="K47" s="1">
        <v>-0.713731</v>
      </c>
      <c r="L47" s="1">
        <v>100.0</v>
      </c>
      <c r="M47" s="1">
        <v>0.0</v>
      </c>
      <c r="N47" s="1">
        <v>0.0</v>
      </c>
      <c r="O47" s="1">
        <v>100.308185</v>
      </c>
    </row>
    <row r="48">
      <c r="A48" s="1" t="s">
        <v>331</v>
      </c>
      <c r="B48" s="1" t="s">
        <v>332</v>
      </c>
      <c r="C48" s="3" t="s">
        <v>95</v>
      </c>
      <c r="D48" s="3"/>
      <c r="E48" s="1" t="str">
        <f>IFERROR(__xludf.DUMMYFUNCTION("IFERROR(REGEXEXTRACT(A48, ""res(269|122)""), ""none"")"),"269")</f>
        <v>269</v>
      </c>
      <c r="F48" s="1">
        <v>-15.813539</v>
      </c>
      <c r="G48" s="1">
        <v>8.0</v>
      </c>
      <c r="H48" s="1">
        <v>4.0</v>
      </c>
      <c r="I48" s="1">
        <v>0.375</v>
      </c>
      <c r="J48" s="1">
        <v>2.0</v>
      </c>
      <c r="K48" s="1">
        <v>-0.75356</v>
      </c>
      <c r="L48" s="1">
        <v>100.0</v>
      </c>
      <c r="M48" s="1">
        <v>0.0</v>
      </c>
      <c r="N48" s="1">
        <v>0.0</v>
      </c>
      <c r="O48" s="1">
        <v>97.807901</v>
      </c>
    </row>
    <row r="49">
      <c r="A49" s="1" t="s">
        <v>333</v>
      </c>
      <c r="B49" s="1" t="s">
        <v>162</v>
      </c>
      <c r="C49" s="3" t="s">
        <v>33</v>
      </c>
      <c r="D49" s="3"/>
      <c r="E49" s="1" t="str">
        <f>IFERROR(__xludf.DUMMYFUNCTION("IFERROR(REGEXEXTRACT(A49, ""res(269|122)""), ""none"")"),"269")</f>
        <v>269</v>
      </c>
      <c r="F49" s="1">
        <v>-17.483332</v>
      </c>
      <c r="G49" s="1">
        <v>7.0</v>
      </c>
      <c r="H49" s="1">
        <v>2.0</v>
      </c>
      <c r="I49" s="1">
        <v>0.428571</v>
      </c>
      <c r="J49" s="1">
        <v>2.0</v>
      </c>
      <c r="K49" s="1">
        <v>-0.934603</v>
      </c>
      <c r="L49" s="1">
        <v>100.0</v>
      </c>
      <c r="M49" s="1">
        <v>0.0</v>
      </c>
      <c r="N49" s="1">
        <v>0.0</v>
      </c>
      <c r="O49" s="1">
        <v>93.010636</v>
      </c>
    </row>
    <row r="50">
      <c r="A50" s="1" t="s">
        <v>334</v>
      </c>
      <c r="B50" s="1" t="s">
        <v>335</v>
      </c>
      <c r="C50" s="3" t="s">
        <v>24</v>
      </c>
      <c r="D50" s="3"/>
      <c r="E50" s="1" t="str">
        <f>IFERROR(__xludf.DUMMYFUNCTION("IFERROR(REGEXEXTRACT(A50, ""res(269|122)""), ""none"")"),"269")</f>
        <v>269</v>
      </c>
      <c r="F50" s="1">
        <v>-15.044133</v>
      </c>
      <c r="G50" s="1">
        <v>7.0</v>
      </c>
      <c r="H50" s="1">
        <v>3.0</v>
      </c>
      <c r="I50" s="1">
        <v>0.285714</v>
      </c>
      <c r="J50" s="1">
        <v>2.0</v>
      </c>
      <c r="K50" s="1">
        <v>-0.869404</v>
      </c>
      <c r="L50" s="1">
        <v>100.0</v>
      </c>
      <c r="M50" s="1">
        <v>0.0</v>
      </c>
      <c r="N50" s="1">
        <v>0.0</v>
      </c>
      <c r="O50" s="1">
        <v>96.372177</v>
      </c>
    </row>
    <row r="51">
      <c r="A51" s="1" t="s">
        <v>336</v>
      </c>
      <c r="B51" s="1" t="s">
        <v>337</v>
      </c>
      <c r="C51" s="3" t="s">
        <v>95</v>
      </c>
      <c r="D51" s="3"/>
      <c r="E51" s="1" t="str">
        <f>IFERROR(__xludf.DUMMYFUNCTION("IFERROR(REGEXEXTRACT(A51, ""res(269|122)""), ""none"")"),"269")</f>
        <v>269</v>
      </c>
      <c r="F51" s="1">
        <v>-16.338997</v>
      </c>
      <c r="G51" s="1">
        <v>6.0</v>
      </c>
      <c r="H51" s="1">
        <v>1.0</v>
      </c>
      <c r="I51" s="1">
        <v>0.333333</v>
      </c>
      <c r="J51" s="1">
        <v>2.0</v>
      </c>
      <c r="K51" s="1">
        <v>-1.569369</v>
      </c>
      <c r="L51" s="1">
        <v>100.0</v>
      </c>
      <c r="M51" s="1">
        <v>0.0</v>
      </c>
      <c r="N51" s="1">
        <v>0.0</v>
      </c>
      <c r="O51" s="1">
        <v>91.424967</v>
      </c>
    </row>
    <row r="52">
      <c r="A52" s="1" t="s">
        <v>338</v>
      </c>
      <c r="B52" s="1" t="s">
        <v>339</v>
      </c>
      <c r="C52" s="3" t="s">
        <v>95</v>
      </c>
      <c r="D52" s="3"/>
      <c r="E52" s="1" t="str">
        <f>IFERROR(__xludf.DUMMYFUNCTION("IFERROR(REGEXEXTRACT(A52, ""res(269|122)""), ""none"")"),"269")</f>
        <v>269</v>
      </c>
      <c r="F52" s="1">
        <v>-15.874894</v>
      </c>
      <c r="G52" s="1">
        <v>8.0</v>
      </c>
      <c r="H52" s="1">
        <v>2.0</v>
      </c>
      <c r="I52" s="1">
        <v>0.25</v>
      </c>
      <c r="J52" s="1">
        <v>2.0</v>
      </c>
      <c r="K52" s="1">
        <v>-1.527443</v>
      </c>
      <c r="L52" s="1">
        <v>100.0</v>
      </c>
      <c r="M52" s="1">
        <v>0.0</v>
      </c>
      <c r="N52" s="1">
        <v>0.0</v>
      </c>
      <c r="O52" s="1">
        <v>94.847663</v>
      </c>
    </row>
    <row r="53">
      <c r="A53" s="1" t="s">
        <v>340</v>
      </c>
      <c r="B53" s="1" t="s">
        <v>84</v>
      </c>
      <c r="C53" s="3" t="s">
        <v>33</v>
      </c>
      <c r="D53" s="3"/>
      <c r="E53" s="1" t="str">
        <f>IFERROR(__xludf.DUMMYFUNCTION("IFERROR(REGEXEXTRACT(A53, ""res(269|122)""), ""none"")"),"269")</f>
        <v>269</v>
      </c>
      <c r="F53" s="1">
        <v>-15.19198</v>
      </c>
      <c r="G53" s="1">
        <v>8.0</v>
      </c>
      <c r="H53" s="1">
        <v>3.0</v>
      </c>
      <c r="I53" s="1">
        <v>0.375</v>
      </c>
      <c r="J53" s="1">
        <v>2.0</v>
      </c>
      <c r="K53" s="1">
        <v>-1.182302</v>
      </c>
      <c r="L53" s="1">
        <v>100.0</v>
      </c>
      <c r="M53" s="1">
        <v>0.0</v>
      </c>
      <c r="N53" s="1">
        <v>0.0</v>
      </c>
      <c r="O53" s="1">
        <v>97.000718</v>
      </c>
    </row>
    <row r="54">
      <c r="A54" s="1" t="s">
        <v>341</v>
      </c>
      <c r="B54" s="1" t="s">
        <v>87</v>
      </c>
      <c r="C54" s="3" t="s">
        <v>26</v>
      </c>
      <c r="D54" s="3"/>
      <c r="E54" s="1" t="str">
        <f>IFERROR(__xludf.DUMMYFUNCTION("IFERROR(REGEXEXTRACT(A54, ""res(269|122)""), ""none"")"),"269")</f>
        <v>269</v>
      </c>
      <c r="F54" s="1">
        <v>-15.653385</v>
      </c>
      <c r="G54" s="1">
        <v>8.0</v>
      </c>
      <c r="H54" s="1">
        <v>3.0</v>
      </c>
      <c r="I54" s="1">
        <v>0.25</v>
      </c>
      <c r="J54" s="1">
        <v>2.0</v>
      </c>
      <c r="K54" s="1">
        <v>-0.166637</v>
      </c>
      <c r="L54" s="1">
        <v>100.0</v>
      </c>
      <c r="M54" s="1">
        <v>0.0</v>
      </c>
      <c r="N54" s="1">
        <v>0.0</v>
      </c>
      <c r="O54" s="1">
        <v>97.429978</v>
      </c>
    </row>
    <row r="55">
      <c r="A55" s="1" t="s">
        <v>342</v>
      </c>
      <c r="B55" s="1" t="s">
        <v>165</v>
      </c>
      <c r="C55" s="3" t="s">
        <v>33</v>
      </c>
      <c r="D55" s="3"/>
      <c r="E55" s="1" t="str">
        <f>IFERROR(__xludf.DUMMYFUNCTION("IFERROR(REGEXEXTRACT(A55, ""res(269|122)""), ""none"")"),"269")</f>
        <v>269</v>
      </c>
      <c r="F55" s="1">
        <v>-15.468589</v>
      </c>
      <c r="G55" s="1">
        <v>8.0</v>
      </c>
      <c r="H55" s="1">
        <v>3.0</v>
      </c>
      <c r="I55" s="1">
        <v>0.375</v>
      </c>
      <c r="J55" s="1">
        <v>2.0</v>
      </c>
      <c r="K55" s="1">
        <v>-0.987794</v>
      </c>
      <c r="L55" s="1">
        <v>100.0</v>
      </c>
      <c r="M55" s="1">
        <v>0.0</v>
      </c>
      <c r="N55" s="1">
        <v>0.0</v>
      </c>
      <c r="O55" s="1">
        <v>96.918617</v>
      </c>
    </row>
    <row r="56">
      <c r="A56" s="1" t="s">
        <v>343</v>
      </c>
      <c r="B56" s="1" t="s">
        <v>344</v>
      </c>
      <c r="C56" s="3" t="s">
        <v>24</v>
      </c>
      <c r="D56" s="3"/>
      <c r="E56" s="1" t="str">
        <f>IFERROR(__xludf.DUMMYFUNCTION("IFERROR(REGEXEXTRACT(A56, ""res(269|122)""), ""none"")"),"269")</f>
        <v>269</v>
      </c>
      <c r="F56" s="1">
        <v>-16.533467</v>
      </c>
      <c r="G56" s="1">
        <v>8.0</v>
      </c>
      <c r="H56" s="1">
        <v>5.0</v>
      </c>
      <c r="I56" s="1">
        <v>0.25</v>
      </c>
      <c r="J56" s="1">
        <v>2.0</v>
      </c>
      <c r="K56" s="1">
        <v>-1.486018</v>
      </c>
      <c r="L56" s="1">
        <v>100.0</v>
      </c>
      <c r="M56" s="1">
        <v>0.0</v>
      </c>
      <c r="N56" s="1">
        <v>0.0</v>
      </c>
      <c r="O56" s="1">
        <v>97.230515</v>
      </c>
    </row>
    <row r="57">
      <c r="A57" s="1" t="s">
        <v>345</v>
      </c>
      <c r="B57" s="1" t="s">
        <v>346</v>
      </c>
      <c r="C57" s="3" t="s">
        <v>24</v>
      </c>
      <c r="D57" s="5"/>
      <c r="E57" s="1" t="str">
        <f>IFERROR(__xludf.DUMMYFUNCTION("IFERROR(REGEXEXTRACT(A57, ""res(269|122)""), ""none"")"),"269")</f>
        <v>269</v>
      </c>
      <c r="F57" s="1">
        <v>-16.383014</v>
      </c>
      <c r="G57" s="1">
        <v>11.0</v>
      </c>
      <c r="H57" s="1">
        <v>5.0</v>
      </c>
      <c r="I57" s="1">
        <v>0.545455</v>
      </c>
      <c r="J57" s="1">
        <v>2.0</v>
      </c>
      <c r="K57" s="1">
        <v>-1.431922</v>
      </c>
      <c r="L57" s="1">
        <v>100.0</v>
      </c>
      <c r="M57" s="1">
        <v>0.0</v>
      </c>
      <c r="N57" s="1">
        <v>0.0</v>
      </c>
      <c r="O57" s="1">
        <v>100.730519</v>
      </c>
    </row>
    <row r="58">
      <c r="A58" s="1" t="s">
        <v>347</v>
      </c>
      <c r="B58" s="1" t="s">
        <v>348</v>
      </c>
      <c r="C58" s="3" t="s">
        <v>95</v>
      </c>
      <c r="D58" s="5"/>
      <c r="E58" s="1" t="str">
        <f>IFERROR(__xludf.DUMMYFUNCTION("IFERROR(REGEXEXTRACT(A58, ""res(269|122)""), ""none"")"),"269")</f>
        <v>269</v>
      </c>
      <c r="F58" s="1">
        <v>-15.915515</v>
      </c>
      <c r="G58" s="1">
        <v>8.0</v>
      </c>
      <c r="H58" s="1">
        <v>4.0</v>
      </c>
      <c r="I58" s="1">
        <v>0.375</v>
      </c>
      <c r="J58" s="1">
        <v>2.0</v>
      </c>
      <c r="K58" s="1">
        <v>-0.684045</v>
      </c>
      <c r="L58" s="1">
        <v>100.0</v>
      </c>
      <c r="M58" s="1">
        <v>0.0</v>
      </c>
      <c r="N58" s="1">
        <v>0.0</v>
      </c>
      <c r="O58" s="1">
        <v>97.77544</v>
      </c>
    </row>
    <row r="59">
      <c r="A59" s="1" t="s">
        <v>349</v>
      </c>
      <c r="B59" s="1" t="s">
        <v>90</v>
      </c>
      <c r="C59" s="3" t="s">
        <v>33</v>
      </c>
      <c r="D59" s="3"/>
      <c r="E59" s="1" t="str">
        <f>IFERROR(__xludf.DUMMYFUNCTION("IFERROR(REGEXEXTRACT(A59, ""res(269|122)""), ""none"")"),"269")</f>
        <v>269</v>
      </c>
      <c r="F59" s="1">
        <v>-15.759066</v>
      </c>
      <c r="G59" s="1">
        <v>7.0</v>
      </c>
      <c r="H59" s="1">
        <v>2.0</v>
      </c>
      <c r="I59" s="1">
        <v>0.571429</v>
      </c>
      <c r="J59" s="1">
        <v>2.0</v>
      </c>
      <c r="K59" s="1">
        <v>-0.931789</v>
      </c>
      <c r="L59" s="1">
        <v>100.0</v>
      </c>
      <c r="M59" s="1">
        <v>0.0</v>
      </c>
      <c r="N59" s="1">
        <v>0.0</v>
      </c>
      <c r="O59" s="1">
        <v>94.880574</v>
      </c>
    </row>
    <row r="60">
      <c r="A60" s="1" t="s">
        <v>350</v>
      </c>
      <c r="B60" s="1" t="s">
        <v>351</v>
      </c>
      <c r="C60" s="3" t="s">
        <v>429</v>
      </c>
      <c r="D60" s="3"/>
      <c r="E60" s="1" t="str">
        <f>IFERROR(__xludf.DUMMYFUNCTION("IFERROR(REGEXEXTRACT(A60, ""res(269|122)""), ""none"")"),"269")</f>
        <v>269</v>
      </c>
      <c r="F60" s="1">
        <v>-15.759066</v>
      </c>
      <c r="G60" s="1">
        <v>7.0</v>
      </c>
      <c r="H60" s="1">
        <v>2.0</v>
      </c>
      <c r="I60" s="1">
        <v>0.571429</v>
      </c>
      <c r="J60" s="1">
        <v>2.0</v>
      </c>
      <c r="K60" s="1">
        <v>-0.931789</v>
      </c>
      <c r="L60" s="1">
        <v>100.0</v>
      </c>
      <c r="M60" s="1">
        <v>0.0</v>
      </c>
      <c r="N60" s="1">
        <v>0.0</v>
      </c>
      <c r="O60" s="1">
        <v>94.880574</v>
      </c>
    </row>
    <row r="61">
      <c r="A61" s="1" t="s">
        <v>352</v>
      </c>
      <c r="B61" s="1" t="s">
        <v>353</v>
      </c>
      <c r="C61" s="3" t="s">
        <v>95</v>
      </c>
      <c r="D61" s="5"/>
      <c r="E61" s="1" t="str">
        <f>IFERROR(__xludf.DUMMYFUNCTION("IFERROR(REGEXEXTRACT(A61, ""res(269|122)""), ""none"")"),"269")</f>
        <v>269</v>
      </c>
      <c r="F61" s="1">
        <v>-15.088626</v>
      </c>
      <c r="G61" s="1">
        <v>12.0</v>
      </c>
      <c r="H61" s="1">
        <v>3.0</v>
      </c>
      <c r="I61" s="1">
        <v>0.416667</v>
      </c>
      <c r="J61" s="1">
        <v>2.0</v>
      </c>
      <c r="K61" s="1">
        <v>-0.765151</v>
      </c>
      <c r="L61" s="1">
        <v>100.0</v>
      </c>
      <c r="M61" s="1">
        <v>0.0</v>
      </c>
      <c r="N61" s="1">
        <v>0.0</v>
      </c>
      <c r="O61" s="1">
        <v>101.56289</v>
      </c>
    </row>
    <row r="62">
      <c r="A62" s="1" t="s">
        <v>354</v>
      </c>
      <c r="B62" s="1" t="s">
        <v>355</v>
      </c>
      <c r="C62" s="3" t="s">
        <v>95</v>
      </c>
      <c r="D62" s="5"/>
      <c r="E62" s="1" t="str">
        <f>IFERROR(__xludf.DUMMYFUNCTION("IFERROR(REGEXEXTRACT(A62, ""res(269|122)""), ""none"")"),"269")</f>
        <v>269</v>
      </c>
      <c r="F62" s="1">
        <v>-16.551482</v>
      </c>
      <c r="G62" s="1">
        <v>8.0</v>
      </c>
      <c r="H62" s="1">
        <v>3.0</v>
      </c>
      <c r="I62" s="1">
        <v>0.25</v>
      </c>
      <c r="J62" s="1">
        <v>2.0</v>
      </c>
      <c r="K62" s="1">
        <v>-0.695112</v>
      </c>
      <c r="L62" s="1">
        <v>100.0</v>
      </c>
      <c r="M62" s="1">
        <v>0.0</v>
      </c>
      <c r="N62" s="1">
        <v>0.0</v>
      </c>
      <c r="O62" s="1">
        <v>96.003406</v>
      </c>
    </row>
    <row r="63">
      <c r="A63" s="1" t="s">
        <v>356</v>
      </c>
      <c r="B63" s="1" t="s">
        <v>168</v>
      </c>
      <c r="C63" s="3" t="s">
        <v>95</v>
      </c>
      <c r="D63" s="5"/>
      <c r="E63" s="1" t="str">
        <f>IFERROR(__xludf.DUMMYFUNCTION("IFERROR(REGEXEXTRACT(A63, ""res(269|122)""), ""none"")"),"269")</f>
        <v>269</v>
      </c>
      <c r="F63" s="1">
        <v>-16.947939</v>
      </c>
      <c r="G63" s="1">
        <v>7.0</v>
      </c>
      <c r="H63" s="1">
        <v>1.0</v>
      </c>
      <c r="I63" s="1">
        <v>0.285714</v>
      </c>
      <c r="J63" s="1">
        <v>2.0</v>
      </c>
      <c r="K63" s="1">
        <v>-1.26662</v>
      </c>
      <c r="L63" s="1">
        <v>100.0</v>
      </c>
      <c r="M63" s="1">
        <v>0.0</v>
      </c>
      <c r="N63" s="1">
        <v>0.0</v>
      </c>
      <c r="O63" s="1">
        <v>92.071155</v>
      </c>
    </row>
    <row r="64">
      <c r="A64" s="1" t="s">
        <v>357</v>
      </c>
      <c r="B64" s="1" t="s">
        <v>358</v>
      </c>
      <c r="C64" s="3" t="s">
        <v>95</v>
      </c>
      <c r="D64" s="5"/>
      <c r="E64" s="1" t="str">
        <f>IFERROR(__xludf.DUMMYFUNCTION("IFERROR(REGEXEXTRACT(A64, ""res(269|122)""), ""none"")"),"269")</f>
        <v>269</v>
      </c>
      <c r="F64" s="1">
        <v>-18.499142</v>
      </c>
      <c r="G64" s="1">
        <v>10.0</v>
      </c>
      <c r="H64" s="1">
        <v>1.0</v>
      </c>
      <c r="I64" s="1">
        <v>0.3</v>
      </c>
      <c r="J64" s="1">
        <v>3.0</v>
      </c>
      <c r="K64" s="1">
        <v>-0.362342</v>
      </c>
      <c r="L64" s="1">
        <v>100.0</v>
      </c>
      <c r="M64" s="1">
        <v>0.0</v>
      </c>
      <c r="N64" s="1">
        <v>0.0</v>
      </c>
      <c r="O64" s="1">
        <v>95.438516</v>
      </c>
    </row>
    <row r="65">
      <c r="A65" s="1" t="s">
        <v>359</v>
      </c>
      <c r="B65" s="1" t="s">
        <v>360</v>
      </c>
      <c r="C65" s="3" t="s">
        <v>95</v>
      </c>
      <c r="D65" s="5"/>
      <c r="E65" s="1" t="str">
        <f>IFERROR(__xludf.DUMMYFUNCTION("IFERROR(REGEXEXTRACT(A65, ""res(269|122)""), ""none"")"),"269")</f>
        <v>269</v>
      </c>
      <c r="F65" s="1">
        <v>-16.983006</v>
      </c>
      <c r="G65" s="1">
        <v>12.0</v>
      </c>
      <c r="H65" s="1">
        <v>5.0</v>
      </c>
      <c r="I65" s="1">
        <v>0.25</v>
      </c>
      <c r="J65" s="1">
        <v>2.0</v>
      </c>
      <c r="K65" s="1">
        <v>-0.69205</v>
      </c>
      <c r="L65" s="1">
        <v>100.0</v>
      </c>
      <c r="M65" s="1">
        <v>0.0</v>
      </c>
      <c r="N65" s="1">
        <v>0.0</v>
      </c>
      <c r="O65" s="1">
        <v>101.574944</v>
      </c>
    </row>
    <row r="66">
      <c r="A66" s="1" t="s">
        <v>361</v>
      </c>
      <c r="B66" s="1" t="s">
        <v>362</v>
      </c>
      <c r="C66" s="3" t="s">
        <v>95</v>
      </c>
      <c r="D66" s="5"/>
      <c r="E66" s="1" t="str">
        <f>IFERROR(__xludf.DUMMYFUNCTION("IFERROR(REGEXEXTRACT(A66, ""res(269|122)""), ""none"")"),"269")</f>
        <v>269</v>
      </c>
      <c r="F66" s="1">
        <v>-15.529597</v>
      </c>
      <c r="G66" s="1">
        <v>9.0</v>
      </c>
      <c r="H66" s="1">
        <v>2.0</v>
      </c>
      <c r="I66" s="1">
        <v>0.444444</v>
      </c>
      <c r="J66" s="1">
        <v>2.0</v>
      </c>
      <c r="K66" s="1">
        <v>-0.986909</v>
      </c>
      <c r="L66" s="1">
        <v>100.0</v>
      </c>
      <c r="M66" s="1">
        <v>0.0</v>
      </c>
      <c r="N66" s="1">
        <v>0.0</v>
      </c>
      <c r="O66" s="1">
        <v>96.927938</v>
      </c>
    </row>
    <row r="67">
      <c r="A67" s="1" t="s">
        <v>363</v>
      </c>
      <c r="B67" s="1" t="s">
        <v>364</v>
      </c>
      <c r="C67" s="3" t="s">
        <v>95</v>
      </c>
      <c r="D67" s="5"/>
      <c r="E67" s="1" t="str">
        <f>IFERROR(__xludf.DUMMYFUNCTION("IFERROR(REGEXEXTRACT(A67, ""res(269|122)""), ""none"")"),"269")</f>
        <v>269</v>
      </c>
      <c r="F67" s="1">
        <v>-16.175959</v>
      </c>
      <c r="G67" s="1">
        <v>9.0</v>
      </c>
      <c r="H67" s="1">
        <v>3.0</v>
      </c>
      <c r="I67" s="1">
        <v>0.333333</v>
      </c>
      <c r="J67" s="1">
        <v>2.0</v>
      </c>
      <c r="K67" s="1">
        <v>-0.314357</v>
      </c>
      <c r="L67" s="1">
        <v>100.0</v>
      </c>
      <c r="M67" s="1">
        <v>0.0</v>
      </c>
      <c r="N67" s="1">
        <v>0.0</v>
      </c>
      <c r="O67" s="1">
        <v>97.843017</v>
      </c>
    </row>
    <row r="68">
      <c r="A68" s="1" t="s">
        <v>365</v>
      </c>
      <c r="B68" s="1" t="s">
        <v>366</v>
      </c>
      <c r="C68" s="3" t="s">
        <v>95</v>
      </c>
      <c r="D68" s="5"/>
      <c r="E68" s="1" t="str">
        <f>IFERROR(__xludf.DUMMYFUNCTION("IFERROR(REGEXEXTRACT(A68, ""res(269|122)""), ""none"")"),"269")</f>
        <v>269</v>
      </c>
      <c r="F68" s="1">
        <v>-17.343073</v>
      </c>
      <c r="G68" s="1">
        <v>7.0</v>
      </c>
      <c r="H68" s="1">
        <v>2.0</v>
      </c>
      <c r="I68" s="1">
        <v>0.285714</v>
      </c>
      <c r="J68" s="1">
        <v>2.0</v>
      </c>
      <c r="K68" s="1">
        <v>-0.812617</v>
      </c>
      <c r="L68" s="1">
        <v>100.0</v>
      </c>
      <c r="M68" s="1">
        <v>0.0</v>
      </c>
      <c r="N68" s="1">
        <v>0.0</v>
      </c>
      <c r="O68" s="1">
        <v>93.130024</v>
      </c>
    </row>
    <row r="69">
      <c r="A69" s="1" t="s">
        <v>367</v>
      </c>
      <c r="B69" s="1" t="s">
        <v>368</v>
      </c>
      <c r="C69" s="3" t="s">
        <v>95</v>
      </c>
      <c r="D69" s="5"/>
      <c r="E69" s="1" t="str">
        <f>IFERROR(__xludf.DUMMYFUNCTION("IFERROR(REGEXEXTRACT(A69, ""res(269|122)""), ""none"")"),"269")</f>
        <v>269</v>
      </c>
      <c r="F69" s="1">
        <v>-15.840535</v>
      </c>
      <c r="G69" s="1">
        <v>8.0</v>
      </c>
      <c r="H69" s="1">
        <v>3.0</v>
      </c>
      <c r="I69" s="1">
        <v>0.25</v>
      </c>
      <c r="J69" s="1">
        <v>2.0</v>
      </c>
      <c r="K69" s="1">
        <v>-1.102898</v>
      </c>
      <c r="L69" s="1">
        <v>100.0</v>
      </c>
      <c r="M69" s="1">
        <v>0.0</v>
      </c>
      <c r="N69" s="1">
        <v>0.0</v>
      </c>
      <c r="O69" s="1">
        <v>96.306567</v>
      </c>
    </row>
    <row r="70">
      <c r="A70" s="1" t="s">
        <v>369</v>
      </c>
      <c r="B70" s="1" t="s">
        <v>370</v>
      </c>
      <c r="C70" s="3" t="s">
        <v>95</v>
      </c>
      <c r="D70" s="5"/>
      <c r="E70" s="1" t="str">
        <f>IFERROR(__xludf.DUMMYFUNCTION("IFERROR(REGEXEXTRACT(A70, ""res(269|122)""), ""none"")"),"269")</f>
        <v>269</v>
      </c>
      <c r="F70" s="1">
        <v>-15.34511</v>
      </c>
      <c r="G70" s="1">
        <v>6.0</v>
      </c>
      <c r="H70" s="1">
        <v>3.0</v>
      </c>
      <c r="I70" s="1">
        <v>0.333333</v>
      </c>
      <c r="J70" s="1">
        <v>2.0</v>
      </c>
      <c r="K70" s="1">
        <v>-0.649549</v>
      </c>
      <c r="L70" s="1">
        <v>100.0</v>
      </c>
      <c r="M70" s="1">
        <v>0.0</v>
      </c>
      <c r="N70" s="1">
        <v>0.0</v>
      </c>
      <c r="O70" s="1">
        <v>95.338674</v>
      </c>
    </row>
    <row r="71">
      <c r="A71" s="1" t="s">
        <v>371</v>
      </c>
      <c r="B71" s="1" t="s">
        <v>372</v>
      </c>
      <c r="C71" s="3" t="s">
        <v>95</v>
      </c>
      <c r="D71" s="3"/>
      <c r="E71" s="1" t="str">
        <f>IFERROR(__xludf.DUMMYFUNCTION("IFERROR(REGEXEXTRACT(A71, ""res(269|122)""), ""none"")"),"269")</f>
        <v>269</v>
      </c>
      <c r="F71" s="1">
        <v>-15.869256</v>
      </c>
      <c r="G71" s="1">
        <v>7.0</v>
      </c>
      <c r="H71" s="1">
        <v>2.0</v>
      </c>
      <c r="I71" s="1">
        <v>0.428571</v>
      </c>
      <c r="J71" s="1">
        <v>3.0</v>
      </c>
      <c r="K71" s="1">
        <v>-2.176816</v>
      </c>
      <c r="L71" s="1">
        <v>100.0</v>
      </c>
      <c r="M71" s="1">
        <v>0.0</v>
      </c>
      <c r="N71" s="1">
        <v>0.0</v>
      </c>
      <c r="O71" s="1">
        <v>94.382499</v>
      </c>
    </row>
    <row r="72">
      <c r="A72" s="1" t="s">
        <v>373</v>
      </c>
      <c r="B72" s="1" t="s">
        <v>171</v>
      </c>
      <c r="C72" s="3" t="s">
        <v>33</v>
      </c>
      <c r="D72" s="5"/>
      <c r="E72" s="1" t="str">
        <f>IFERROR(__xludf.DUMMYFUNCTION("IFERROR(REGEXEXTRACT(A72, ""res(269|122)""), ""none"")"),"269")</f>
        <v>269</v>
      </c>
      <c r="F72" s="1">
        <v>-16.284917</v>
      </c>
      <c r="G72" s="1">
        <v>8.0</v>
      </c>
      <c r="H72" s="1">
        <v>5.0</v>
      </c>
      <c r="I72" s="1">
        <v>0.25</v>
      </c>
      <c r="J72" s="1">
        <v>2.0</v>
      </c>
      <c r="K72" s="1">
        <v>-1.566179</v>
      </c>
      <c r="L72" s="1">
        <v>100.0</v>
      </c>
      <c r="M72" s="1">
        <v>0.0</v>
      </c>
      <c r="N72" s="1">
        <v>0.0</v>
      </c>
      <c r="O72" s="1">
        <v>97.398904</v>
      </c>
    </row>
    <row r="73">
      <c r="A73" s="1" t="s">
        <v>374</v>
      </c>
      <c r="B73" s="1" t="s">
        <v>174</v>
      </c>
      <c r="C73" s="3" t="s">
        <v>33</v>
      </c>
      <c r="D73" s="5"/>
      <c r="E73" s="1" t="str">
        <f>IFERROR(__xludf.DUMMYFUNCTION("IFERROR(REGEXEXTRACT(A73, ""res(269|122)""), ""none"")"),"269")</f>
        <v>269</v>
      </c>
      <c r="F73" s="1">
        <v>-16.118663</v>
      </c>
      <c r="G73" s="1">
        <v>9.0</v>
      </c>
      <c r="H73" s="1">
        <v>1.0</v>
      </c>
      <c r="I73" s="1">
        <v>0.333333</v>
      </c>
      <c r="J73" s="1">
        <v>2.0</v>
      </c>
      <c r="K73" s="1">
        <v>-0.368431</v>
      </c>
      <c r="L73" s="1">
        <v>100.0</v>
      </c>
      <c r="M73" s="1">
        <v>0.0</v>
      </c>
      <c r="N73" s="1">
        <v>0.0</v>
      </c>
      <c r="O73" s="1">
        <v>95.846239</v>
      </c>
    </row>
    <row r="74">
      <c r="A74" s="1" t="s">
        <v>375</v>
      </c>
      <c r="B74" s="1" t="s">
        <v>376</v>
      </c>
      <c r="C74" s="3" t="s">
        <v>95</v>
      </c>
      <c r="D74" s="5"/>
      <c r="E74" s="1" t="str">
        <f>IFERROR(__xludf.DUMMYFUNCTION("IFERROR(REGEXEXTRACT(A74, ""res(269|122)""), ""none"")"),"269")</f>
        <v>269</v>
      </c>
      <c r="F74" s="1">
        <v>-15.441678</v>
      </c>
      <c r="G74" s="1">
        <v>7.0</v>
      </c>
      <c r="H74" s="1">
        <v>3.0</v>
      </c>
      <c r="I74" s="1">
        <v>0.571429</v>
      </c>
      <c r="J74" s="1">
        <v>2.0</v>
      </c>
      <c r="K74" s="1">
        <v>-0.383116</v>
      </c>
      <c r="L74" s="1">
        <v>100.0</v>
      </c>
      <c r="M74" s="1">
        <v>0.0</v>
      </c>
      <c r="N74" s="1">
        <v>0.0</v>
      </c>
      <c r="O74" s="1">
        <v>96.746635</v>
      </c>
    </row>
    <row r="75">
      <c r="A75" s="1" t="s">
        <v>377</v>
      </c>
      <c r="B75" s="1" t="s">
        <v>378</v>
      </c>
      <c r="C75" s="3" t="s">
        <v>95</v>
      </c>
      <c r="D75" s="5"/>
      <c r="E75" s="1" t="str">
        <f>IFERROR(__xludf.DUMMYFUNCTION("IFERROR(REGEXEXTRACT(A75, ""res(269|122)""), ""none"")"),"269")</f>
        <v>269</v>
      </c>
      <c r="F75" s="1">
        <v>-15.43829</v>
      </c>
      <c r="G75" s="1">
        <v>8.0</v>
      </c>
      <c r="H75" s="1">
        <v>3.0</v>
      </c>
      <c r="I75" s="1">
        <v>0.375</v>
      </c>
      <c r="J75" s="1">
        <v>2.0</v>
      </c>
      <c r="K75" s="1">
        <v>-1.14393</v>
      </c>
      <c r="L75" s="1">
        <v>100.0</v>
      </c>
      <c r="M75" s="1">
        <v>0.0</v>
      </c>
      <c r="N75" s="1">
        <v>0.0</v>
      </c>
      <c r="O75" s="1">
        <v>96.79278</v>
      </c>
    </row>
    <row r="76">
      <c r="A76" s="1" t="s">
        <v>379</v>
      </c>
      <c r="B76" s="1" t="s">
        <v>380</v>
      </c>
      <c r="C76" s="3" t="s">
        <v>95</v>
      </c>
      <c r="D76" s="5"/>
      <c r="E76" s="1" t="str">
        <f>IFERROR(__xludf.DUMMYFUNCTION("IFERROR(REGEXEXTRACT(A76, ""res(269|122)""), ""none"")"),"269")</f>
        <v>269</v>
      </c>
      <c r="F76" s="1">
        <v>-16.179464</v>
      </c>
      <c r="G76" s="1">
        <v>11.0</v>
      </c>
      <c r="H76" s="1">
        <v>5.0</v>
      </c>
      <c r="I76" s="1">
        <v>0.454545</v>
      </c>
      <c r="J76" s="1">
        <v>2.0</v>
      </c>
      <c r="K76" s="1">
        <v>-0.328299</v>
      </c>
      <c r="L76" s="1">
        <v>100.0</v>
      </c>
      <c r="M76" s="1">
        <v>0.0</v>
      </c>
      <c r="N76" s="1">
        <v>0.0</v>
      </c>
      <c r="O76" s="1">
        <v>101.946782</v>
      </c>
    </row>
    <row r="77">
      <c r="A77" s="1" t="s">
        <v>381</v>
      </c>
      <c r="B77" s="1" t="s">
        <v>177</v>
      </c>
      <c r="C77" s="3" t="s">
        <v>33</v>
      </c>
      <c r="D77" s="3"/>
      <c r="E77" s="1" t="str">
        <f>IFERROR(__xludf.DUMMYFUNCTION("IFERROR(REGEXEXTRACT(A77, ""res(269|122)""), ""none"")"),"269")</f>
        <v>269</v>
      </c>
      <c r="F77" s="1">
        <v>-15.935374</v>
      </c>
      <c r="G77" s="1">
        <v>10.0</v>
      </c>
      <c r="H77" s="1">
        <v>2.0</v>
      </c>
      <c r="I77" s="1">
        <v>0.3</v>
      </c>
      <c r="J77" s="1">
        <v>3.0</v>
      </c>
      <c r="K77" s="1">
        <v>-1.849118</v>
      </c>
      <c r="L77" s="1">
        <v>100.0</v>
      </c>
      <c r="M77" s="1">
        <v>0.0</v>
      </c>
      <c r="N77" s="1">
        <v>0.0</v>
      </c>
      <c r="O77" s="1">
        <v>97.515508</v>
      </c>
    </row>
    <row r="78">
      <c r="A78" s="1" t="s">
        <v>382</v>
      </c>
      <c r="B78" s="1" t="s">
        <v>180</v>
      </c>
      <c r="C78" s="3" t="s">
        <v>95</v>
      </c>
      <c r="D78" s="3"/>
      <c r="E78" s="1" t="str">
        <f>IFERROR(__xludf.DUMMYFUNCTION("IFERROR(REGEXEXTRACT(A78, ""res(269|122)""), ""none"")"),"269")</f>
        <v>269</v>
      </c>
      <c r="F78" s="1">
        <v>-15.953649</v>
      </c>
      <c r="G78" s="1">
        <v>12.0</v>
      </c>
      <c r="H78" s="1">
        <v>5.0</v>
      </c>
      <c r="I78" s="1">
        <v>0.416667</v>
      </c>
      <c r="J78" s="1">
        <v>3.0</v>
      </c>
      <c r="K78" s="1">
        <v>-0.584621</v>
      </c>
      <c r="L78" s="1">
        <v>100.0</v>
      </c>
      <c r="M78" s="1">
        <v>0.0</v>
      </c>
      <c r="N78" s="1">
        <v>0.0</v>
      </c>
      <c r="O78" s="1">
        <v>103.878397</v>
      </c>
    </row>
    <row r="79">
      <c r="A79" s="1" t="s">
        <v>383</v>
      </c>
      <c r="B79" s="1" t="s">
        <v>183</v>
      </c>
      <c r="C79" s="3" t="s">
        <v>95</v>
      </c>
      <c r="D79" s="3"/>
      <c r="E79" s="1" t="str">
        <f>IFERROR(__xludf.DUMMYFUNCTION("IFERROR(REGEXEXTRACT(A79, ""res(269|122)""), ""none"")"),"269")</f>
        <v>269</v>
      </c>
      <c r="F79" s="1">
        <v>-15.953649</v>
      </c>
      <c r="G79" s="1">
        <v>12.0</v>
      </c>
      <c r="H79" s="1">
        <v>5.0</v>
      </c>
      <c r="I79" s="1">
        <v>0.416667</v>
      </c>
      <c r="J79" s="1">
        <v>3.0</v>
      </c>
      <c r="K79" s="1">
        <v>-0.584621</v>
      </c>
      <c r="L79" s="1">
        <v>100.0</v>
      </c>
      <c r="M79" s="1">
        <v>0.0</v>
      </c>
      <c r="N79" s="1">
        <v>0.0</v>
      </c>
      <c r="O79" s="1">
        <v>103.878397</v>
      </c>
    </row>
    <row r="80">
      <c r="A80" s="1" t="s">
        <v>384</v>
      </c>
      <c r="B80" s="1" t="s">
        <v>385</v>
      </c>
      <c r="C80" s="3" t="s">
        <v>95</v>
      </c>
      <c r="D80" s="3"/>
      <c r="E80" s="1" t="str">
        <f>IFERROR(__xludf.DUMMYFUNCTION("IFERROR(REGEXEXTRACT(A80, ""res(269|122)""), ""none"")"),"269")</f>
        <v>269</v>
      </c>
      <c r="F80" s="1">
        <v>-15.47128</v>
      </c>
      <c r="G80" s="1">
        <v>8.0</v>
      </c>
      <c r="H80" s="1">
        <v>5.0</v>
      </c>
      <c r="I80" s="1">
        <v>0.5</v>
      </c>
      <c r="J80" s="1">
        <v>2.0</v>
      </c>
      <c r="K80" s="1">
        <v>-0.38008</v>
      </c>
      <c r="L80" s="1">
        <v>100.0</v>
      </c>
      <c r="M80" s="1">
        <v>0.0</v>
      </c>
      <c r="N80" s="1">
        <v>0.0</v>
      </c>
      <c r="O80" s="1">
        <v>99.64864</v>
      </c>
    </row>
    <row r="81">
      <c r="A81" s="1" t="s">
        <v>386</v>
      </c>
      <c r="B81" s="1" t="s">
        <v>185</v>
      </c>
      <c r="C81" s="3" t="s">
        <v>33</v>
      </c>
      <c r="D81" s="3"/>
      <c r="E81" s="1" t="str">
        <f>IFERROR(__xludf.DUMMYFUNCTION("IFERROR(REGEXEXTRACT(A81, ""res(269|122)""), ""none"")"),"269")</f>
        <v>269</v>
      </c>
      <c r="F81" s="1">
        <v>-15.47128</v>
      </c>
      <c r="G81" s="1">
        <v>8.0</v>
      </c>
      <c r="H81" s="1">
        <v>5.0</v>
      </c>
      <c r="I81" s="1">
        <v>0.5</v>
      </c>
      <c r="J81" s="1">
        <v>2.0</v>
      </c>
      <c r="K81" s="1">
        <v>-0.38008</v>
      </c>
      <c r="L81" s="1">
        <v>100.0</v>
      </c>
      <c r="M81" s="1">
        <v>0.0</v>
      </c>
      <c r="N81" s="1">
        <v>0.0</v>
      </c>
      <c r="O81" s="1">
        <v>99.64864</v>
      </c>
    </row>
    <row r="82">
      <c r="A82" s="1" t="s">
        <v>387</v>
      </c>
      <c r="B82" s="1" t="s">
        <v>388</v>
      </c>
      <c r="C82" s="3" t="s">
        <v>24</v>
      </c>
      <c r="D82" s="5"/>
      <c r="E82" s="1" t="str">
        <f>IFERROR(__xludf.DUMMYFUNCTION("IFERROR(REGEXEXTRACT(A82, ""res(269|122)""), ""none"")"),"269")</f>
        <v>269</v>
      </c>
      <c r="F82" s="1">
        <v>-15.350062</v>
      </c>
      <c r="G82" s="1">
        <v>8.0</v>
      </c>
      <c r="H82" s="1">
        <v>3.0</v>
      </c>
      <c r="I82" s="1">
        <v>0.375</v>
      </c>
      <c r="J82" s="1">
        <v>2.0</v>
      </c>
      <c r="K82" s="1">
        <v>-1.00126</v>
      </c>
      <c r="L82" s="1">
        <v>100.0</v>
      </c>
      <c r="M82" s="1">
        <v>0.0</v>
      </c>
      <c r="N82" s="1">
        <v>0.0</v>
      </c>
      <c r="O82" s="1">
        <v>97.023678</v>
      </c>
    </row>
    <row r="83">
      <c r="A83" s="1" t="s">
        <v>389</v>
      </c>
      <c r="B83" s="1" t="s">
        <v>390</v>
      </c>
      <c r="C83" s="3" t="s">
        <v>95</v>
      </c>
      <c r="D83" s="5"/>
      <c r="E83" s="1" t="str">
        <f>IFERROR(__xludf.DUMMYFUNCTION("IFERROR(REGEXEXTRACT(A83, ""res(269|122)""), ""none"")"),"269")</f>
        <v>269</v>
      </c>
      <c r="F83" s="1">
        <v>-17.013166</v>
      </c>
      <c r="G83" s="1">
        <v>10.0</v>
      </c>
      <c r="H83" s="1">
        <v>3.0</v>
      </c>
      <c r="I83" s="1">
        <v>0.4</v>
      </c>
      <c r="J83" s="1">
        <v>2.0</v>
      </c>
      <c r="K83" s="1">
        <v>-0.429581</v>
      </c>
      <c r="L83" s="1">
        <v>100.0</v>
      </c>
      <c r="M83" s="1">
        <v>0.0</v>
      </c>
      <c r="N83" s="1">
        <v>0.0</v>
      </c>
      <c r="O83" s="1">
        <v>97.957253</v>
      </c>
    </row>
    <row r="84">
      <c r="A84" s="1" t="s">
        <v>391</v>
      </c>
      <c r="B84" s="1" t="s">
        <v>392</v>
      </c>
      <c r="C84" s="3" t="s">
        <v>33</v>
      </c>
      <c r="D84" s="5"/>
      <c r="E84" s="1" t="str">
        <f>IFERROR(__xludf.DUMMYFUNCTION("IFERROR(REGEXEXTRACT(A84, ""res(269|122)""), ""none"")"),"269")</f>
        <v>269</v>
      </c>
      <c r="F84" s="1">
        <v>-17.033126</v>
      </c>
      <c r="G84" s="1">
        <v>11.0</v>
      </c>
      <c r="H84" s="1">
        <v>5.0</v>
      </c>
      <c r="I84" s="1">
        <v>0.363636</v>
      </c>
      <c r="J84" s="1">
        <v>2.0</v>
      </c>
      <c r="K84" s="1">
        <v>-1.0082</v>
      </c>
      <c r="L84" s="1">
        <v>100.0</v>
      </c>
      <c r="M84" s="1">
        <v>0.0</v>
      </c>
      <c r="N84" s="1">
        <v>0.0</v>
      </c>
      <c r="O84" s="1">
        <v>100.32231</v>
      </c>
    </row>
    <row r="85">
      <c r="A85" s="1" t="s">
        <v>393</v>
      </c>
      <c r="B85" s="1" t="s">
        <v>394</v>
      </c>
      <c r="C85" s="3" t="s">
        <v>24</v>
      </c>
      <c r="D85" s="5"/>
      <c r="E85" s="1" t="str">
        <f>IFERROR(__xludf.DUMMYFUNCTION("IFERROR(REGEXEXTRACT(A85, ""res(269|122)""), ""none"")"),"269")</f>
        <v>269</v>
      </c>
      <c r="F85" s="1">
        <v>-15.889195</v>
      </c>
      <c r="G85" s="1">
        <v>10.0</v>
      </c>
      <c r="H85" s="1">
        <v>4.0</v>
      </c>
      <c r="I85" s="1">
        <v>0.3</v>
      </c>
      <c r="J85" s="1">
        <v>2.0</v>
      </c>
      <c r="K85" s="1">
        <v>-1.177871</v>
      </c>
      <c r="L85" s="1">
        <v>100.0</v>
      </c>
      <c r="M85" s="1">
        <v>0.0</v>
      </c>
      <c r="N85" s="1">
        <v>0.0</v>
      </c>
      <c r="O85" s="1">
        <v>99.232934</v>
      </c>
    </row>
    <row r="86">
      <c r="C86" s="5"/>
      <c r="D86" s="5"/>
    </row>
    <row r="87">
      <c r="C87" s="5"/>
      <c r="D87" s="5"/>
    </row>
    <row r="88">
      <c r="C88" s="5"/>
      <c r="D88" s="5"/>
    </row>
    <row r="89">
      <c r="C89" s="5"/>
      <c r="D89" s="5"/>
    </row>
    <row r="90">
      <c r="C90" s="5"/>
      <c r="D90" s="5"/>
    </row>
    <row r="91">
      <c r="C91" s="5"/>
      <c r="D91" s="5"/>
    </row>
    <row r="92">
      <c r="C92" s="5"/>
      <c r="D92" s="5"/>
    </row>
    <row r="93">
      <c r="C93" s="5"/>
      <c r="D93" s="5"/>
    </row>
    <row r="94">
      <c r="C94" s="5"/>
      <c r="D94" s="5"/>
    </row>
    <row r="95">
      <c r="C95" s="5"/>
      <c r="D95" s="5"/>
    </row>
    <row r="96">
      <c r="C96" s="5"/>
      <c r="D96" s="5"/>
    </row>
    <row r="97">
      <c r="C97" s="5"/>
      <c r="D97" s="5"/>
    </row>
    <row r="98">
      <c r="C98" s="5"/>
      <c r="D98" s="5"/>
    </row>
    <row r="99">
      <c r="C99" s="5"/>
      <c r="D99" s="5"/>
    </row>
    <row r="100">
      <c r="C100" s="5"/>
      <c r="D100" s="5"/>
    </row>
    <row r="101">
      <c r="C101" s="5"/>
      <c r="D101" s="5"/>
    </row>
    <row r="102">
      <c r="C102" s="5"/>
      <c r="D102" s="5"/>
    </row>
    <row r="103">
      <c r="C103" s="5"/>
      <c r="D103" s="5"/>
    </row>
    <row r="104">
      <c r="C104" s="5"/>
      <c r="D104" s="5"/>
    </row>
    <row r="105">
      <c r="C105" s="5"/>
      <c r="D105" s="5"/>
    </row>
    <row r="106">
      <c r="C106" s="5"/>
      <c r="D106" s="5"/>
    </row>
    <row r="107">
      <c r="C107" s="5"/>
      <c r="D107" s="5"/>
    </row>
    <row r="108">
      <c r="C108" s="5"/>
      <c r="D108" s="5"/>
    </row>
    <row r="109">
      <c r="C109" s="5"/>
      <c r="D109" s="5"/>
    </row>
    <row r="110">
      <c r="C110" s="5"/>
      <c r="D110" s="5"/>
    </row>
    <row r="111">
      <c r="C111" s="5"/>
      <c r="D111" s="5"/>
    </row>
    <row r="112">
      <c r="C112" s="5"/>
      <c r="D112" s="5"/>
    </row>
    <row r="113">
      <c r="C113" s="5"/>
      <c r="D113" s="5"/>
    </row>
    <row r="114">
      <c r="C114" s="5"/>
      <c r="D114" s="5"/>
    </row>
    <row r="115">
      <c r="C115" s="5"/>
      <c r="D115" s="5"/>
    </row>
    <row r="116">
      <c r="C116" s="5"/>
      <c r="D116" s="5"/>
    </row>
    <row r="117">
      <c r="C117" s="5"/>
      <c r="D117" s="5"/>
    </row>
    <row r="118">
      <c r="C118" s="5"/>
      <c r="D118" s="5"/>
    </row>
    <row r="119">
      <c r="C119" s="5"/>
      <c r="D119" s="5"/>
    </row>
    <row r="120">
      <c r="C120" s="5"/>
      <c r="D120" s="5"/>
    </row>
    <row r="121">
      <c r="C121" s="5"/>
      <c r="D121" s="5"/>
    </row>
    <row r="122">
      <c r="C122" s="5"/>
      <c r="D122" s="5"/>
    </row>
    <row r="123">
      <c r="C123" s="5"/>
      <c r="D123" s="5"/>
    </row>
    <row r="124">
      <c r="C124" s="5"/>
      <c r="D124" s="5"/>
    </row>
    <row r="125">
      <c r="C125" s="5"/>
      <c r="D125" s="5"/>
    </row>
    <row r="126">
      <c r="C126" s="5"/>
      <c r="D126" s="5"/>
    </row>
    <row r="127">
      <c r="C127" s="5"/>
      <c r="D127" s="5"/>
    </row>
    <row r="128">
      <c r="C128" s="5"/>
      <c r="D128" s="5"/>
    </row>
    <row r="129">
      <c r="C129" s="5"/>
      <c r="D129" s="5"/>
    </row>
    <row r="130">
      <c r="C130" s="5"/>
      <c r="D130" s="5"/>
    </row>
    <row r="131">
      <c r="C131" s="5"/>
      <c r="D131" s="5"/>
    </row>
    <row r="132">
      <c r="C132" s="5"/>
      <c r="D132" s="5"/>
    </row>
    <row r="133">
      <c r="C133" s="5"/>
      <c r="D133" s="5"/>
    </row>
    <row r="134">
      <c r="C134" s="5"/>
      <c r="D134" s="5"/>
    </row>
    <row r="135">
      <c r="C135" s="5"/>
      <c r="D135" s="5"/>
    </row>
    <row r="136">
      <c r="C136" s="5"/>
      <c r="D136" s="5"/>
    </row>
    <row r="137">
      <c r="C137" s="5"/>
      <c r="D137" s="5"/>
    </row>
    <row r="138">
      <c r="C138" s="5"/>
      <c r="D138" s="5"/>
    </row>
    <row r="139">
      <c r="C139" s="5"/>
      <c r="D139" s="5"/>
    </row>
    <row r="140">
      <c r="C140" s="5"/>
      <c r="D140" s="5"/>
    </row>
    <row r="141">
      <c r="C141" s="5"/>
      <c r="D141" s="5"/>
    </row>
    <row r="142">
      <c r="C142" s="5"/>
      <c r="D142" s="5"/>
    </row>
    <row r="143">
      <c r="C143" s="5"/>
      <c r="D143" s="5"/>
    </row>
    <row r="144">
      <c r="C144" s="5"/>
      <c r="D144" s="5"/>
    </row>
    <row r="145">
      <c r="C145" s="5"/>
      <c r="D145" s="5"/>
    </row>
    <row r="146">
      <c r="C146" s="5"/>
      <c r="D146" s="5"/>
    </row>
    <row r="147">
      <c r="C147" s="5"/>
      <c r="D147" s="5"/>
    </row>
    <row r="148">
      <c r="C148" s="5"/>
      <c r="D148" s="5"/>
    </row>
    <row r="149">
      <c r="C149" s="5"/>
      <c r="D149" s="5"/>
    </row>
    <row r="150">
      <c r="C150" s="5"/>
      <c r="D150" s="5"/>
    </row>
    <row r="151">
      <c r="C151" s="5"/>
      <c r="D151" s="5"/>
    </row>
    <row r="152">
      <c r="C152" s="5"/>
      <c r="D152" s="5"/>
    </row>
    <row r="153">
      <c r="C153" s="5"/>
      <c r="D153" s="5"/>
    </row>
    <row r="154">
      <c r="C154" s="5"/>
      <c r="D154" s="5"/>
    </row>
    <row r="155">
      <c r="C155" s="5"/>
      <c r="D155" s="5"/>
    </row>
    <row r="156">
      <c r="C156" s="5"/>
      <c r="D156" s="5"/>
    </row>
    <row r="157">
      <c r="C157" s="5"/>
      <c r="D157" s="5"/>
    </row>
    <row r="158">
      <c r="C158" s="5"/>
      <c r="D158" s="5"/>
    </row>
    <row r="159">
      <c r="C159" s="5"/>
      <c r="D159" s="5"/>
    </row>
    <row r="160">
      <c r="C160" s="5"/>
      <c r="D160" s="5"/>
    </row>
    <row r="161">
      <c r="C161" s="5"/>
      <c r="D161" s="5"/>
    </row>
    <row r="162">
      <c r="C162" s="5"/>
      <c r="D162" s="5"/>
    </row>
    <row r="163">
      <c r="C163" s="5"/>
      <c r="D163" s="5"/>
    </row>
    <row r="164">
      <c r="C164" s="5"/>
      <c r="D164" s="5"/>
    </row>
    <row r="165">
      <c r="C165" s="5"/>
      <c r="D165" s="5"/>
    </row>
    <row r="166">
      <c r="C166" s="5"/>
      <c r="D166" s="5"/>
    </row>
    <row r="167">
      <c r="C167" s="5"/>
      <c r="D167" s="5"/>
    </row>
    <row r="168">
      <c r="C168" s="5"/>
      <c r="D168" s="5"/>
    </row>
    <row r="169">
      <c r="C169" s="5"/>
      <c r="D169" s="5"/>
    </row>
    <row r="170">
      <c r="C170" s="5"/>
      <c r="D170" s="5"/>
    </row>
    <row r="171">
      <c r="C171" s="5"/>
      <c r="D171" s="5"/>
    </row>
    <row r="172">
      <c r="C172" s="5"/>
      <c r="D172" s="5"/>
    </row>
    <row r="173">
      <c r="C173" s="5"/>
      <c r="D173" s="5"/>
    </row>
    <row r="174">
      <c r="C174" s="5"/>
      <c r="D174" s="5"/>
    </row>
    <row r="175">
      <c r="C175" s="5"/>
      <c r="D175" s="5"/>
    </row>
    <row r="176">
      <c r="C176" s="5"/>
      <c r="D176" s="5"/>
    </row>
    <row r="177">
      <c r="C177" s="5"/>
      <c r="D177" s="5"/>
    </row>
    <row r="178">
      <c r="C178" s="5"/>
      <c r="D178" s="5"/>
    </row>
    <row r="179">
      <c r="C179" s="5"/>
      <c r="D179" s="5"/>
    </row>
    <row r="180">
      <c r="C180" s="5"/>
      <c r="D180" s="5"/>
    </row>
    <row r="181">
      <c r="C181" s="5"/>
      <c r="D181" s="5"/>
    </row>
    <row r="182">
      <c r="C182" s="5"/>
      <c r="D182" s="5"/>
    </row>
    <row r="183">
      <c r="C183" s="5"/>
      <c r="D183" s="5"/>
    </row>
    <row r="184">
      <c r="C184" s="5"/>
      <c r="D184" s="5"/>
    </row>
    <row r="185">
      <c r="C185" s="5"/>
      <c r="D185" s="5"/>
    </row>
    <row r="186">
      <c r="C186" s="5"/>
      <c r="D186" s="5"/>
    </row>
    <row r="187">
      <c r="C187" s="5"/>
      <c r="D187" s="5"/>
    </row>
    <row r="188">
      <c r="C188" s="5"/>
      <c r="D188" s="5"/>
    </row>
    <row r="189">
      <c r="C189" s="5"/>
      <c r="D189" s="5"/>
    </row>
    <row r="190">
      <c r="C190" s="5"/>
      <c r="D190" s="5"/>
    </row>
    <row r="191">
      <c r="C191" s="5"/>
      <c r="D191" s="5"/>
    </row>
    <row r="192">
      <c r="C192" s="5"/>
      <c r="D192" s="5"/>
    </row>
    <row r="193">
      <c r="C193" s="5"/>
      <c r="D193" s="5"/>
    </row>
    <row r="194">
      <c r="C194" s="5"/>
      <c r="D194" s="5"/>
    </row>
    <row r="195">
      <c r="C195" s="5"/>
      <c r="D195" s="5"/>
    </row>
    <row r="196">
      <c r="C196" s="5"/>
      <c r="D196" s="5"/>
    </row>
    <row r="197">
      <c r="C197" s="5"/>
      <c r="D197" s="5"/>
    </row>
    <row r="198">
      <c r="C198" s="5"/>
      <c r="D198" s="5"/>
    </row>
    <row r="199">
      <c r="C199" s="5"/>
      <c r="D199" s="5"/>
    </row>
    <row r="200">
      <c r="C200" s="5"/>
      <c r="D200" s="5"/>
    </row>
    <row r="201">
      <c r="C201" s="5"/>
      <c r="D201" s="5"/>
    </row>
    <row r="202">
      <c r="C202" s="5"/>
      <c r="D202" s="5"/>
    </row>
    <row r="203">
      <c r="C203" s="5"/>
      <c r="D203" s="5"/>
    </row>
    <row r="204">
      <c r="C204" s="5"/>
      <c r="D204" s="5"/>
    </row>
    <row r="205">
      <c r="C205" s="5"/>
      <c r="D205" s="5"/>
    </row>
    <row r="206">
      <c r="C206" s="5"/>
      <c r="D206" s="5"/>
    </row>
    <row r="207">
      <c r="C207" s="5"/>
      <c r="D207" s="5"/>
    </row>
    <row r="208">
      <c r="C208" s="5"/>
      <c r="D208" s="5"/>
    </row>
    <row r="209">
      <c r="C209" s="5"/>
      <c r="D209" s="5"/>
    </row>
    <row r="210">
      <c r="C210" s="5"/>
      <c r="D210" s="5"/>
    </row>
    <row r="211">
      <c r="C211" s="5"/>
      <c r="D211" s="5"/>
    </row>
    <row r="212">
      <c r="C212" s="5"/>
      <c r="D212" s="5"/>
    </row>
    <row r="213">
      <c r="C213" s="5"/>
      <c r="D213" s="5"/>
    </row>
    <row r="214">
      <c r="C214" s="5"/>
      <c r="D214" s="5"/>
    </row>
    <row r="215">
      <c r="C215" s="5"/>
      <c r="D215" s="5"/>
    </row>
    <row r="216">
      <c r="C216" s="5"/>
      <c r="D216" s="5"/>
    </row>
    <row r="217">
      <c r="C217" s="5"/>
      <c r="D217" s="5"/>
    </row>
    <row r="218">
      <c r="C218" s="5"/>
      <c r="D218" s="5"/>
    </row>
    <row r="219">
      <c r="C219" s="5"/>
      <c r="D219" s="5"/>
    </row>
    <row r="220">
      <c r="C220" s="5"/>
      <c r="D220" s="5"/>
    </row>
    <row r="221">
      <c r="C221" s="5"/>
      <c r="D221" s="5"/>
    </row>
    <row r="222">
      <c r="C222" s="5"/>
      <c r="D222" s="5"/>
    </row>
    <row r="223">
      <c r="C223" s="5"/>
      <c r="D223" s="5"/>
    </row>
    <row r="224">
      <c r="C224" s="5"/>
      <c r="D224" s="5"/>
    </row>
    <row r="225">
      <c r="C225" s="5"/>
      <c r="D225" s="5"/>
    </row>
    <row r="226">
      <c r="C226" s="5"/>
      <c r="D226" s="5"/>
    </row>
    <row r="227">
      <c r="C227" s="5"/>
      <c r="D227" s="5"/>
    </row>
    <row r="228">
      <c r="C228" s="5"/>
      <c r="D228" s="5"/>
    </row>
    <row r="229">
      <c r="C229" s="5"/>
      <c r="D229" s="5"/>
    </row>
    <row r="230">
      <c r="C230" s="5"/>
      <c r="D230" s="5"/>
    </row>
    <row r="231">
      <c r="C231" s="5"/>
      <c r="D231" s="5"/>
    </row>
    <row r="232">
      <c r="C232" s="5"/>
      <c r="D232" s="5"/>
    </row>
    <row r="233">
      <c r="C233" s="5"/>
      <c r="D233" s="5"/>
    </row>
    <row r="234">
      <c r="C234" s="5"/>
      <c r="D234" s="5"/>
    </row>
    <row r="235">
      <c r="C235" s="5"/>
      <c r="D235" s="5"/>
    </row>
    <row r="236">
      <c r="C236" s="5"/>
      <c r="D236" s="5"/>
    </row>
    <row r="237">
      <c r="C237" s="5"/>
      <c r="D237" s="5"/>
    </row>
    <row r="238">
      <c r="C238" s="5"/>
      <c r="D238" s="5"/>
    </row>
    <row r="239">
      <c r="C239" s="5"/>
      <c r="D239" s="5"/>
    </row>
    <row r="240">
      <c r="C240" s="5"/>
      <c r="D240" s="5"/>
    </row>
    <row r="241">
      <c r="C241" s="5"/>
      <c r="D241" s="5"/>
    </row>
    <row r="242">
      <c r="C242" s="5"/>
      <c r="D242" s="5"/>
    </row>
    <row r="243">
      <c r="C243" s="5"/>
      <c r="D243" s="5"/>
    </row>
    <row r="244">
      <c r="C244" s="5"/>
      <c r="D244" s="5"/>
    </row>
    <row r="245">
      <c r="C245" s="5"/>
      <c r="D245" s="5"/>
    </row>
    <row r="246">
      <c r="C246" s="5"/>
      <c r="D246" s="5"/>
    </row>
    <row r="247">
      <c r="C247" s="5"/>
      <c r="D247" s="5"/>
    </row>
    <row r="248">
      <c r="C248" s="5"/>
      <c r="D248" s="5"/>
    </row>
    <row r="249">
      <c r="C249" s="5"/>
      <c r="D249" s="5"/>
    </row>
    <row r="250">
      <c r="C250" s="5"/>
      <c r="D250" s="5"/>
    </row>
    <row r="251">
      <c r="C251" s="5"/>
      <c r="D251" s="5"/>
    </row>
    <row r="252">
      <c r="C252" s="5"/>
      <c r="D252" s="5"/>
    </row>
    <row r="253">
      <c r="C253" s="5"/>
      <c r="D253" s="5"/>
    </row>
    <row r="254">
      <c r="C254" s="5"/>
      <c r="D254" s="5"/>
    </row>
    <row r="255">
      <c r="C255" s="5"/>
      <c r="D255" s="5"/>
    </row>
    <row r="256">
      <c r="C256" s="5"/>
      <c r="D256" s="5"/>
    </row>
    <row r="257">
      <c r="C257" s="5"/>
      <c r="D257" s="5"/>
    </row>
    <row r="258">
      <c r="C258" s="5"/>
      <c r="D258" s="5"/>
    </row>
    <row r="259">
      <c r="C259" s="5"/>
      <c r="D259" s="5"/>
    </row>
    <row r="260">
      <c r="C260" s="5"/>
      <c r="D260" s="5"/>
    </row>
    <row r="261">
      <c r="C261" s="5"/>
      <c r="D261" s="5"/>
    </row>
    <row r="262">
      <c r="C262" s="5"/>
      <c r="D262" s="5"/>
    </row>
    <row r="263">
      <c r="C263" s="5"/>
      <c r="D263" s="5"/>
    </row>
    <row r="264">
      <c r="C264" s="5"/>
      <c r="D264" s="5"/>
    </row>
    <row r="265">
      <c r="C265" s="5"/>
      <c r="D265" s="5"/>
    </row>
    <row r="266">
      <c r="C266" s="5"/>
      <c r="D266" s="5"/>
    </row>
    <row r="267">
      <c r="C267" s="5"/>
      <c r="D267" s="5"/>
    </row>
    <row r="268">
      <c r="C268" s="5"/>
      <c r="D268" s="5"/>
    </row>
    <row r="269">
      <c r="C269" s="5"/>
      <c r="D269" s="5"/>
    </row>
    <row r="270">
      <c r="C270" s="5"/>
      <c r="D270" s="5"/>
    </row>
    <row r="271">
      <c r="C271" s="5"/>
      <c r="D271" s="5"/>
    </row>
    <row r="272">
      <c r="C272" s="5"/>
      <c r="D272" s="5"/>
    </row>
    <row r="273">
      <c r="C273" s="5"/>
      <c r="D273" s="5"/>
    </row>
    <row r="274">
      <c r="C274" s="5"/>
      <c r="D274" s="5"/>
    </row>
    <row r="275">
      <c r="C275" s="5"/>
      <c r="D275" s="5"/>
    </row>
    <row r="276">
      <c r="C276" s="5"/>
      <c r="D276" s="5"/>
    </row>
    <row r="277">
      <c r="C277" s="5"/>
      <c r="D277" s="5"/>
    </row>
    <row r="278">
      <c r="C278" s="5"/>
      <c r="D278" s="5"/>
    </row>
    <row r="279">
      <c r="C279" s="5"/>
      <c r="D279" s="5"/>
    </row>
    <row r="280">
      <c r="C280" s="5"/>
      <c r="D280" s="5"/>
    </row>
    <row r="281">
      <c r="C281" s="5"/>
      <c r="D281" s="5"/>
    </row>
    <row r="282">
      <c r="C282" s="5"/>
      <c r="D282" s="5"/>
    </row>
    <row r="283">
      <c r="C283" s="5"/>
      <c r="D283" s="5"/>
    </row>
    <row r="284">
      <c r="C284" s="5"/>
      <c r="D284" s="5"/>
    </row>
    <row r="285">
      <c r="C285" s="5"/>
      <c r="D285" s="5"/>
    </row>
    <row r="286">
      <c r="C286" s="5"/>
      <c r="D286" s="5"/>
    </row>
    <row r="287">
      <c r="C287" s="5"/>
      <c r="D287" s="5"/>
    </row>
    <row r="288">
      <c r="C288" s="5"/>
      <c r="D288" s="5"/>
    </row>
    <row r="289">
      <c r="C289" s="5"/>
      <c r="D289" s="5"/>
    </row>
    <row r="290">
      <c r="C290" s="5"/>
      <c r="D290" s="5"/>
    </row>
    <row r="291">
      <c r="C291" s="5"/>
      <c r="D291" s="5"/>
    </row>
    <row r="292">
      <c r="C292" s="5"/>
      <c r="D292" s="5"/>
    </row>
    <row r="293">
      <c r="C293" s="5"/>
      <c r="D293" s="5"/>
    </row>
    <row r="294">
      <c r="C294" s="5"/>
      <c r="D294" s="5"/>
    </row>
    <row r="295">
      <c r="C295" s="5"/>
      <c r="D295" s="5"/>
    </row>
    <row r="296">
      <c r="C296" s="5"/>
      <c r="D296" s="5"/>
    </row>
    <row r="297">
      <c r="C297" s="5"/>
      <c r="D297" s="5"/>
    </row>
    <row r="298">
      <c r="C298" s="5"/>
      <c r="D298" s="5"/>
    </row>
    <row r="299">
      <c r="C299" s="5"/>
      <c r="D299" s="5"/>
    </row>
    <row r="300">
      <c r="C300" s="5"/>
      <c r="D300" s="5"/>
    </row>
    <row r="301">
      <c r="C301" s="5"/>
      <c r="D301" s="5"/>
    </row>
    <row r="302">
      <c r="C302" s="5"/>
      <c r="D302" s="5"/>
    </row>
    <row r="303">
      <c r="C303" s="5"/>
      <c r="D303" s="5"/>
    </row>
    <row r="304">
      <c r="C304" s="5"/>
      <c r="D304" s="5"/>
    </row>
    <row r="305">
      <c r="C305" s="5"/>
      <c r="D305" s="5"/>
    </row>
    <row r="306">
      <c r="C306" s="5"/>
      <c r="D306" s="5"/>
    </row>
    <row r="307">
      <c r="C307" s="5"/>
      <c r="D307" s="5"/>
    </row>
    <row r="308">
      <c r="C308" s="5"/>
      <c r="D308" s="5"/>
    </row>
    <row r="309">
      <c r="C309" s="5"/>
      <c r="D309" s="5"/>
    </row>
    <row r="310">
      <c r="C310" s="5"/>
      <c r="D310" s="5"/>
    </row>
    <row r="311">
      <c r="C311" s="5"/>
      <c r="D311" s="5"/>
    </row>
    <row r="312">
      <c r="C312" s="5"/>
      <c r="D312" s="5"/>
    </row>
    <row r="313">
      <c r="C313" s="5"/>
      <c r="D313" s="5"/>
    </row>
    <row r="314">
      <c r="C314" s="5"/>
      <c r="D314" s="5"/>
    </row>
    <row r="315">
      <c r="C315" s="5"/>
      <c r="D315" s="5"/>
    </row>
    <row r="316">
      <c r="C316" s="5"/>
      <c r="D316" s="5"/>
    </row>
    <row r="317">
      <c r="C317" s="5"/>
      <c r="D317" s="5"/>
    </row>
    <row r="318">
      <c r="C318" s="5"/>
      <c r="D318" s="5"/>
    </row>
    <row r="319">
      <c r="C319" s="5"/>
      <c r="D319" s="5"/>
    </row>
    <row r="320">
      <c r="C320" s="5"/>
      <c r="D320" s="5"/>
    </row>
    <row r="321">
      <c r="C321" s="5"/>
      <c r="D321" s="5"/>
    </row>
    <row r="322">
      <c r="C322" s="5"/>
      <c r="D322" s="5"/>
    </row>
    <row r="323">
      <c r="C323" s="5"/>
      <c r="D323" s="5"/>
    </row>
    <row r="324">
      <c r="C324" s="5"/>
      <c r="D324" s="5"/>
    </row>
    <row r="325">
      <c r="C325" s="5"/>
      <c r="D325" s="5"/>
    </row>
    <row r="326">
      <c r="C326" s="5"/>
      <c r="D326" s="5"/>
    </row>
    <row r="327">
      <c r="C327" s="5"/>
      <c r="D327" s="5"/>
    </row>
    <row r="328">
      <c r="C328" s="5"/>
      <c r="D328" s="5"/>
    </row>
    <row r="329">
      <c r="C329" s="5"/>
      <c r="D329" s="5"/>
    </row>
    <row r="330">
      <c r="C330" s="5"/>
      <c r="D330" s="5"/>
    </row>
    <row r="331">
      <c r="C331" s="5"/>
      <c r="D331" s="5"/>
    </row>
    <row r="332">
      <c r="C332" s="5"/>
      <c r="D332" s="5"/>
    </row>
    <row r="333">
      <c r="C333" s="5"/>
      <c r="D333" s="5"/>
    </row>
    <row r="334">
      <c r="C334" s="5"/>
      <c r="D334" s="5"/>
    </row>
    <row r="335">
      <c r="C335" s="5"/>
      <c r="D335" s="5"/>
    </row>
    <row r="336">
      <c r="C336" s="5"/>
      <c r="D336" s="5"/>
    </row>
    <row r="337">
      <c r="C337" s="5"/>
      <c r="D337" s="5"/>
    </row>
    <row r="338">
      <c r="C338" s="5"/>
      <c r="D338" s="5"/>
    </row>
    <row r="339">
      <c r="C339" s="5"/>
      <c r="D339" s="5"/>
    </row>
    <row r="340">
      <c r="C340" s="5"/>
      <c r="D340" s="5"/>
    </row>
    <row r="341">
      <c r="C341" s="5"/>
      <c r="D341" s="5"/>
    </row>
    <row r="342">
      <c r="C342" s="5"/>
      <c r="D342" s="5"/>
    </row>
    <row r="343">
      <c r="C343" s="5"/>
      <c r="D343" s="5"/>
    </row>
    <row r="344">
      <c r="C344" s="5"/>
      <c r="D344" s="5"/>
    </row>
    <row r="345">
      <c r="C345" s="5"/>
      <c r="D345" s="5"/>
    </row>
    <row r="346">
      <c r="C346" s="5"/>
      <c r="D346" s="5"/>
    </row>
    <row r="347">
      <c r="C347" s="5"/>
      <c r="D347" s="5"/>
    </row>
    <row r="348">
      <c r="C348" s="5"/>
      <c r="D348" s="5"/>
    </row>
    <row r="349">
      <c r="C349" s="5"/>
      <c r="D349" s="5"/>
    </row>
    <row r="350">
      <c r="C350" s="5"/>
      <c r="D350" s="5"/>
    </row>
    <row r="351">
      <c r="C351" s="5"/>
      <c r="D351" s="5"/>
    </row>
    <row r="352">
      <c r="C352" s="5"/>
      <c r="D352" s="5"/>
    </row>
    <row r="353">
      <c r="C353" s="5"/>
      <c r="D353" s="5"/>
    </row>
    <row r="354">
      <c r="C354" s="5"/>
      <c r="D354" s="5"/>
    </row>
    <row r="355">
      <c r="C355" s="5"/>
      <c r="D355" s="5"/>
    </row>
    <row r="356">
      <c r="C356" s="5"/>
      <c r="D356" s="5"/>
    </row>
    <row r="357">
      <c r="C357" s="5"/>
      <c r="D357" s="5"/>
    </row>
    <row r="358">
      <c r="C358" s="5"/>
      <c r="D358" s="5"/>
    </row>
    <row r="359">
      <c r="C359" s="5"/>
      <c r="D359" s="5"/>
    </row>
    <row r="360">
      <c r="C360" s="5"/>
      <c r="D360" s="5"/>
    </row>
    <row r="361">
      <c r="C361" s="5"/>
      <c r="D361" s="5"/>
    </row>
    <row r="362">
      <c r="C362" s="5"/>
      <c r="D362" s="5"/>
    </row>
    <row r="363">
      <c r="C363" s="5"/>
      <c r="D363" s="5"/>
    </row>
    <row r="364">
      <c r="C364" s="5"/>
      <c r="D364" s="5"/>
    </row>
    <row r="365">
      <c r="C365" s="5"/>
      <c r="D365" s="5"/>
    </row>
    <row r="366">
      <c r="C366" s="5"/>
      <c r="D366" s="5"/>
    </row>
    <row r="367">
      <c r="C367" s="5"/>
      <c r="D367" s="5"/>
    </row>
    <row r="368">
      <c r="C368" s="5"/>
      <c r="D368" s="5"/>
    </row>
    <row r="369">
      <c r="C369" s="5"/>
      <c r="D369" s="5"/>
    </row>
    <row r="370">
      <c r="C370" s="5"/>
      <c r="D370" s="5"/>
    </row>
    <row r="371">
      <c r="C371" s="5"/>
      <c r="D371" s="5"/>
    </row>
    <row r="372">
      <c r="C372" s="5"/>
      <c r="D372" s="5"/>
    </row>
    <row r="373">
      <c r="C373" s="5"/>
      <c r="D373" s="5"/>
    </row>
    <row r="374">
      <c r="C374" s="5"/>
      <c r="D374" s="5"/>
    </row>
    <row r="375">
      <c r="C375" s="5"/>
      <c r="D375" s="5"/>
    </row>
    <row r="376">
      <c r="C376" s="5"/>
      <c r="D376" s="5"/>
    </row>
    <row r="377">
      <c r="C377" s="5"/>
      <c r="D377" s="5"/>
    </row>
    <row r="378">
      <c r="C378" s="5"/>
      <c r="D378" s="5"/>
    </row>
    <row r="379">
      <c r="C379" s="5"/>
      <c r="D379" s="5"/>
    </row>
    <row r="380">
      <c r="C380" s="5"/>
      <c r="D380" s="5"/>
    </row>
    <row r="381">
      <c r="C381" s="5"/>
      <c r="D381" s="5"/>
    </row>
    <row r="382">
      <c r="C382" s="5"/>
      <c r="D382" s="5"/>
    </row>
    <row r="383">
      <c r="C383" s="5"/>
      <c r="D383" s="5"/>
    </row>
    <row r="384">
      <c r="C384" s="5"/>
      <c r="D384" s="5"/>
    </row>
    <row r="385">
      <c r="C385" s="5"/>
      <c r="D385" s="5"/>
    </row>
    <row r="386">
      <c r="C386" s="5"/>
      <c r="D386" s="5"/>
    </row>
    <row r="387">
      <c r="C387" s="5"/>
      <c r="D387" s="5"/>
    </row>
    <row r="388">
      <c r="C388" s="5"/>
      <c r="D388" s="5"/>
    </row>
    <row r="389">
      <c r="C389" s="5"/>
      <c r="D389" s="5"/>
    </row>
    <row r="390">
      <c r="C390" s="5"/>
      <c r="D390" s="5"/>
    </row>
    <row r="391">
      <c r="C391" s="5"/>
      <c r="D391" s="5"/>
    </row>
    <row r="392">
      <c r="C392" s="5"/>
      <c r="D392" s="5"/>
    </row>
    <row r="393">
      <c r="C393" s="5"/>
      <c r="D393" s="5"/>
    </row>
    <row r="394">
      <c r="C394" s="5"/>
      <c r="D394" s="5"/>
    </row>
    <row r="395">
      <c r="C395" s="5"/>
      <c r="D395" s="5"/>
    </row>
    <row r="396">
      <c r="C396" s="5"/>
      <c r="D396" s="5"/>
    </row>
    <row r="397">
      <c r="C397" s="5"/>
      <c r="D397" s="5"/>
    </row>
    <row r="398">
      <c r="C398" s="5"/>
      <c r="D398" s="5"/>
    </row>
    <row r="399">
      <c r="C399" s="5"/>
      <c r="D399" s="5"/>
    </row>
    <row r="400">
      <c r="C400" s="5"/>
      <c r="D400" s="5"/>
    </row>
    <row r="401">
      <c r="C401" s="5"/>
      <c r="D401" s="5"/>
    </row>
    <row r="402">
      <c r="C402" s="5"/>
      <c r="D402" s="5"/>
    </row>
    <row r="403">
      <c r="C403" s="5"/>
      <c r="D403" s="5"/>
    </row>
    <row r="404">
      <c r="C404" s="5"/>
      <c r="D404" s="5"/>
    </row>
    <row r="405">
      <c r="C405" s="5"/>
      <c r="D405" s="5"/>
    </row>
    <row r="406">
      <c r="C406" s="5"/>
      <c r="D406" s="5"/>
    </row>
    <row r="407">
      <c r="C407" s="5"/>
      <c r="D407" s="5"/>
    </row>
    <row r="408">
      <c r="C408" s="5"/>
      <c r="D408" s="5"/>
    </row>
    <row r="409">
      <c r="C409" s="5"/>
      <c r="D409" s="5"/>
    </row>
    <row r="410">
      <c r="C410" s="5"/>
      <c r="D410" s="5"/>
    </row>
    <row r="411">
      <c r="C411" s="5"/>
      <c r="D411" s="5"/>
    </row>
    <row r="412">
      <c r="C412" s="5"/>
      <c r="D412" s="5"/>
    </row>
    <row r="413">
      <c r="C413" s="5"/>
      <c r="D413" s="5"/>
    </row>
    <row r="414">
      <c r="C414" s="5"/>
      <c r="D414" s="5"/>
    </row>
    <row r="415">
      <c r="C415" s="5"/>
      <c r="D415" s="5"/>
    </row>
    <row r="416">
      <c r="C416" s="5"/>
      <c r="D416" s="5"/>
    </row>
    <row r="417">
      <c r="C417" s="5"/>
      <c r="D417" s="5"/>
    </row>
    <row r="418">
      <c r="C418" s="5"/>
      <c r="D418" s="5"/>
    </row>
    <row r="419">
      <c r="C419" s="5"/>
      <c r="D419" s="5"/>
    </row>
    <row r="420">
      <c r="C420" s="5"/>
      <c r="D420" s="5"/>
    </row>
    <row r="421">
      <c r="C421" s="5"/>
      <c r="D421" s="5"/>
    </row>
    <row r="422">
      <c r="C422" s="5"/>
      <c r="D422" s="5"/>
    </row>
    <row r="423">
      <c r="C423" s="5"/>
      <c r="D423" s="5"/>
    </row>
    <row r="424">
      <c r="C424" s="5"/>
      <c r="D424" s="5"/>
    </row>
    <row r="425">
      <c r="C425" s="5"/>
      <c r="D425" s="5"/>
    </row>
    <row r="426">
      <c r="C426" s="5"/>
      <c r="D426" s="5"/>
    </row>
    <row r="427">
      <c r="C427" s="5"/>
      <c r="D427" s="5"/>
    </row>
    <row r="428">
      <c r="C428" s="5"/>
      <c r="D428" s="5"/>
    </row>
    <row r="429">
      <c r="C429" s="5"/>
      <c r="D429" s="5"/>
    </row>
    <row r="430">
      <c r="C430" s="5"/>
      <c r="D430" s="5"/>
    </row>
    <row r="431">
      <c r="C431" s="5"/>
      <c r="D431" s="5"/>
    </row>
    <row r="432">
      <c r="C432" s="5"/>
      <c r="D432" s="5"/>
    </row>
    <row r="433">
      <c r="C433" s="5"/>
      <c r="D433" s="5"/>
    </row>
    <row r="434">
      <c r="C434" s="5"/>
      <c r="D434" s="5"/>
    </row>
    <row r="435">
      <c r="C435" s="5"/>
      <c r="D435" s="5"/>
    </row>
    <row r="436">
      <c r="C436" s="5"/>
      <c r="D436" s="5"/>
    </row>
    <row r="437">
      <c r="C437" s="5"/>
      <c r="D437" s="5"/>
    </row>
    <row r="438">
      <c r="C438" s="5"/>
      <c r="D438" s="5"/>
    </row>
    <row r="439">
      <c r="C439" s="5"/>
      <c r="D439" s="5"/>
    </row>
    <row r="440">
      <c r="C440" s="5"/>
      <c r="D440" s="5"/>
    </row>
    <row r="441">
      <c r="C441" s="5"/>
      <c r="D441" s="5"/>
    </row>
    <row r="442">
      <c r="C442" s="5"/>
      <c r="D442" s="5"/>
    </row>
    <row r="443">
      <c r="C443" s="5"/>
      <c r="D443" s="5"/>
    </row>
    <row r="444">
      <c r="C444" s="5"/>
      <c r="D444" s="5"/>
    </row>
    <row r="445">
      <c r="C445" s="5"/>
      <c r="D445" s="5"/>
    </row>
    <row r="446">
      <c r="C446" s="5"/>
      <c r="D446" s="5"/>
    </row>
    <row r="447">
      <c r="C447" s="5"/>
      <c r="D447" s="5"/>
    </row>
    <row r="448">
      <c r="C448" s="5"/>
      <c r="D448" s="5"/>
    </row>
    <row r="449">
      <c r="C449" s="5"/>
      <c r="D449" s="5"/>
    </row>
    <row r="450">
      <c r="C450" s="5"/>
      <c r="D450" s="5"/>
    </row>
    <row r="451">
      <c r="C451" s="5"/>
      <c r="D451" s="5"/>
    </row>
    <row r="452">
      <c r="C452" s="5"/>
      <c r="D452" s="5"/>
    </row>
    <row r="453">
      <c r="C453" s="5"/>
      <c r="D453" s="5"/>
    </row>
    <row r="454">
      <c r="C454" s="5"/>
      <c r="D454" s="5"/>
    </row>
    <row r="455">
      <c r="C455" s="5"/>
      <c r="D455" s="5"/>
    </row>
    <row r="456">
      <c r="C456" s="5"/>
      <c r="D456" s="5"/>
    </row>
    <row r="457">
      <c r="C457" s="5"/>
      <c r="D457" s="5"/>
    </row>
    <row r="458">
      <c r="C458" s="5"/>
      <c r="D458" s="5"/>
    </row>
    <row r="459">
      <c r="C459" s="5"/>
      <c r="D459" s="5"/>
    </row>
    <row r="460">
      <c r="C460" s="5"/>
      <c r="D460" s="5"/>
    </row>
    <row r="461">
      <c r="C461" s="5"/>
      <c r="D461" s="5"/>
    </row>
    <row r="462">
      <c r="C462" s="5"/>
      <c r="D462" s="5"/>
    </row>
    <row r="463">
      <c r="C463" s="5"/>
      <c r="D463" s="5"/>
    </row>
    <row r="464">
      <c r="C464" s="5"/>
      <c r="D464" s="5"/>
    </row>
  </sheetData>
  <conditionalFormatting sqref="C1:C464">
    <cfRule type="containsText" dxfId="0" priority="1" operator="containsText" text="yes">
      <formula>NOT(ISERROR(SEARCH(("yes"),(C1))))</formula>
    </cfRule>
  </conditionalFormatting>
  <conditionalFormatting sqref="C1:C464">
    <cfRule type="containsText" dxfId="1" priority="2" operator="containsText" text="decent">
      <formula>NOT(ISERROR(SEARCH(("decent"),(C1))))</formula>
    </cfRule>
  </conditionalFormatting>
  <conditionalFormatting sqref="C1:C646">
    <cfRule type="containsText" dxfId="6" priority="3" operator="containsText" text="probably not">
      <formula>NOT(ISERROR(SEARCH(("probably not"),(C1))))</formula>
    </cfRule>
  </conditionalFormatting>
  <conditionalFormatting sqref="C1:C646">
    <cfRule type="containsText" dxfId="1" priority="4" operator="containsText" text="probably">
      <formula>NOT(ISERROR(SEARCH(("probably"),(C1))))</formula>
    </cfRule>
  </conditionalFormatting>
  <conditionalFormatting sqref="C1:C464">
    <cfRule type="containsText" dxfId="2" priority="5" operator="containsText" text="maybe">
      <formula>NOT(ISERROR(SEARCH(("maybe"),(C1))))</formula>
    </cfRule>
  </conditionalFormatting>
  <conditionalFormatting sqref="C1:C464">
    <cfRule type="containsText" dxfId="3" priority="6" operator="containsText" text="no">
      <formula>NOT(ISERROR(SEARCH(("no"),(C1))))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2" max="2" width="17.25"/>
    <col customWidth="1" min="3" max="4" width="20.88"/>
  </cols>
  <sheetData>
    <row r="1">
      <c r="A1" s="1" t="s">
        <v>0</v>
      </c>
      <c r="B1" s="1" t="s">
        <v>1</v>
      </c>
      <c r="C1" s="3" t="s">
        <v>5</v>
      </c>
      <c r="D1" s="3" t="s">
        <v>4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</row>
    <row r="2">
      <c r="A2" s="1" t="s">
        <v>430</v>
      </c>
      <c r="B2" s="1" t="s">
        <v>431</v>
      </c>
      <c r="C2" s="3"/>
      <c r="D2" s="3"/>
      <c r="E2" s="1" t="str">
        <f>IFERROR(__xludf.DUMMYFUNCTION("IFERROR(REGEXEXTRACT(A2, ""res(269|122)""), ""none"")"),"269")</f>
        <v>269</v>
      </c>
      <c r="F2" s="1">
        <v>-15.73021</v>
      </c>
      <c r="G2" s="1">
        <v>8.0</v>
      </c>
      <c r="H2" s="1">
        <v>2.0</v>
      </c>
      <c r="I2" s="1">
        <v>0.25</v>
      </c>
      <c r="J2" s="1">
        <v>2.0</v>
      </c>
      <c r="K2" s="1">
        <v>-0.653344</v>
      </c>
      <c r="L2" s="1">
        <v>100.0</v>
      </c>
      <c r="M2" s="1">
        <v>0.0</v>
      </c>
      <c r="N2" s="1">
        <v>0.0</v>
      </c>
      <c r="O2" s="1">
        <v>95.866446</v>
      </c>
    </row>
    <row r="3">
      <c r="A3" s="1" t="s">
        <v>257</v>
      </c>
      <c r="B3" s="1" t="s">
        <v>117</v>
      </c>
      <c r="C3" s="3"/>
      <c r="D3" s="3"/>
      <c r="E3" s="1" t="str">
        <f>IFERROR(__xludf.DUMMYFUNCTION("IFERROR(REGEXEXTRACT(A3, ""res(269|122)""), ""none"")"),"269")</f>
        <v>269</v>
      </c>
      <c r="F3" s="1">
        <v>-16.620105</v>
      </c>
      <c r="G3" s="1">
        <v>12.0</v>
      </c>
      <c r="H3" s="1">
        <v>3.0</v>
      </c>
      <c r="I3" s="1">
        <v>0.416667</v>
      </c>
      <c r="J3" s="1">
        <v>2.0</v>
      </c>
      <c r="K3" s="1">
        <v>-0.664324</v>
      </c>
      <c r="L3" s="1">
        <v>100.0</v>
      </c>
      <c r="M3" s="1">
        <v>0.0</v>
      </c>
      <c r="N3" s="1">
        <v>0.0</v>
      </c>
      <c r="O3" s="1">
        <v>100.132238</v>
      </c>
    </row>
    <row r="4">
      <c r="A4" s="1" t="s">
        <v>258</v>
      </c>
      <c r="B4" s="1" t="s">
        <v>259</v>
      </c>
      <c r="C4" s="3"/>
      <c r="D4" s="3"/>
      <c r="E4" s="1" t="str">
        <f>IFERROR(__xludf.DUMMYFUNCTION("IFERROR(REGEXEXTRACT(A4, ""res(269|122)""), ""none"")"),"269")</f>
        <v>269</v>
      </c>
      <c r="F4" s="1">
        <v>-16.020646</v>
      </c>
      <c r="G4" s="1">
        <v>9.0</v>
      </c>
      <c r="H4" s="1">
        <v>1.0</v>
      </c>
      <c r="I4" s="1">
        <v>0.333333</v>
      </c>
      <c r="J4" s="1">
        <v>3.0</v>
      </c>
      <c r="K4" s="1">
        <v>-2.057194</v>
      </c>
      <c r="L4" s="1">
        <v>100.0</v>
      </c>
      <c r="M4" s="1">
        <v>0.0</v>
      </c>
      <c r="N4" s="1">
        <v>0.0</v>
      </c>
      <c r="O4" s="1">
        <v>95.255493</v>
      </c>
    </row>
    <row r="5">
      <c r="A5" s="1" t="s">
        <v>260</v>
      </c>
      <c r="B5" s="1" t="s">
        <v>261</v>
      </c>
      <c r="C5" s="3"/>
      <c r="D5" s="3"/>
      <c r="E5" s="1" t="str">
        <f>IFERROR(__xludf.DUMMYFUNCTION("IFERROR(REGEXEXTRACT(A5, ""res(269|122)""), ""none"")"),"269")</f>
        <v>269</v>
      </c>
      <c r="F5" s="1">
        <v>-16.416697</v>
      </c>
      <c r="G5" s="1">
        <v>9.0</v>
      </c>
      <c r="H5" s="1">
        <v>1.0</v>
      </c>
      <c r="I5" s="1">
        <v>0.333333</v>
      </c>
      <c r="J5" s="1">
        <v>3.0</v>
      </c>
      <c r="K5" s="1">
        <v>-2.107731</v>
      </c>
      <c r="L5" s="1">
        <v>100.0</v>
      </c>
      <c r="M5" s="1">
        <v>0.0</v>
      </c>
      <c r="N5" s="1">
        <v>0.0</v>
      </c>
      <c r="O5" s="1">
        <v>94.808905</v>
      </c>
    </row>
    <row r="6">
      <c r="A6" s="1" t="s">
        <v>432</v>
      </c>
      <c r="B6" s="1" t="s">
        <v>433</v>
      </c>
      <c r="C6" s="3"/>
      <c r="D6" s="3"/>
      <c r="E6" s="1" t="str">
        <f>IFERROR(__xludf.DUMMYFUNCTION("IFERROR(REGEXEXTRACT(A6, ""res(269|122)""), ""none"")"),"269")</f>
        <v>269</v>
      </c>
      <c r="F6" s="1">
        <v>-15.147452</v>
      </c>
      <c r="G6" s="1">
        <v>8.0</v>
      </c>
      <c r="H6" s="1">
        <v>1.0</v>
      </c>
      <c r="I6" s="1">
        <v>0.25</v>
      </c>
      <c r="J6" s="1">
        <v>2.0</v>
      </c>
      <c r="K6" s="1">
        <v>-0.294954999999999</v>
      </c>
      <c r="L6" s="1">
        <v>100.0</v>
      </c>
      <c r="M6" s="1">
        <v>0.0</v>
      </c>
      <c r="N6" s="1">
        <v>0.0</v>
      </c>
      <c r="O6" s="1">
        <v>95.807593</v>
      </c>
    </row>
    <row r="7">
      <c r="A7" s="1" t="s">
        <v>434</v>
      </c>
      <c r="B7" s="1" t="s">
        <v>435</v>
      </c>
      <c r="C7" s="3"/>
      <c r="D7" s="3"/>
      <c r="E7" s="1" t="str">
        <f>IFERROR(__xludf.DUMMYFUNCTION("IFERROR(REGEXEXTRACT(A7, ""res(269|122)""), ""none"")"),"269")</f>
        <v>269</v>
      </c>
      <c r="F7" s="1">
        <v>-15.389501</v>
      </c>
      <c r="G7" s="1">
        <v>6.0</v>
      </c>
      <c r="H7" s="1">
        <v>2.0</v>
      </c>
      <c r="I7" s="1">
        <v>0.333333</v>
      </c>
      <c r="J7" s="1">
        <v>2.0</v>
      </c>
      <c r="K7" s="1">
        <v>-0.471907</v>
      </c>
      <c r="L7" s="1">
        <v>100.0</v>
      </c>
      <c r="M7" s="1">
        <v>0.0</v>
      </c>
      <c r="N7" s="1">
        <v>0.0</v>
      </c>
      <c r="O7" s="1">
        <v>94.471925</v>
      </c>
    </row>
    <row r="8">
      <c r="A8" s="1" t="s">
        <v>262</v>
      </c>
      <c r="B8" s="1" t="s">
        <v>74</v>
      </c>
      <c r="C8" s="3"/>
      <c r="D8" s="3"/>
      <c r="E8" s="1" t="str">
        <f>IFERROR(__xludf.DUMMYFUNCTION("IFERROR(REGEXEXTRACT(A8, ""res(269|122)""), ""none"")"),"269")</f>
        <v>269</v>
      </c>
      <c r="F8" s="1">
        <v>-15.124595</v>
      </c>
      <c r="G8" s="1">
        <v>8.0</v>
      </c>
      <c r="H8" s="1">
        <v>5.0</v>
      </c>
      <c r="I8" s="1">
        <v>0.375</v>
      </c>
      <c r="J8" s="1">
        <v>2.0</v>
      </c>
      <c r="K8" s="1">
        <v>-0.84012</v>
      </c>
      <c r="L8" s="1">
        <v>100.0</v>
      </c>
      <c r="M8" s="1">
        <v>0.0</v>
      </c>
      <c r="N8" s="1">
        <v>0.0</v>
      </c>
      <c r="O8" s="1">
        <v>99.410285</v>
      </c>
    </row>
    <row r="9">
      <c r="A9" s="1" t="s">
        <v>436</v>
      </c>
      <c r="B9" s="1" t="s">
        <v>437</v>
      </c>
      <c r="C9" s="3"/>
      <c r="D9" s="3"/>
      <c r="E9" s="1" t="str">
        <f>IFERROR(__xludf.DUMMYFUNCTION("IFERROR(REGEXEXTRACT(A9, ""res(269|122)""), ""none"")"),"269")</f>
        <v>269</v>
      </c>
      <c r="F9" s="1">
        <v>-15.107329</v>
      </c>
      <c r="G9" s="1">
        <v>8.0</v>
      </c>
      <c r="H9" s="1">
        <v>3.0</v>
      </c>
      <c r="I9" s="1">
        <v>0.25</v>
      </c>
      <c r="J9" s="1">
        <v>2.0</v>
      </c>
      <c r="K9" s="1">
        <v>-0.715002</v>
      </c>
      <c r="L9" s="1">
        <v>100.0</v>
      </c>
      <c r="M9" s="1">
        <v>0.0</v>
      </c>
      <c r="N9" s="1">
        <v>0.0</v>
      </c>
      <c r="O9" s="1">
        <v>97.427669</v>
      </c>
    </row>
    <row r="10">
      <c r="A10" s="1" t="s">
        <v>438</v>
      </c>
      <c r="B10" s="1" t="s">
        <v>439</v>
      </c>
      <c r="C10" s="3"/>
      <c r="D10" s="3"/>
      <c r="E10" s="1" t="str">
        <f>IFERROR(__xludf.DUMMYFUNCTION("IFERROR(REGEXEXTRACT(A10, ""res(269|122)""), ""none"")"),"269")</f>
        <v>269</v>
      </c>
      <c r="F10" s="1">
        <v>-16.347377</v>
      </c>
      <c r="G10" s="1">
        <v>7.0</v>
      </c>
      <c r="H10" s="1">
        <v>3.0</v>
      </c>
      <c r="I10" s="1">
        <v>0.428571</v>
      </c>
      <c r="J10" s="1">
        <v>2.0</v>
      </c>
      <c r="K10" s="1">
        <v>-1.047751</v>
      </c>
      <c r="L10" s="1">
        <v>100.0</v>
      </c>
      <c r="M10" s="1">
        <v>0.0</v>
      </c>
      <c r="N10" s="1">
        <v>0.0</v>
      </c>
      <c r="O10" s="1">
        <v>95.033443</v>
      </c>
    </row>
    <row r="11">
      <c r="A11" s="1" t="s">
        <v>440</v>
      </c>
      <c r="B11" s="1" t="s">
        <v>441</v>
      </c>
      <c r="C11" s="3"/>
      <c r="D11" s="3"/>
      <c r="E11" s="1" t="str">
        <f>IFERROR(__xludf.DUMMYFUNCTION("IFERROR(REGEXEXTRACT(A11, ""res(269|122)""), ""none"")"),"269")</f>
        <v>269</v>
      </c>
      <c r="F11" s="1">
        <v>-15.526661</v>
      </c>
      <c r="G11" s="1">
        <v>6.0</v>
      </c>
      <c r="H11" s="1">
        <v>4.0</v>
      </c>
      <c r="I11" s="1">
        <v>0.333333</v>
      </c>
      <c r="J11" s="1">
        <v>2.0</v>
      </c>
      <c r="K11" s="1">
        <v>-0.878894</v>
      </c>
      <c r="L11" s="1">
        <v>100.0</v>
      </c>
      <c r="M11" s="1">
        <v>0.0</v>
      </c>
      <c r="N11" s="1">
        <v>0.0</v>
      </c>
      <c r="O11" s="1">
        <v>95.927778</v>
      </c>
    </row>
    <row r="12">
      <c r="A12" s="1" t="s">
        <v>263</v>
      </c>
      <c r="B12" s="1" t="s">
        <v>264</v>
      </c>
      <c r="C12" s="3"/>
      <c r="D12" s="3"/>
      <c r="E12" s="1" t="str">
        <f>IFERROR(__xludf.DUMMYFUNCTION("IFERROR(REGEXEXTRACT(A12, ""res(269|122)""), ""none"")"),"269")</f>
        <v>269</v>
      </c>
      <c r="F12" s="1">
        <v>-15.247766</v>
      </c>
      <c r="G12" s="1">
        <v>6.0</v>
      </c>
      <c r="H12" s="1">
        <v>2.0</v>
      </c>
      <c r="I12" s="1">
        <v>0.333333</v>
      </c>
      <c r="J12" s="1">
        <v>3.0</v>
      </c>
      <c r="K12" s="1">
        <v>-1.003179</v>
      </c>
      <c r="L12" s="1">
        <v>100.0</v>
      </c>
      <c r="M12" s="1">
        <v>0.0</v>
      </c>
      <c r="N12" s="1">
        <v>0.0</v>
      </c>
      <c r="O12" s="1">
        <v>95.082388</v>
      </c>
    </row>
    <row r="13">
      <c r="A13" s="1" t="s">
        <v>265</v>
      </c>
      <c r="B13" s="1" t="s">
        <v>120</v>
      </c>
      <c r="C13" s="3"/>
      <c r="D13" s="3"/>
      <c r="E13" s="1" t="str">
        <f>IFERROR(__xludf.DUMMYFUNCTION("IFERROR(REGEXEXTRACT(A13, ""res(269|122)""), ""none"")"),"269")</f>
        <v>269</v>
      </c>
      <c r="F13" s="1">
        <v>-15.234041</v>
      </c>
      <c r="G13" s="1">
        <v>8.0</v>
      </c>
      <c r="H13" s="1">
        <v>3.0</v>
      </c>
      <c r="I13" s="1">
        <v>0.25</v>
      </c>
      <c r="J13" s="1">
        <v>3.0</v>
      </c>
      <c r="K13" s="1">
        <v>-0.552818</v>
      </c>
      <c r="L13" s="1">
        <v>100.0</v>
      </c>
      <c r="M13" s="1">
        <v>0.0</v>
      </c>
      <c r="N13" s="1">
        <v>0.0</v>
      </c>
      <c r="O13" s="1">
        <v>98.463141</v>
      </c>
    </row>
    <row r="14">
      <c r="A14" s="1" t="s">
        <v>266</v>
      </c>
      <c r="B14" s="1" t="s">
        <v>77</v>
      </c>
      <c r="C14" s="3"/>
      <c r="D14" s="3"/>
      <c r="E14" s="1" t="str">
        <f>IFERROR(__xludf.DUMMYFUNCTION("IFERROR(REGEXEXTRACT(A14, ""res(269|122)""), ""none"")"),"269")</f>
        <v>269</v>
      </c>
      <c r="F14" s="1">
        <v>-15.196061</v>
      </c>
      <c r="G14" s="1">
        <v>7.0</v>
      </c>
      <c r="H14" s="1">
        <v>2.0</v>
      </c>
      <c r="I14" s="1">
        <v>0.285714</v>
      </c>
      <c r="J14" s="1">
        <v>2.0</v>
      </c>
      <c r="K14" s="1">
        <v>-1.471521</v>
      </c>
      <c r="L14" s="1">
        <v>100.0</v>
      </c>
      <c r="M14" s="1">
        <v>0.0</v>
      </c>
      <c r="N14" s="1">
        <v>0.0</v>
      </c>
      <c r="O14" s="1">
        <v>94.618132</v>
      </c>
    </row>
    <row r="15">
      <c r="A15" s="1" t="s">
        <v>442</v>
      </c>
      <c r="B15" s="1" t="s">
        <v>443</v>
      </c>
      <c r="C15" s="3"/>
      <c r="D15" s="3"/>
      <c r="E15" s="1" t="str">
        <f>IFERROR(__xludf.DUMMYFUNCTION("IFERROR(REGEXEXTRACT(A15, ""res(269|122)""), ""none"")"),"269")</f>
        <v>269</v>
      </c>
      <c r="F15" s="1">
        <v>-15.140799</v>
      </c>
      <c r="G15" s="1">
        <v>6.0</v>
      </c>
      <c r="H15" s="1">
        <v>2.0</v>
      </c>
      <c r="I15" s="1">
        <v>0.333333</v>
      </c>
      <c r="J15" s="1">
        <v>2.0</v>
      </c>
      <c r="K15" s="1">
        <v>-0.893388</v>
      </c>
      <c r="L15" s="1">
        <v>100.0</v>
      </c>
      <c r="M15" s="1">
        <v>0.0</v>
      </c>
      <c r="N15" s="1">
        <v>0.0</v>
      </c>
      <c r="O15" s="1">
        <v>94.299146</v>
      </c>
    </row>
    <row r="16">
      <c r="A16" s="1" t="s">
        <v>444</v>
      </c>
      <c r="B16" s="1" t="s">
        <v>445</v>
      </c>
      <c r="C16" s="3"/>
      <c r="D16" s="3"/>
      <c r="E16" s="1" t="str">
        <f>IFERROR(__xludf.DUMMYFUNCTION("IFERROR(REGEXEXTRACT(A16, ""res(269|122)""), ""none"")"),"269")</f>
        <v>269</v>
      </c>
      <c r="F16" s="1">
        <v>-15.673892</v>
      </c>
      <c r="G16" s="1">
        <v>6.0</v>
      </c>
      <c r="H16" s="1">
        <v>4.0</v>
      </c>
      <c r="I16" s="1">
        <v>0.5</v>
      </c>
      <c r="J16" s="1">
        <v>2.0</v>
      </c>
      <c r="K16" s="1">
        <v>-0.675629</v>
      </c>
      <c r="L16" s="1">
        <v>100.0</v>
      </c>
      <c r="M16" s="1">
        <v>0.0</v>
      </c>
      <c r="N16" s="1">
        <v>0.0</v>
      </c>
      <c r="O16" s="1">
        <v>96.150479</v>
      </c>
    </row>
    <row r="17">
      <c r="A17" s="1" t="s">
        <v>267</v>
      </c>
      <c r="B17" s="1" t="s">
        <v>268</v>
      </c>
      <c r="C17" s="3"/>
      <c r="D17" s="3"/>
      <c r="E17" s="1" t="str">
        <f>IFERROR(__xludf.DUMMYFUNCTION("IFERROR(REGEXEXTRACT(A17, ""res(269|122)""), ""none"")"),"269")</f>
        <v>269</v>
      </c>
      <c r="F17" s="1">
        <v>-15.475748</v>
      </c>
      <c r="G17" s="1">
        <v>11.0</v>
      </c>
      <c r="H17" s="1">
        <v>1.0</v>
      </c>
      <c r="I17" s="1">
        <v>0.272727</v>
      </c>
      <c r="J17" s="1">
        <v>2.0</v>
      </c>
      <c r="K17" s="1">
        <v>-0.318571</v>
      </c>
      <c r="L17" s="1">
        <v>100.0</v>
      </c>
      <c r="M17" s="1">
        <v>0.0</v>
      </c>
      <c r="N17" s="1">
        <v>0.0</v>
      </c>
      <c r="O17" s="1">
        <v>98.478408</v>
      </c>
    </row>
    <row r="18">
      <c r="A18" s="1" t="s">
        <v>446</v>
      </c>
      <c r="B18" s="1" t="s">
        <v>447</v>
      </c>
      <c r="C18" s="3"/>
      <c r="D18" s="3"/>
      <c r="E18" s="1" t="str">
        <f>IFERROR(__xludf.DUMMYFUNCTION("IFERROR(REGEXEXTRACT(A18, ""res(269|122)""), ""none"")"),"269")</f>
        <v>269</v>
      </c>
      <c r="F18" s="1">
        <v>-15.850201</v>
      </c>
      <c r="G18" s="1">
        <v>7.0</v>
      </c>
      <c r="H18" s="1">
        <v>2.0</v>
      </c>
      <c r="I18" s="1">
        <v>0.285714</v>
      </c>
      <c r="J18" s="1">
        <v>2.0</v>
      </c>
      <c r="K18" s="1">
        <v>-0.774898</v>
      </c>
      <c r="L18" s="1">
        <v>100.0</v>
      </c>
      <c r="M18" s="1">
        <v>0.0</v>
      </c>
      <c r="N18" s="1">
        <v>0.0</v>
      </c>
      <c r="O18" s="1">
        <v>94.660615</v>
      </c>
    </row>
    <row r="19">
      <c r="A19" s="1" t="s">
        <v>269</v>
      </c>
      <c r="B19" s="1" t="s">
        <v>270</v>
      </c>
      <c r="C19" s="3"/>
      <c r="D19" s="3"/>
      <c r="E19" s="1" t="str">
        <f>IFERROR(__xludf.DUMMYFUNCTION("IFERROR(REGEXEXTRACT(A19, ""res(269|122)""), ""none"")"),"269")</f>
        <v>269</v>
      </c>
      <c r="F19" s="1">
        <v>-15.217109</v>
      </c>
      <c r="G19" s="1">
        <v>8.0</v>
      </c>
      <c r="H19" s="1">
        <v>2.0</v>
      </c>
      <c r="I19" s="1">
        <v>0.25</v>
      </c>
      <c r="J19" s="1">
        <v>3.0</v>
      </c>
      <c r="K19" s="1">
        <v>-1.096035</v>
      </c>
      <c r="L19" s="1">
        <v>100.0</v>
      </c>
      <c r="M19" s="1">
        <v>0.0</v>
      </c>
      <c r="N19" s="1">
        <v>0.0</v>
      </c>
      <c r="O19" s="1">
        <v>96.936856</v>
      </c>
    </row>
    <row r="20">
      <c r="A20" s="1" t="s">
        <v>448</v>
      </c>
      <c r="B20" s="1" t="s">
        <v>449</v>
      </c>
      <c r="C20" s="3"/>
      <c r="D20" s="3"/>
      <c r="E20" s="1" t="str">
        <f>IFERROR(__xludf.DUMMYFUNCTION("IFERROR(REGEXEXTRACT(A20, ""res(269|122)""), ""none"")"),"269")</f>
        <v>269</v>
      </c>
      <c r="F20" s="1">
        <v>-18.627045</v>
      </c>
      <c r="G20" s="1">
        <v>9.0</v>
      </c>
      <c r="H20" s="1">
        <v>2.0</v>
      </c>
      <c r="I20" s="1">
        <v>0.333333</v>
      </c>
      <c r="J20" s="1">
        <v>2.0</v>
      </c>
      <c r="K20" s="1">
        <v>-1.464442</v>
      </c>
      <c r="L20" s="1">
        <v>100.0</v>
      </c>
      <c r="M20" s="1">
        <v>0.0</v>
      </c>
      <c r="N20" s="1">
        <v>0.0</v>
      </c>
      <c r="O20" s="1">
        <v>93.241846</v>
      </c>
    </row>
    <row r="21">
      <c r="A21" s="1" t="s">
        <v>450</v>
      </c>
      <c r="B21" s="1" t="s">
        <v>451</v>
      </c>
      <c r="C21" s="3"/>
      <c r="D21" s="3"/>
      <c r="E21" s="1" t="str">
        <f>IFERROR(__xludf.DUMMYFUNCTION("IFERROR(REGEXEXTRACT(A21, ""res(269|122)""), ""none"")"),"269")</f>
        <v>269</v>
      </c>
      <c r="F21" s="1">
        <v>-18.627045</v>
      </c>
      <c r="G21" s="1">
        <v>9.0</v>
      </c>
      <c r="H21" s="1">
        <v>2.0</v>
      </c>
      <c r="I21" s="1">
        <v>0.333333</v>
      </c>
      <c r="J21" s="1">
        <v>2.0</v>
      </c>
      <c r="K21" s="1">
        <v>-1.464442</v>
      </c>
      <c r="L21" s="1">
        <v>100.0</v>
      </c>
      <c r="M21" s="1">
        <v>0.0</v>
      </c>
      <c r="N21" s="1">
        <v>0.0</v>
      </c>
      <c r="O21" s="1">
        <v>93.241846</v>
      </c>
    </row>
    <row r="22">
      <c r="A22" s="1" t="s">
        <v>452</v>
      </c>
      <c r="B22" s="1" t="s">
        <v>453</v>
      </c>
      <c r="C22" s="3"/>
      <c r="D22" s="3"/>
      <c r="E22" s="1" t="str">
        <f>IFERROR(__xludf.DUMMYFUNCTION("IFERROR(REGEXEXTRACT(A22, ""res(269|122)""), ""none"")"),"269")</f>
        <v>269</v>
      </c>
      <c r="F22" s="1">
        <v>-15.471061</v>
      </c>
      <c r="G22" s="1">
        <v>11.0</v>
      </c>
      <c r="H22" s="1">
        <v>5.0</v>
      </c>
      <c r="I22" s="1">
        <v>0.272727</v>
      </c>
      <c r="J22" s="1">
        <v>3.0</v>
      </c>
      <c r="K22" s="1">
        <v>-1.955025</v>
      </c>
      <c r="L22" s="1">
        <v>100.0</v>
      </c>
      <c r="M22" s="1">
        <v>0.0</v>
      </c>
      <c r="N22" s="1">
        <v>0.0</v>
      </c>
      <c r="O22" s="1">
        <v>101.846641</v>
      </c>
    </row>
    <row r="23">
      <c r="A23" s="1" t="s">
        <v>271</v>
      </c>
      <c r="B23" s="1" t="s">
        <v>272</v>
      </c>
      <c r="C23" s="3"/>
      <c r="D23" s="3"/>
      <c r="E23" s="1" t="str">
        <f>IFERROR(__xludf.DUMMYFUNCTION("IFERROR(REGEXEXTRACT(A23, ""res(269|122)""), ""none"")"),"269")</f>
        <v>269</v>
      </c>
      <c r="F23" s="1">
        <v>-16.067978</v>
      </c>
      <c r="G23" s="1">
        <v>10.0</v>
      </c>
      <c r="H23" s="1">
        <v>3.0</v>
      </c>
      <c r="I23" s="1">
        <v>0.4</v>
      </c>
      <c r="J23" s="1">
        <v>4.0</v>
      </c>
      <c r="K23" s="1">
        <v>-1.686262</v>
      </c>
      <c r="L23" s="1">
        <v>100.0</v>
      </c>
      <c r="M23" s="1">
        <v>0.0</v>
      </c>
      <c r="N23" s="1">
        <v>0.0</v>
      </c>
      <c r="O23" s="1">
        <v>99.64576</v>
      </c>
    </row>
    <row r="24">
      <c r="A24" s="1" t="s">
        <v>273</v>
      </c>
      <c r="B24" s="1" t="s">
        <v>274</v>
      </c>
      <c r="C24" s="3"/>
      <c r="D24" s="3"/>
      <c r="E24" s="1" t="str">
        <f>IFERROR(__xludf.DUMMYFUNCTION("IFERROR(REGEXEXTRACT(A24, ""res(269|122)""), ""none"")"),"269")</f>
        <v>269</v>
      </c>
      <c r="F24" s="1">
        <v>-16.067978</v>
      </c>
      <c r="G24" s="1">
        <v>10.0</v>
      </c>
      <c r="H24" s="1">
        <v>3.0</v>
      </c>
      <c r="I24" s="1">
        <v>0.4</v>
      </c>
      <c r="J24" s="1">
        <v>4.0</v>
      </c>
      <c r="K24" s="1">
        <v>-1.686262</v>
      </c>
      <c r="L24" s="1">
        <v>100.0</v>
      </c>
      <c r="M24" s="1">
        <v>0.0</v>
      </c>
      <c r="N24" s="1">
        <v>0.0</v>
      </c>
      <c r="O24" s="1">
        <v>99.64576</v>
      </c>
    </row>
    <row r="25">
      <c r="A25" s="1" t="s">
        <v>275</v>
      </c>
      <c r="B25" s="1" t="s">
        <v>276</v>
      </c>
      <c r="C25" s="3"/>
      <c r="D25" s="3"/>
      <c r="E25" s="1" t="str">
        <f>IFERROR(__xludf.DUMMYFUNCTION("IFERROR(REGEXEXTRACT(A25, ""res(269|122)""), ""none"")"),"269")</f>
        <v>269</v>
      </c>
      <c r="F25" s="1">
        <v>-15.296307</v>
      </c>
      <c r="G25" s="1">
        <v>7.0</v>
      </c>
      <c r="H25" s="1">
        <v>3.0</v>
      </c>
      <c r="I25" s="1">
        <v>0.285714</v>
      </c>
      <c r="J25" s="1">
        <v>2.0</v>
      </c>
      <c r="K25" s="1">
        <v>-1.992376</v>
      </c>
      <c r="L25" s="1">
        <v>100.0</v>
      </c>
      <c r="M25" s="1">
        <v>0.0</v>
      </c>
      <c r="N25" s="1">
        <v>0.0</v>
      </c>
      <c r="O25" s="1">
        <v>94.997031</v>
      </c>
    </row>
    <row r="26">
      <c r="A26" s="1" t="s">
        <v>454</v>
      </c>
      <c r="B26" s="1" t="s">
        <v>455</v>
      </c>
      <c r="C26" s="3"/>
      <c r="D26" s="3"/>
      <c r="E26" s="1" t="str">
        <f>IFERROR(__xludf.DUMMYFUNCTION("IFERROR(REGEXEXTRACT(A26, ""res(269|122)""), ""none"")"),"269")</f>
        <v>269</v>
      </c>
      <c r="F26" s="1">
        <v>-16.253596</v>
      </c>
      <c r="G26" s="1">
        <v>10.0</v>
      </c>
      <c r="H26" s="1">
        <v>3.0</v>
      </c>
      <c r="I26" s="1">
        <v>0.3</v>
      </c>
      <c r="J26" s="1">
        <v>2.0</v>
      </c>
      <c r="K26" s="1">
        <v>-0.741444</v>
      </c>
      <c r="L26" s="1">
        <v>100.0</v>
      </c>
      <c r="M26" s="1">
        <v>0.0</v>
      </c>
      <c r="N26" s="1">
        <v>0.0</v>
      </c>
      <c r="O26" s="1">
        <v>98.30496</v>
      </c>
    </row>
    <row r="27">
      <c r="A27" s="1" t="s">
        <v>456</v>
      </c>
      <c r="B27" s="1" t="s">
        <v>457</v>
      </c>
      <c r="C27" s="3"/>
      <c r="D27" s="3"/>
      <c r="E27" s="1" t="str">
        <f>IFERROR(__xludf.DUMMYFUNCTION("IFERROR(REGEXEXTRACT(A27, ""res(269|122)""), ""none"")"),"269")</f>
        <v>269</v>
      </c>
      <c r="F27" s="1">
        <v>-15.009468</v>
      </c>
      <c r="G27" s="1">
        <v>12.0</v>
      </c>
      <c r="H27" s="1">
        <v>3.0</v>
      </c>
      <c r="I27" s="1">
        <v>0.25</v>
      </c>
      <c r="J27" s="1">
        <v>2.0</v>
      </c>
      <c r="K27" s="1">
        <v>-0.890163</v>
      </c>
      <c r="L27" s="1">
        <v>100.0</v>
      </c>
      <c r="M27" s="1">
        <v>0.0</v>
      </c>
      <c r="N27" s="1">
        <v>0.0</v>
      </c>
      <c r="O27" s="1">
        <v>101.350369</v>
      </c>
    </row>
    <row r="28">
      <c r="A28" s="1" t="s">
        <v>277</v>
      </c>
      <c r="B28" s="1" t="s">
        <v>278</v>
      </c>
      <c r="C28" s="3"/>
      <c r="D28" s="3"/>
      <c r="E28" s="1" t="str">
        <f>IFERROR(__xludf.DUMMYFUNCTION("IFERROR(REGEXEXTRACT(A28, ""res(269|122)""), ""none"")"),"269")</f>
        <v>269</v>
      </c>
      <c r="F28" s="1">
        <v>-15.325992</v>
      </c>
      <c r="G28" s="1">
        <v>8.0</v>
      </c>
      <c r="H28" s="1">
        <v>2.0</v>
      </c>
      <c r="I28" s="1">
        <v>0.25</v>
      </c>
      <c r="J28" s="1">
        <v>2.0</v>
      </c>
      <c r="K28" s="1">
        <v>-0.597145</v>
      </c>
      <c r="L28" s="1">
        <v>100.0</v>
      </c>
      <c r="M28" s="1">
        <v>0.0</v>
      </c>
      <c r="N28" s="1">
        <v>0.0</v>
      </c>
      <c r="O28" s="1">
        <v>96.326863</v>
      </c>
    </row>
    <row r="29">
      <c r="A29" s="1" t="s">
        <v>458</v>
      </c>
      <c r="B29" s="1" t="s">
        <v>459</v>
      </c>
      <c r="C29" s="3"/>
      <c r="D29" s="3"/>
      <c r="E29" s="1" t="str">
        <f>IFERROR(__xludf.DUMMYFUNCTION("IFERROR(REGEXEXTRACT(A29, ""res(269|122)""), ""none"")"),"269")</f>
        <v>269</v>
      </c>
      <c r="F29" s="1">
        <v>-15.102863</v>
      </c>
      <c r="G29" s="1">
        <v>7.0</v>
      </c>
      <c r="H29" s="1">
        <v>4.0</v>
      </c>
      <c r="I29" s="1">
        <v>0.285714</v>
      </c>
      <c r="J29" s="1">
        <v>2.0</v>
      </c>
      <c r="K29" s="1">
        <v>-0.739385</v>
      </c>
      <c r="L29" s="1">
        <v>100.0</v>
      </c>
      <c r="M29" s="1">
        <v>0.0</v>
      </c>
      <c r="N29" s="1">
        <v>0.0</v>
      </c>
      <c r="O29" s="1">
        <v>97.443466</v>
      </c>
    </row>
    <row r="30">
      <c r="A30" s="1" t="s">
        <v>460</v>
      </c>
      <c r="B30" s="1" t="s">
        <v>461</v>
      </c>
      <c r="C30" s="3"/>
      <c r="D30" s="3"/>
      <c r="E30" s="1" t="str">
        <f>IFERROR(__xludf.DUMMYFUNCTION("IFERROR(REGEXEXTRACT(A30, ""res(269|122)""), ""none"")"),"269")</f>
        <v>269</v>
      </c>
      <c r="F30" s="1">
        <v>-16.336018</v>
      </c>
      <c r="G30" s="1">
        <v>7.0</v>
      </c>
      <c r="H30" s="1">
        <v>2.0</v>
      </c>
      <c r="I30" s="1">
        <v>0.428571</v>
      </c>
      <c r="J30" s="1">
        <v>2.0</v>
      </c>
      <c r="K30" s="1">
        <v>-1.549677</v>
      </c>
      <c r="L30" s="1">
        <v>100.0</v>
      </c>
      <c r="M30" s="1">
        <v>0.0</v>
      </c>
      <c r="N30" s="1">
        <v>0.0</v>
      </c>
      <c r="O30" s="1">
        <v>93.542876</v>
      </c>
    </row>
    <row r="31">
      <c r="A31" s="1" t="s">
        <v>279</v>
      </c>
      <c r="B31" s="1" t="s">
        <v>123</v>
      </c>
      <c r="C31" s="3"/>
      <c r="D31" s="3"/>
      <c r="E31" s="1" t="str">
        <f>IFERROR(__xludf.DUMMYFUNCTION("IFERROR(REGEXEXTRACT(A31, ""res(269|122)""), ""none"")"),"269")</f>
        <v>269</v>
      </c>
      <c r="F31" s="1">
        <v>-15.778424</v>
      </c>
      <c r="G31" s="1">
        <v>10.0</v>
      </c>
      <c r="H31" s="1">
        <v>4.0</v>
      </c>
      <c r="I31" s="1">
        <v>0.3</v>
      </c>
      <c r="J31" s="1">
        <v>2.0</v>
      </c>
      <c r="K31" s="1">
        <v>-0.444144</v>
      </c>
      <c r="L31" s="1">
        <v>100.0</v>
      </c>
      <c r="M31" s="1">
        <v>0.0</v>
      </c>
      <c r="N31" s="1">
        <v>0.0</v>
      </c>
      <c r="O31" s="1">
        <v>100.077432</v>
      </c>
    </row>
    <row r="32">
      <c r="A32" s="1" t="s">
        <v>462</v>
      </c>
      <c r="B32" s="1" t="s">
        <v>463</v>
      </c>
      <c r="C32" s="3"/>
      <c r="D32" s="3"/>
      <c r="E32" s="1" t="str">
        <f>IFERROR(__xludf.DUMMYFUNCTION("IFERROR(REGEXEXTRACT(A32, ""res(269|122)""), ""none"")"),"269")</f>
        <v>269</v>
      </c>
      <c r="F32" s="1">
        <v>-15.125422</v>
      </c>
      <c r="G32" s="1">
        <v>8.0</v>
      </c>
      <c r="H32" s="1">
        <v>2.0</v>
      </c>
      <c r="I32" s="1">
        <v>0.25</v>
      </c>
      <c r="J32" s="1">
        <v>2.0</v>
      </c>
      <c r="K32" s="1">
        <v>-0.988743</v>
      </c>
      <c r="L32" s="1">
        <v>100.0</v>
      </c>
      <c r="M32" s="1">
        <v>0.0</v>
      </c>
      <c r="N32" s="1">
        <v>0.0</v>
      </c>
      <c r="O32" s="1">
        <v>96.135835</v>
      </c>
    </row>
    <row r="33">
      <c r="A33" s="1" t="s">
        <v>464</v>
      </c>
      <c r="B33" s="1" t="s">
        <v>465</v>
      </c>
      <c r="C33" s="3"/>
      <c r="D33" s="3"/>
      <c r="E33" s="1" t="str">
        <f>IFERROR(__xludf.DUMMYFUNCTION("IFERROR(REGEXEXTRACT(A33, ""res(269|122)""), ""none"")"),"269")</f>
        <v>269</v>
      </c>
      <c r="F33" s="1">
        <v>-16.19124</v>
      </c>
      <c r="G33" s="1">
        <v>11.0</v>
      </c>
      <c r="H33" s="1">
        <v>2.0</v>
      </c>
      <c r="I33" s="1">
        <v>0.272727</v>
      </c>
      <c r="J33" s="1">
        <v>2.0</v>
      </c>
      <c r="K33" s="1">
        <v>-0.467883</v>
      </c>
      <c r="L33" s="1">
        <v>100.0</v>
      </c>
      <c r="M33" s="1">
        <v>0.0</v>
      </c>
      <c r="N33" s="1">
        <v>0.0</v>
      </c>
      <c r="O33" s="1">
        <v>98.613604</v>
      </c>
    </row>
    <row r="34">
      <c r="A34" s="1" t="s">
        <v>466</v>
      </c>
      <c r="B34" s="1" t="s">
        <v>467</v>
      </c>
      <c r="C34" s="3"/>
      <c r="D34" s="3"/>
      <c r="E34" s="1" t="str">
        <f>IFERROR(__xludf.DUMMYFUNCTION("IFERROR(REGEXEXTRACT(A34, ""res(269|122)""), ""none"")"),"269")</f>
        <v>269</v>
      </c>
      <c r="F34" s="1">
        <v>-16.072605</v>
      </c>
      <c r="G34" s="1">
        <v>7.0</v>
      </c>
      <c r="H34" s="1">
        <v>3.0</v>
      </c>
      <c r="I34" s="1">
        <v>0.285714</v>
      </c>
      <c r="J34" s="1">
        <v>3.0</v>
      </c>
      <c r="K34" s="1">
        <v>-1.341939</v>
      </c>
      <c r="L34" s="1">
        <v>100.0</v>
      </c>
      <c r="M34" s="1">
        <v>0.0</v>
      </c>
      <c r="N34" s="1">
        <v>0.0</v>
      </c>
      <c r="O34" s="1">
        <v>95.87117</v>
      </c>
    </row>
    <row r="35">
      <c r="A35" s="1" t="s">
        <v>468</v>
      </c>
      <c r="B35" s="1" t="s">
        <v>469</v>
      </c>
      <c r="C35" s="3"/>
      <c r="D35" s="3"/>
      <c r="E35" s="1" t="str">
        <f>IFERROR(__xludf.DUMMYFUNCTION("IFERROR(REGEXEXTRACT(A35, ""res(269|122)""), ""none"")"),"269")</f>
        <v>269</v>
      </c>
      <c r="F35" s="1">
        <v>-15.019141</v>
      </c>
      <c r="G35" s="1">
        <v>7.0</v>
      </c>
      <c r="H35" s="1">
        <v>2.0</v>
      </c>
      <c r="I35" s="1">
        <v>0.285714</v>
      </c>
      <c r="J35" s="1">
        <v>2.0</v>
      </c>
      <c r="K35" s="1">
        <v>-1.307925</v>
      </c>
      <c r="L35" s="1">
        <v>100.0</v>
      </c>
      <c r="M35" s="1">
        <v>0.0</v>
      </c>
      <c r="N35" s="1">
        <v>0.0</v>
      </c>
      <c r="O35" s="1">
        <v>94.958648</v>
      </c>
    </row>
    <row r="36">
      <c r="A36" s="1" t="s">
        <v>470</v>
      </c>
      <c r="B36" s="1" t="s">
        <v>471</v>
      </c>
      <c r="C36" s="3"/>
      <c r="D36" s="3"/>
      <c r="E36" s="1" t="str">
        <f>IFERROR(__xludf.DUMMYFUNCTION("IFERROR(REGEXEXTRACT(A36, ""res(269|122)""), ""none"")"),"269")</f>
        <v>269</v>
      </c>
      <c r="F36" s="1">
        <v>-15.694478</v>
      </c>
      <c r="G36" s="1">
        <v>9.0</v>
      </c>
      <c r="H36" s="1">
        <v>2.0</v>
      </c>
      <c r="I36" s="1">
        <v>0.333333</v>
      </c>
      <c r="J36" s="1">
        <v>3.0</v>
      </c>
      <c r="K36" s="1">
        <v>-0.857403999999999</v>
      </c>
      <c r="L36" s="1">
        <v>100.0</v>
      </c>
      <c r="M36" s="1">
        <v>0.0</v>
      </c>
      <c r="N36" s="1">
        <v>0.0</v>
      </c>
      <c r="O36" s="1">
        <v>97.781451</v>
      </c>
    </row>
    <row r="37">
      <c r="A37" s="1" t="s">
        <v>280</v>
      </c>
      <c r="B37" s="1" t="s">
        <v>126</v>
      </c>
      <c r="C37" s="3"/>
      <c r="D37" s="3"/>
      <c r="E37" s="1" t="str">
        <f>IFERROR(__xludf.DUMMYFUNCTION("IFERROR(REGEXEXTRACT(A37, ""res(269|122)""), ""none"")"),"269")</f>
        <v>269</v>
      </c>
      <c r="F37" s="1">
        <v>-16.377062</v>
      </c>
      <c r="G37" s="1">
        <v>9.0</v>
      </c>
      <c r="H37" s="1">
        <v>1.0</v>
      </c>
      <c r="I37" s="1">
        <v>0.333333</v>
      </c>
      <c r="J37" s="1">
        <v>2.0</v>
      </c>
      <c r="K37" s="1">
        <v>-1.84415</v>
      </c>
      <c r="L37" s="1">
        <v>100.0</v>
      </c>
      <c r="M37" s="1">
        <v>0.0</v>
      </c>
      <c r="N37" s="1">
        <v>0.0</v>
      </c>
      <c r="O37" s="1">
        <v>94.112121</v>
      </c>
    </row>
    <row r="38">
      <c r="A38" s="1" t="s">
        <v>472</v>
      </c>
      <c r="B38" s="1" t="s">
        <v>473</v>
      </c>
      <c r="C38" s="3"/>
      <c r="D38" s="3"/>
      <c r="E38" s="1" t="str">
        <f>IFERROR(__xludf.DUMMYFUNCTION("IFERROR(REGEXEXTRACT(A38, ""res(269|122)""), ""none"")"),"269")</f>
        <v>269</v>
      </c>
      <c r="F38" s="1">
        <v>-15.903081</v>
      </c>
      <c r="G38" s="1">
        <v>7.0</v>
      </c>
      <c r="H38" s="1">
        <v>3.0</v>
      </c>
      <c r="I38" s="1">
        <v>0.285714</v>
      </c>
      <c r="J38" s="1">
        <v>2.0</v>
      </c>
      <c r="K38" s="1">
        <v>-0.636751</v>
      </c>
      <c r="L38" s="1">
        <v>100.0</v>
      </c>
      <c r="M38" s="1">
        <v>0.0</v>
      </c>
      <c r="N38" s="1">
        <v>0.0</v>
      </c>
      <c r="O38" s="1">
        <v>95.745882</v>
      </c>
    </row>
    <row r="39">
      <c r="A39" s="1" t="s">
        <v>474</v>
      </c>
      <c r="B39" s="1" t="s">
        <v>475</v>
      </c>
      <c r="C39" s="3"/>
      <c r="D39" s="3"/>
      <c r="E39" s="1" t="str">
        <f>IFERROR(__xludf.DUMMYFUNCTION("IFERROR(REGEXEXTRACT(A39, ""res(269|122)""), ""none"")"),"269")</f>
        <v>269</v>
      </c>
      <c r="F39" s="1">
        <v>-15.522765</v>
      </c>
      <c r="G39" s="1">
        <v>7.0</v>
      </c>
      <c r="H39" s="1">
        <v>3.0</v>
      </c>
      <c r="I39" s="1">
        <v>0.285714</v>
      </c>
      <c r="J39" s="1">
        <v>2.0</v>
      </c>
      <c r="K39" s="1">
        <v>-0.647722999999999</v>
      </c>
      <c r="L39" s="1">
        <v>100.0</v>
      </c>
      <c r="M39" s="1">
        <v>0.0</v>
      </c>
      <c r="N39" s="1">
        <v>0.0</v>
      </c>
      <c r="O39" s="1">
        <v>96.115226</v>
      </c>
    </row>
    <row r="40">
      <c r="A40" s="1" t="s">
        <v>281</v>
      </c>
      <c r="B40" s="1" t="s">
        <v>282</v>
      </c>
      <c r="C40" s="3"/>
      <c r="D40" s="3"/>
      <c r="E40" s="1" t="str">
        <f>IFERROR(__xludf.DUMMYFUNCTION("IFERROR(REGEXEXTRACT(A40, ""res(269|122)""), ""none"")"),"269")</f>
        <v>269</v>
      </c>
      <c r="F40" s="1">
        <v>-15.737774</v>
      </c>
      <c r="G40" s="1">
        <v>8.0</v>
      </c>
      <c r="H40" s="1">
        <v>4.0</v>
      </c>
      <c r="I40" s="1">
        <v>0.375</v>
      </c>
      <c r="J40" s="1">
        <v>2.0</v>
      </c>
      <c r="K40" s="1">
        <v>-0.922352</v>
      </c>
      <c r="L40" s="1">
        <v>100.0</v>
      </c>
      <c r="M40" s="1">
        <v>0.0</v>
      </c>
      <c r="N40" s="1">
        <v>0.0</v>
      </c>
      <c r="O40" s="1">
        <v>97.714874</v>
      </c>
    </row>
    <row r="41">
      <c r="A41" s="1" t="s">
        <v>283</v>
      </c>
      <c r="B41" s="1" t="s">
        <v>129</v>
      </c>
      <c r="C41" s="3"/>
      <c r="D41" s="3"/>
      <c r="E41" s="1" t="str">
        <f>IFERROR(__xludf.DUMMYFUNCTION("IFERROR(REGEXEXTRACT(A41, ""res(269|122)""), ""none"")"),"269")</f>
        <v>269</v>
      </c>
      <c r="F41" s="1">
        <v>-16.004339</v>
      </c>
      <c r="G41" s="1">
        <v>7.0</v>
      </c>
      <c r="H41" s="1">
        <v>1.0</v>
      </c>
      <c r="I41" s="1">
        <v>0.285714</v>
      </c>
      <c r="J41" s="1">
        <v>2.0</v>
      </c>
      <c r="K41" s="1">
        <v>-0.643672</v>
      </c>
      <c r="L41" s="1">
        <v>100.0</v>
      </c>
      <c r="M41" s="1">
        <v>0.0</v>
      </c>
      <c r="N41" s="1">
        <v>0.0</v>
      </c>
      <c r="O41" s="1">
        <v>93.637703</v>
      </c>
    </row>
    <row r="42">
      <c r="A42" s="1" t="s">
        <v>476</v>
      </c>
      <c r="B42" s="1" t="s">
        <v>477</v>
      </c>
      <c r="C42" s="3"/>
      <c r="D42" s="3"/>
      <c r="E42" s="1" t="str">
        <f>IFERROR(__xludf.DUMMYFUNCTION("IFERROR(REGEXEXTRACT(A42, ""res(269|122)""), ""none"")"),"269")</f>
        <v>269</v>
      </c>
      <c r="F42" s="1">
        <v>-15.728531</v>
      </c>
      <c r="G42" s="1">
        <v>8.0</v>
      </c>
      <c r="H42" s="1">
        <v>3.0</v>
      </c>
      <c r="I42" s="1">
        <v>0.25</v>
      </c>
      <c r="J42" s="1">
        <v>2.0</v>
      </c>
      <c r="K42" s="1">
        <v>-1.51629</v>
      </c>
      <c r="L42" s="1">
        <v>100.0</v>
      </c>
      <c r="M42" s="1">
        <v>0.0</v>
      </c>
      <c r="N42" s="1">
        <v>0.0</v>
      </c>
      <c r="O42" s="1">
        <v>96.005179</v>
      </c>
    </row>
    <row r="43">
      <c r="A43" s="1" t="s">
        <v>478</v>
      </c>
      <c r="B43" s="1" t="s">
        <v>479</v>
      </c>
      <c r="C43" s="3"/>
      <c r="D43" s="3"/>
      <c r="E43" s="1" t="str">
        <f>IFERROR(__xludf.DUMMYFUNCTION("IFERROR(REGEXEXTRACT(A43, ""res(269|122)""), ""none"")"),"269")</f>
        <v>269</v>
      </c>
      <c r="F43" s="1">
        <v>-15.352353</v>
      </c>
      <c r="G43" s="1">
        <v>8.0</v>
      </c>
      <c r="H43" s="1">
        <v>1.0</v>
      </c>
      <c r="I43" s="1">
        <v>0.25</v>
      </c>
      <c r="J43" s="1">
        <v>2.0</v>
      </c>
      <c r="K43" s="1">
        <v>-0.518455</v>
      </c>
      <c r="L43" s="1">
        <v>100.0</v>
      </c>
      <c r="M43" s="1">
        <v>0.0</v>
      </c>
      <c r="N43" s="1">
        <v>0.0</v>
      </c>
      <c r="O43" s="1">
        <v>95.379192</v>
      </c>
    </row>
    <row r="44">
      <c r="A44" s="1" t="s">
        <v>480</v>
      </c>
      <c r="B44" s="1" t="s">
        <v>481</v>
      </c>
      <c r="C44" s="3"/>
      <c r="D44" s="3"/>
      <c r="E44" s="1" t="str">
        <f>IFERROR(__xludf.DUMMYFUNCTION("IFERROR(REGEXEXTRACT(A44, ""res(269|122)""), ""none"")"),"269")</f>
        <v>269</v>
      </c>
      <c r="F44" s="1">
        <v>-15.596951</v>
      </c>
      <c r="G44" s="1">
        <v>10.0</v>
      </c>
      <c r="H44" s="1">
        <v>3.0</v>
      </c>
      <c r="I44" s="1">
        <v>0.3</v>
      </c>
      <c r="J44" s="1">
        <v>2.0</v>
      </c>
      <c r="K44" s="1">
        <v>-0.973844</v>
      </c>
      <c r="L44" s="1">
        <v>100.0</v>
      </c>
      <c r="M44" s="1">
        <v>0.0</v>
      </c>
      <c r="N44" s="1">
        <v>0.0</v>
      </c>
      <c r="O44" s="1">
        <v>98.729205</v>
      </c>
    </row>
    <row r="45">
      <c r="A45" s="1" t="s">
        <v>284</v>
      </c>
      <c r="B45" s="1" t="s">
        <v>285</v>
      </c>
      <c r="C45" s="3"/>
      <c r="D45" s="3"/>
      <c r="E45" s="1" t="str">
        <f>IFERROR(__xludf.DUMMYFUNCTION("IFERROR(REGEXEXTRACT(A45, ""res(269|122)""), ""none"")"),"269")</f>
        <v>269</v>
      </c>
      <c r="F45" s="1">
        <v>-15.399039</v>
      </c>
      <c r="G45" s="1">
        <v>6.0</v>
      </c>
      <c r="H45" s="1">
        <v>3.0</v>
      </c>
      <c r="I45" s="1">
        <v>0.333333</v>
      </c>
      <c r="J45" s="1">
        <v>2.0</v>
      </c>
      <c r="K45" s="1">
        <v>-0.254448</v>
      </c>
      <c r="L45" s="1">
        <v>100.0</v>
      </c>
      <c r="M45" s="1">
        <v>0.0</v>
      </c>
      <c r="N45" s="1">
        <v>0.0</v>
      </c>
      <c r="O45" s="1">
        <v>95.679846</v>
      </c>
    </row>
    <row r="46">
      <c r="A46" s="1" t="s">
        <v>286</v>
      </c>
      <c r="B46" s="1" t="s">
        <v>287</v>
      </c>
      <c r="C46" s="3"/>
      <c r="D46" s="3"/>
      <c r="E46" s="1" t="str">
        <f>IFERROR(__xludf.DUMMYFUNCTION("IFERROR(REGEXEXTRACT(A46, ""res(269|122)""), ""none"")"),"269")</f>
        <v>269</v>
      </c>
      <c r="F46" s="1">
        <v>-15.848908</v>
      </c>
      <c r="G46" s="1">
        <v>8.0</v>
      </c>
      <c r="H46" s="1">
        <v>3.0</v>
      </c>
      <c r="I46" s="1">
        <v>0.375</v>
      </c>
      <c r="J46" s="1">
        <v>2.0</v>
      </c>
      <c r="K46" s="1">
        <v>-0.923644</v>
      </c>
      <c r="L46" s="1">
        <v>100.0</v>
      </c>
      <c r="M46" s="1">
        <v>0.0</v>
      </c>
      <c r="N46" s="1">
        <v>0.0</v>
      </c>
      <c r="O46" s="1">
        <v>96.602448</v>
      </c>
    </row>
    <row r="47">
      <c r="A47" s="1" t="s">
        <v>482</v>
      </c>
      <c r="B47" s="1" t="s">
        <v>483</v>
      </c>
      <c r="C47" s="3"/>
      <c r="D47" s="3"/>
      <c r="E47" s="1" t="str">
        <f>IFERROR(__xludf.DUMMYFUNCTION("IFERROR(REGEXEXTRACT(A47, ""res(269|122)""), ""none"")"),"269")</f>
        <v>269</v>
      </c>
      <c r="F47" s="1">
        <v>-15.495405</v>
      </c>
      <c r="G47" s="1">
        <v>9.0</v>
      </c>
      <c r="H47" s="1">
        <v>4.0</v>
      </c>
      <c r="I47" s="1">
        <v>0.333333</v>
      </c>
      <c r="J47" s="1">
        <v>2.0</v>
      </c>
      <c r="K47" s="1">
        <v>-0.620458</v>
      </c>
      <c r="L47" s="1">
        <v>100.0</v>
      </c>
      <c r="M47" s="1">
        <v>0.0</v>
      </c>
      <c r="N47" s="1">
        <v>0.0</v>
      </c>
      <c r="O47" s="1">
        <v>99.21747</v>
      </c>
    </row>
    <row r="48">
      <c r="A48" s="1" t="s">
        <v>484</v>
      </c>
      <c r="B48" s="1" t="s">
        <v>485</v>
      </c>
      <c r="C48" s="3"/>
      <c r="D48" s="3"/>
      <c r="E48" s="1" t="str">
        <f>IFERROR(__xludf.DUMMYFUNCTION("IFERROR(REGEXEXTRACT(A48, ""res(269|122)""), ""none"")"),"269")</f>
        <v>269</v>
      </c>
      <c r="F48" s="1">
        <v>-15.100581</v>
      </c>
      <c r="G48" s="1">
        <v>10.0</v>
      </c>
      <c r="H48" s="1">
        <v>3.0</v>
      </c>
      <c r="I48" s="1">
        <v>0.3</v>
      </c>
      <c r="J48" s="1">
        <v>2.0</v>
      </c>
      <c r="K48" s="1">
        <v>-0.870712</v>
      </c>
      <c r="L48" s="1">
        <v>100.0</v>
      </c>
      <c r="M48" s="1">
        <v>0.0</v>
      </c>
      <c r="N48" s="1">
        <v>0.0</v>
      </c>
      <c r="O48" s="1">
        <v>99.328707</v>
      </c>
    </row>
    <row r="49">
      <c r="A49" s="1" t="s">
        <v>486</v>
      </c>
      <c r="B49" s="1" t="s">
        <v>487</v>
      </c>
      <c r="C49" s="3"/>
      <c r="D49" s="3"/>
      <c r="E49" s="1" t="str">
        <f>IFERROR(__xludf.DUMMYFUNCTION("IFERROR(REGEXEXTRACT(A49, ""res(269|122)""), ""none"")"),"269")</f>
        <v>269</v>
      </c>
      <c r="F49" s="1">
        <v>-15.478127</v>
      </c>
      <c r="G49" s="1">
        <v>8.0</v>
      </c>
      <c r="H49" s="1">
        <v>3.0</v>
      </c>
      <c r="I49" s="1">
        <v>0.25</v>
      </c>
      <c r="J49" s="1">
        <v>3.0</v>
      </c>
      <c r="K49" s="1">
        <v>-1.86879</v>
      </c>
      <c r="L49" s="1">
        <v>100.0</v>
      </c>
      <c r="M49" s="1">
        <v>0.0</v>
      </c>
      <c r="N49" s="1">
        <v>0.0</v>
      </c>
      <c r="O49" s="1">
        <v>96.903083</v>
      </c>
    </row>
    <row r="50">
      <c r="A50" s="1" t="s">
        <v>488</v>
      </c>
      <c r="B50" s="1" t="s">
        <v>489</v>
      </c>
      <c r="C50" s="3"/>
      <c r="D50" s="3"/>
      <c r="E50" s="1" t="str">
        <f>IFERROR(__xludf.DUMMYFUNCTION("IFERROR(REGEXEXTRACT(A50, ""res(269|122)""), ""none"")"),"269")</f>
        <v>269</v>
      </c>
      <c r="F50" s="1">
        <v>-15.530742</v>
      </c>
      <c r="G50" s="1">
        <v>9.0</v>
      </c>
      <c r="H50" s="1">
        <v>2.0</v>
      </c>
      <c r="I50" s="1">
        <v>0.333333</v>
      </c>
      <c r="J50" s="1">
        <v>2.0</v>
      </c>
      <c r="K50" s="1">
        <v>-1.463579</v>
      </c>
      <c r="L50" s="1">
        <v>100.0</v>
      </c>
      <c r="M50" s="1">
        <v>0.0</v>
      </c>
      <c r="N50" s="1">
        <v>0.0</v>
      </c>
      <c r="O50" s="1">
        <v>96.339012</v>
      </c>
    </row>
    <row r="51">
      <c r="A51" s="1" t="s">
        <v>490</v>
      </c>
      <c r="B51" s="1" t="s">
        <v>491</v>
      </c>
      <c r="C51" s="3"/>
      <c r="D51" s="3"/>
      <c r="E51" s="1" t="str">
        <f>IFERROR(__xludf.DUMMYFUNCTION("IFERROR(REGEXEXTRACT(A51, ""res(269|122)""), ""none"")"),"269")</f>
        <v>269</v>
      </c>
      <c r="F51" s="1">
        <v>-15.026162</v>
      </c>
      <c r="G51" s="1">
        <v>8.0</v>
      </c>
      <c r="H51" s="1">
        <v>2.0</v>
      </c>
      <c r="I51" s="1">
        <v>0.5</v>
      </c>
      <c r="J51" s="1">
        <v>2.0</v>
      </c>
      <c r="K51" s="1">
        <v>-1.219584</v>
      </c>
      <c r="L51" s="1">
        <v>100.0</v>
      </c>
      <c r="M51" s="1">
        <v>0.0</v>
      </c>
      <c r="N51" s="1">
        <v>0.0</v>
      </c>
      <c r="O51" s="1">
        <v>96.254254</v>
      </c>
    </row>
    <row r="52">
      <c r="A52" s="1" t="s">
        <v>492</v>
      </c>
      <c r="B52" s="1" t="s">
        <v>493</v>
      </c>
      <c r="C52" s="3"/>
      <c r="D52" s="3"/>
      <c r="E52" s="1" t="str">
        <f>IFERROR(__xludf.DUMMYFUNCTION("IFERROR(REGEXEXTRACT(A52, ""res(269|122)""), ""none"")"),"269")</f>
        <v>269</v>
      </c>
      <c r="F52" s="1">
        <v>-15.026162</v>
      </c>
      <c r="G52" s="1">
        <v>8.0</v>
      </c>
      <c r="H52" s="1">
        <v>2.0</v>
      </c>
      <c r="I52" s="1">
        <v>0.5</v>
      </c>
      <c r="J52" s="1">
        <v>2.0</v>
      </c>
      <c r="K52" s="1">
        <v>-1.219584</v>
      </c>
      <c r="L52" s="1">
        <v>100.0</v>
      </c>
      <c r="M52" s="1">
        <v>0.0</v>
      </c>
      <c r="N52" s="1">
        <v>0.0</v>
      </c>
      <c r="O52" s="1">
        <v>96.254254</v>
      </c>
    </row>
    <row r="53">
      <c r="A53" s="1" t="s">
        <v>494</v>
      </c>
      <c r="B53" s="1" t="s">
        <v>495</v>
      </c>
      <c r="C53" s="3"/>
      <c r="D53" s="3"/>
      <c r="E53" s="1" t="str">
        <f>IFERROR(__xludf.DUMMYFUNCTION("IFERROR(REGEXEXTRACT(A53, ""res(269|122)""), ""none"")"),"269")</f>
        <v>269</v>
      </c>
      <c r="F53" s="1">
        <v>-15.558252</v>
      </c>
      <c r="G53" s="1">
        <v>8.0</v>
      </c>
      <c r="H53" s="1">
        <v>5.0</v>
      </c>
      <c r="I53" s="1">
        <v>0.25</v>
      </c>
      <c r="J53" s="1">
        <v>2.0</v>
      </c>
      <c r="K53" s="1">
        <v>-0.605641</v>
      </c>
      <c r="L53" s="1">
        <v>100.0</v>
      </c>
      <c r="M53" s="1">
        <v>0.0</v>
      </c>
      <c r="N53" s="1">
        <v>0.0</v>
      </c>
      <c r="O53" s="1">
        <v>99.086107</v>
      </c>
    </row>
    <row r="54">
      <c r="A54" s="1" t="s">
        <v>496</v>
      </c>
      <c r="B54" s="1" t="s">
        <v>497</v>
      </c>
      <c r="C54" s="3"/>
      <c r="D54" s="3"/>
      <c r="E54" s="1" t="str">
        <f>IFERROR(__xludf.DUMMYFUNCTION("IFERROR(REGEXEXTRACT(A54, ""res(269|122)""), ""none"")"),"269")</f>
        <v>269</v>
      </c>
      <c r="F54" s="1">
        <v>-15.806081</v>
      </c>
      <c r="G54" s="1">
        <v>8.0</v>
      </c>
      <c r="H54" s="1">
        <v>2.0</v>
      </c>
      <c r="I54" s="1">
        <v>0.25</v>
      </c>
      <c r="J54" s="1">
        <v>2.0</v>
      </c>
      <c r="K54" s="1">
        <v>-1.085431</v>
      </c>
      <c r="L54" s="1">
        <v>100.0</v>
      </c>
      <c r="M54" s="1">
        <v>0.0</v>
      </c>
      <c r="N54" s="1">
        <v>0.0</v>
      </c>
      <c r="O54" s="1">
        <v>95.358488</v>
      </c>
    </row>
    <row r="55">
      <c r="A55" s="1" t="s">
        <v>288</v>
      </c>
      <c r="B55" s="1" t="s">
        <v>80</v>
      </c>
      <c r="C55" s="3"/>
      <c r="D55" s="3"/>
      <c r="E55" s="1" t="str">
        <f>IFERROR(__xludf.DUMMYFUNCTION("IFERROR(REGEXEXTRACT(A55, ""res(269|122)""), ""none"")"),"269")</f>
        <v>269</v>
      </c>
      <c r="F55" s="1">
        <v>-15.111049</v>
      </c>
      <c r="G55" s="1">
        <v>8.0</v>
      </c>
      <c r="H55" s="1">
        <v>4.0</v>
      </c>
      <c r="I55" s="1">
        <v>0.5</v>
      </c>
      <c r="J55" s="1">
        <v>3.0</v>
      </c>
      <c r="K55" s="1">
        <v>-1.48802099999999</v>
      </c>
      <c r="L55" s="1">
        <v>100.0</v>
      </c>
      <c r="M55" s="1">
        <v>0.0</v>
      </c>
      <c r="N55" s="1">
        <v>0.0</v>
      </c>
      <c r="O55" s="1">
        <v>98.90093</v>
      </c>
    </row>
    <row r="56">
      <c r="A56" s="1" t="s">
        <v>498</v>
      </c>
      <c r="B56" s="1" t="s">
        <v>499</v>
      </c>
      <c r="C56" s="3"/>
      <c r="D56" s="3"/>
      <c r="E56" s="1" t="str">
        <f>IFERROR(__xludf.DUMMYFUNCTION("IFERROR(REGEXEXTRACT(A56, ""res(269|122)""), ""none"")"),"269")</f>
        <v>269</v>
      </c>
      <c r="F56" s="1">
        <v>-15.229256</v>
      </c>
      <c r="G56" s="1">
        <v>7.0</v>
      </c>
      <c r="H56" s="1">
        <v>3.0</v>
      </c>
      <c r="I56" s="1">
        <v>0.428571</v>
      </c>
      <c r="J56" s="1">
        <v>2.0</v>
      </c>
      <c r="K56" s="1">
        <v>-0.96092</v>
      </c>
      <c r="L56" s="1">
        <v>100.0</v>
      </c>
      <c r="M56" s="1">
        <v>0.0</v>
      </c>
      <c r="N56" s="1">
        <v>0.0</v>
      </c>
      <c r="O56" s="1">
        <v>96.238395</v>
      </c>
    </row>
    <row r="57">
      <c r="A57" s="1" t="s">
        <v>500</v>
      </c>
      <c r="B57" s="1" t="s">
        <v>501</v>
      </c>
      <c r="C57" s="3"/>
      <c r="D57" s="3"/>
      <c r="E57" s="1" t="str">
        <f>IFERROR(__xludf.DUMMYFUNCTION("IFERROR(REGEXEXTRACT(A57, ""res(269|122)""), ""none"")"),"269")</f>
        <v>269</v>
      </c>
      <c r="F57" s="1">
        <v>-16.557156</v>
      </c>
      <c r="G57" s="1">
        <v>8.0</v>
      </c>
      <c r="H57" s="1">
        <v>2.0</v>
      </c>
      <c r="I57" s="1">
        <v>0.25</v>
      </c>
      <c r="J57" s="1">
        <v>2.0</v>
      </c>
      <c r="K57" s="1">
        <v>-0.52554</v>
      </c>
      <c r="L57" s="1">
        <v>100.0</v>
      </c>
      <c r="M57" s="1">
        <v>0.0</v>
      </c>
      <c r="N57" s="1">
        <v>0.0</v>
      </c>
      <c r="O57" s="1">
        <v>95.167304</v>
      </c>
    </row>
    <row r="58">
      <c r="A58" s="1" t="s">
        <v>289</v>
      </c>
      <c r="B58" s="1" t="s">
        <v>290</v>
      </c>
      <c r="C58" s="3"/>
      <c r="D58" s="3"/>
      <c r="E58" s="1" t="str">
        <f>IFERROR(__xludf.DUMMYFUNCTION("IFERROR(REGEXEXTRACT(A58, ""res(269|122)""), ""none"")"),"269")</f>
        <v>269</v>
      </c>
      <c r="F58" s="1">
        <v>-15.62437</v>
      </c>
      <c r="G58" s="1">
        <v>8.0</v>
      </c>
      <c r="H58" s="1">
        <v>3.0</v>
      </c>
      <c r="I58" s="1">
        <v>0.25</v>
      </c>
      <c r="J58" s="1">
        <v>2.0</v>
      </c>
      <c r="K58" s="1">
        <v>-0.578782</v>
      </c>
      <c r="L58" s="1">
        <v>100.0</v>
      </c>
      <c r="M58" s="1">
        <v>0.0</v>
      </c>
      <c r="N58" s="1">
        <v>0.0</v>
      </c>
      <c r="O58" s="1">
        <v>97.046848</v>
      </c>
    </row>
    <row r="59">
      <c r="A59" s="1" t="s">
        <v>502</v>
      </c>
      <c r="B59" s="1" t="s">
        <v>503</v>
      </c>
      <c r="C59" s="3"/>
      <c r="D59" s="3"/>
      <c r="E59" s="1" t="str">
        <f>IFERROR(__xludf.DUMMYFUNCTION("IFERROR(REGEXEXTRACT(A59, ""res(269|122)""), ""none"")"),"269")</f>
        <v>269</v>
      </c>
      <c r="F59" s="1">
        <v>-15.732571</v>
      </c>
      <c r="G59" s="1">
        <v>7.0</v>
      </c>
      <c r="H59" s="1">
        <v>2.0</v>
      </c>
      <c r="I59" s="1">
        <v>0.428571</v>
      </c>
      <c r="J59" s="1">
        <v>2.0</v>
      </c>
      <c r="K59" s="1">
        <v>-0.385637</v>
      </c>
      <c r="L59" s="1">
        <v>100.0</v>
      </c>
      <c r="M59" s="1">
        <v>0.0</v>
      </c>
      <c r="N59" s="1">
        <v>0.0</v>
      </c>
      <c r="O59" s="1">
        <v>95.310363</v>
      </c>
    </row>
    <row r="60">
      <c r="A60" s="1" t="s">
        <v>504</v>
      </c>
      <c r="B60" s="1" t="s">
        <v>505</v>
      </c>
      <c r="C60" s="3"/>
      <c r="D60" s="3"/>
      <c r="E60" s="1" t="str">
        <f>IFERROR(__xludf.DUMMYFUNCTION("IFERROR(REGEXEXTRACT(A60, ""res(269|122)""), ""none"")"),"269")</f>
        <v>269</v>
      </c>
      <c r="F60" s="1">
        <v>-17.047287</v>
      </c>
      <c r="G60" s="1">
        <v>8.0</v>
      </c>
      <c r="H60" s="1">
        <v>2.0</v>
      </c>
      <c r="I60" s="1">
        <v>0.25</v>
      </c>
      <c r="J60" s="1">
        <v>2.0</v>
      </c>
      <c r="K60" s="1">
        <v>-1.214723</v>
      </c>
      <c r="L60" s="1">
        <v>100.0</v>
      </c>
      <c r="M60" s="1">
        <v>0.0</v>
      </c>
      <c r="N60" s="1">
        <v>0.0</v>
      </c>
      <c r="O60" s="1">
        <v>93.98799</v>
      </c>
    </row>
    <row r="61">
      <c r="A61" s="1" t="s">
        <v>291</v>
      </c>
      <c r="B61" s="1" t="s">
        <v>292</v>
      </c>
      <c r="C61" s="3"/>
      <c r="D61" s="3"/>
      <c r="E61" s="1" t="str">
        <f>IFERROR(__xludf.DUMMYFUNCTION("IFERROR(REGEXEXTRACT(A61, ""res(269|122)""), ""none"")"),"269")</f>
        <v>269</v>
      </c>
      <c r="F61" s="1">
        <v>-16.657537</v>
      </c>
      <c r="G61" s="1">
        <v>10.0</v>
      </c>
      <c r="H61" s="1">
        <v>3.0</v>
      </c>
      <c r="I61" s="1">
        <v>0.3</v>
      </c>
      <c r="J61" s="1">
        <v>2.0</v>
      </c>
      <c r="K61" s="1">
        <v>-1.135125</v>
      </c>
      <c r="L61" s="1">
        <v>100.0</v>
      </c>
      <c r="M61" s="1">
        <v>0.0</v>
      </c>
      <c r="N61" s="1">
        <v>0.0</v>
      </c>
      <c r="O61" s="1">
        <v>97.507338</v>
      </c>
    </row>
    <row r="62">
      <c r="A62" s="1" t="s">
        <v>293</v>
      </c>
      <c r="B62" s="1" t="s">
        <v>294</v>
      </c>
      <c r="C62" s="3"/>
      <c r="D62" s="3"/>
      <c r="E62" s="1" t="str">
        <f>IFERROR(__xludf.DUMMYFUNCTION("IFERROR(REGEXEXTRACT(A62, ""res(269|122)""), ""none"")"),"269")</f>
        <v>269</v>
      </c>
      <c r="F62" s="1">
        <v>-15.0051</v>
      </c>
      <c r="G62" s="1">
        <v>8.0</v>
      </c>
      <c r="H62" s="1">
        <v>1.0</v>
      </c>
      <c r="I62" s="1">
        <v>0.25</v>
      </c>
      <c r="J62" s="1">
        <v>3.0</v>
      </c>
      <c r="K62" s="1">
        <v>-2.024033</v>
      </c>
      <c r="L62" s="1">
        <v>100.0</v>
      </c>
      <c r="M62" s="1">
        <v>0.0</v>
      </c>
      <c r="N62" s="1">
        <v>0.0</v>
      </c>
      <c r="O62" s="1">
        <v>95.220867</v>
      </c>
    </row>
    <row r="63">
      <c r="A63" s="1" t="s">
        <v>295</v>
      </c>
      <c r="B63" s="1" t="s">
        <v>132</v>
      </c>
      <c r="C63" s="3"/>
      <c r="D63" s="3"/>
      <c r="E63" s="1" t="str">
        <f>IFERROR(__xludf.DUMMYFUNCTION("IFERROR(REGEXEXTRACT(A63, ""res(269|122)""), ""none"")"),"269")</f>
        <v>269</v>
      </c>
      <c r="F63" s="1">
        <v>-15.787491</v>
      </c>
      <c r="G63" s="1">
        <v>6.0</v>
      </c>
      <c r="H63" s="1">
        <v>2.0</v>
      </c>
      <c r="I63" s="1">
        <v>0.333333</v>
      </c>
      <c r="J63" s="1">
        <v>3.0</v>
      </c>
      <c r="K63" s="1">
        <v>-1.153959</v>
      </c>
      <c r="L63" s="1">
        <v>100.0</v>
      </c>
      <c r="M63" s="1">
        <v>0.0</v>
      </c>
      <c r="N63" s="1">
        <v>0.0</v>
      </c>
      <c r="O63" s="1">
        <v>94.391883</v>
      </c>
    </row>
    <row r="64">
      <c r="A64" s="1" t="s">
        <v>296</v>
      </c>
      <c r="B64" s="1" t="s">
        <v>135</v>
      </c>
      <c r="C64" s="3"/>
      <c r="D64" s="3"/>
      <c r="E64" s="1" t="str">
        <f>IFERROR(__xludf.DUMMYFUNCTION("IFERROR(REGEXEXTRACT(A64, ""res(269|122)""), ""none"")"),"269")</f>
        <v>269</v>
      </c>
      <c r="F64" s="1">
        <v>-16.526444</v>
      </c>
      <c r="G64" s="1">
        <v>7.0</v>
      </c>
      <c r="H64" s="1">
        <v>3.0</v>
      </c>
      <c r="I64" s="1">
        <v>0.428571</v>
      </c>
      <c r="J64" s="1">
        <v>3.0</v>
      </c>
      <c r="K64" s="1">
        <v>-1.370961</v>
      </c>
      <c r="L64" s="1">
        <v>100.0</v>
      </c>
      <c r="M64" s="1">
        <v>0.0</v>
      </c>
      <c r="N64" s="1">
        <v>0.0</v>
      </c>
      <c r="O64" s="1">
        <v>95.531166</v>
      </c>
    </row>
    <row r="65">
      <c r="A65" s="1" t="s">
        <v>506</v>
      </c>
      <c r="B65" s="1" t="s">
        <v>507</v>
      </c>
      <c r="C65" s="3"/>
      <c r="D65" s="3"/>
      <c r="E65" s="1" t="str">
        <f>IFERROR(__xludf.DUMMYFUNCTION("IFERROR(REGEXEXTRACT(A65, ""res(269|122)""), ""none"")"),"269")</f>
        <v>269</v>
      </c>
      <c r="F65" s="1">
        <v>-15.26509</v>
      </c>
      <c r="G65" s="1">
        <v>12.0</v>
      </c>
      <c r="H65" s="1">
        <v>4.0</v>
      </c>
      <c r="I65" s="1">
        <v>0.25</v>
      </c>
      <c r="J65" s="1">
        <v>3.0</v>
      </c>
      <c r="K65" s="1">
        <v>-1.724141</v>
      </c>
      <c r="L65" s="1">
        <v>100.0</v>
      </c>
      <c r="M65" s="1">
        <v>0.0</v>
      </c>
      <c r="N65" s="1">
        <v>0.0</v>
      </c>
      <c r="O65" s="1">
        <v>102.260769</v>
      </c>
    </row>
    <row r="66">
      <c r="A66" s="1" t="s">
        <v>508</v>
      </c>
      <c r="B66" s="1" t="s">
        <v>509</v>
      </c>
      <c r="C66" s="3"/>
      <c r="D66" s="3"/>
      <c r="E66" s="1" t="str">
        <f>IFERROR(__xludf.DUMMYFUNCTION("IFERROR(REGEXEXTRACT(A66, ""res(269|122)""), ""none"")"),"269")</f>
        <v>269</v>
      </c>
      <c r="F66" s="1">
        <v>-15.34782</v>
      </c>
      <c r="G66" s="1">
        <v>10.0</v>
      </c>
      <c r="H66" s="1">
        <v>2.0</v>
      </c>
      <c r="I66" s="1">
        <v>0.3</v>
      </c>
      <c r="J66" s="1">
        <v>2.0</v>
      </c>
      <c r="K66" s="1">
        <v>-0.762442</v>
      </c>
      <c r="L66" s="1">
        <v>100.0</v>
      </c>
      <c r="M66" s="1">
        <v>0.0</v>
      </c>
      <c r="N66" s="1">
        <v>0.0</v>
      </c>
      <c r="O66" s="1">
        <v>98.189738</v>
      </c>
    </row>
    <row r="67">
      <c r="A67" s="1" t="s">
        <v>297</v>
      </c>
      <c r="B67" s="1" t="s">
        <v>138</v>
      </c>
      <c r="C67" s="3"/>
      <c r="D67" s="3"/>
      <c r="E67" s="1" t="str">
        <f>IFERROR(__xludf.DUMMYFUNCTION("IFERROR(REGEXEXTRACT(A67, ""res(269|122)""), ""none"")"),"269")</f>
        <v>269</v>
      </c>
      <c r="F67" s="1">
        <v>-15.442965</v>
      </c>
      <c r="G67" s="1">
        <v>7.0</v>
      </c>
      <c r="H67" s="1">
        <v>3.0</v>
      </c>
      <c r="I67" s="1">
        <v>0.285714</v>
      </c>
      <c r="J67" s="1">
        <v>2.0</v>
      </c>
      <c r="K67" s="1">
        <v>-0.995888</v>
      </c>
      <c r="L67" s="1">
        <v>100.0</v>
      </c>
      <c r="M67" s="1">
        <v>0.0</v>
      </c>
      <c r="N67" s="1">
        <v>0.0</v>
      </c>
      <c r="O67" s="1">
        <v>95.846861</v>
      </c>
    </row>
    <row r="68">
      <c r="A68" s="1" t="s">
        <v>298</v>
      </c>
      <c r="B68" s="1" t="s">
        <v>299</v>
      </c>
      <c r="C68" s="3"/>
      <c r="D68" s="3"/>
      <c r="E68" s="1" t="str">
        <f>IFERROR(__xludf.DUMMYFUNCTION("IFERROR(REGEXEXTRACT(A68, ""res(269|122)""), ""none"")"),"269")</f>
        <v>269</v>
      </c>
      <c r="F68" s="1">
        <v>-15.442965</v>
      </c>
      <c r="G68" s="1">
        <v>7.0</v>
      </c>
      <c r="H68" s="1">
        <v>3.0</v>
      </c>
      <c r="I68" s="1">
        <v>0.285714</v>
      </c>
      <c r="J68" s="1">
        <v>2.0</v>
      </c>
      <c r="K68" s="1">
        <v>-0.995888</v>
      </c>
      <c r="L68" s="1">
        <v>100.0</v>
      </c>
      <c r="M68" s="1">
        <v>0.0</v>
      </c>
      <c r="N68" s="1">
        <v>0.0</v>
      </c>
      <c r="O68" s="1">
        <v>95.846861</v>
      </c>
    </row>
    <row r="69">
      <c r="A69" s="1" t="s">
        <v>300</v>
      </c>
      <c r="B69" s="1" t="s">
        <v>301</v>
      </c>
      <c r="C69" s="3"/>
      <c r="D69" s="3"/>
      <c r="E69" s="1" t="str">
        <f>IFERROR(__xludf.DUMMYFUNCTION("IFERROR(REGEXEXTRACT(A69, ""res(269|122)""), ""none"")"),"269")</f>
        <v>269</v>
      </c>
      <c r="F69" s="1">
        <v>-16.187871</v>
      </c>
      <c r="G69" s="1">
        <v>8.0</v>
      </c>
      <c r="H69" s="1">
        <v>2.0</v>
      </c>
      <c r="I69" s="1">
        <v>0.25</v>
      </c>
      <c r="J69" s="1">
        <v>2.0</v>
      </c>
      <c r="K69" s="1">
        <v>-1.664296</v>
      </c>
      <c r="L69" s="1">
        <v>100.0</v>
      </c>
      <c r="M69" s="1">
        <v>0.0</v>
      </c>
      <c r="N69" s="1">
        <v>0.0</v>
      </c>
      <c r="O69" s="1">
        <v>94.397833</v>
      </c>
    </row>
    <row r="70">
      <c r="A70" s="1" t="s">
        <v>302</v>
      </c>
      <c r="B70" s="1" t="s">
        <v>303</v>
      </c>
      <c r="C70" s="3"/>
      <c r="D70" s="3"/>
      <c r="E70" s="1" t="str">
        <f>IFERROR(__xludf.DUMMYFUNCTION("IFERROR(REGEXEXTRACT(A70, ""res(269|122)""), ""none"")"),"269")</f>
        <v>269</v>
      </c>
      <c r="F70" s="1">
        <v>-15.122502</v>
      </c>
      <c r="G70" s="1">
        <v>9.0</v>
      </c>
      <c r="H70" s="1">
        <v>1.0</v>
      </c>
      <c r="I70" s="1">
        <v>0.333333</v>
      </c>
      <c r="J70" s="1">
        <v>2.0</v>
      </c>
      <c r="K70" s="1">
        <v>-1.2518</v>
      </c>
      <c r="L70" s="1">
        <v>100.0</v>
      </c>
      <c r="M70" s="1">
        <v>0.0</v>
      </c>
      <c r="N70" s="1">
        <v>0.0</v>
      </c>
      <c r="O70" s="1">
        <v>95.959031</v>
      </c>
    </row>
    <row r="71">
      <c r="A71" s="1" t="s">
        <v>510</v>
      </c>
      <c r="B71" s="1" t="s">
        <v>511</v>
      </c>
      <c r="C71" s="3"/>
      <c r="D71" s="3"/>
      <c r="E71" s="1" t="str">
        <f>IFERROR(__xludf.DUMMYFUNCTION("IFERROR(REGEXEXTRACT(A71, ""res(269|122)""), ""none"")"),"269")</f>
        <v>269</v>
      </c>
      <c r="F71" s="1">
        <v>-15.348449</v>
      </c>
      <c r="G71" s="1">
        <v>9.0</v>
      </c>
      <c r="H71" s="1">
        <v>2.0</v>
      </c>
      <c r="I71" s="1">
        <v>0.333333</v>
      </c>
      <c r="J71" s="1">
        <v>3.0</v>
      </c>
      <c r="K71" s="1">
        <v>-0.898482</v>
      </c>
      <c r="L71" s="1">
        <v>100.0</v>
      </c>
      <c r="M71" s="1">
        <v>0.0</v>
      </c>
      <c r="N71" s="1">
        <v>0.0</v>
      </c>
      <c r="O71" s="1">
        <v>98.086402</v>
      </c>
    </row>
    <row r="72">
      <c r="A72" s="1" t="s">
        <v>512</v>
      </c>
      <c r="B72" s="1" t="s">
        <v>513</v>
      </c>
      <c r="C72" s="3"/>
      <c r="D72" s="3"/>
      <c r="E72" s="1" t="str">
        <f>IFERROR(__xludf.DUMMYFUNCTION("IFERROR(REGEXEXTRACT(A72, ""res(269|122)""), ""none"")"),"269")</f>
        <v>269</v>
      </c>
      <c r="F72" s="1">
        <v>-15.025488</v>
      </c>
      <c r="G72" s="1">
        <v>7.0</v>
      </c>
      <c r="H72" s="1">
        <v>2.0</v>
      </c>
      <c r="I72" s="1">
        <v>0.285714</v>
      </c>
      <c r="J72" s="1">
        <v>2.0</v>
      </c>
      <c r="K72" s="1">
        <v>-0.824596</v>
      </c>
      <c r="L72" s="1">
        <v>100.0</v>
      </c>
      <c r="M72" s="1">
        <v>0.0</v>
      </c>
      <c r="N72" s="1">
        <v>0.0</v>
      </c>
      <c r="O72" s="1">
        <v>95.43563</v>
      </c>
    </row>
    <row r="73">
      <c r="A73" s="1" t="s">
        <v>514</v>
      </c>
      <c r="B73" s="1" t="s">
        <v>515</v>
      </c>
      <c r="C73" s="3"/>
      <c r="D73" s="3"/>
      <c r="E73" s="1" t="str">
        <f>IFERROR(__xludf.DUMMYFUNCTION("IFERROR(REGEXEXTRACT(A73, ""res(269|122)""), ""none"")"),"269")</f>
        <v>269</v>
      </c>
      <c r="F73" s="1">
        <v>-15.791781</v>
      </c>
      <c r="G73" s="1">
        <v>8.0</v>
      </c>
      <c r="H73" s="1">
        <v>3.0</v>
      </c>
      <c r="I73" s="1">
        <v>0.25</v>
      </c>
      <c r="J73" s="1">
        <v>2.0</v>
      </c>
      <c r="K73" s="1">
        <v>-0.755884</v>
      </c>
      <c r="L73" s="1">
        <v>100.0</v>
      </c>
      <c r="M73" s="1">
        <v>0.0</v>
      </c>
      <c r="N73" s="1">
        <v>0.0</v>
      </c>
      <c r="O73" s="1">
        <v>96.702335</v>
      </c>
    </row>
    <row r="74">
      <c r="A74" s="1" t="s">
        <v>516</v>
      </c>
      <c r="B74" s="1" t="s">
        <v>517</v>
      </c>
      <c r="C74" s="3"/>
      <c r="D74" s="3"/>
      <c r="E74" s="1" t="str">
        <f>IFERROR(__xludf.DUMMYFUNCTION("IFERROR(REGEXEXTRACT(A74, ""res(269|122)""), ""none"")"),"269")</f>
        <v>269</v>
      </c>
      <c r="F74" s="1">
        <v>-15.031921</v>
      </c>
      <c r="G74" s="1">
        <v>8.0</v>
      </c>
      <c r="H74" s="1">
        <v>2.0</v>
      </c>
      <c r="I74" s="1">
        <v>0.25</v>
      </c>
      <c r="J74" s="1">
        <v>2.0</v>
      </c>
      <c r="K74" s="1">
        <v>-1.229831</v>
      </c>
      <c r="L74" s="1">
        <v>100.0</v>
      </c>
      <c r="M74" s="1">
        <v>0.0</v>
      </c>
      <c r="N74" s="1">
        <v>0.0</v>
      </c>
      <c r="O74" s="1">
        <v>95.988248</v>
      </c>
    </row>
    <row r="75">
      <c r="A75" s="1" t="s">
        <v>518</v>
      </c>
      <c r="B75" s="1" t="s">
        <v>519</v>
      </c>
      <c r="C75" s="3"/>
      <c r="D75" s="3"/>
      <c r="E75" s="1" t="str">
        <f>IFERROR(__xludf.DUMMYFUNCTION("IFERROR(REGEXEXTRACT(A75, ""res(269|122)""), ""none"")"),"269")</f>
        <v>269</v>
      </c>
      <c r="F75" s="1">
        <v>-15.408612</v>
      </c>
      <c r="G75" s="1">
        <v>7.0</v>
      </c>
      <c r="H75" s="1">
        <v>2.0</v>
      </c>
      <c r="I75" s="1">
        <v>0.285714</v>
      </c>
      <c r="J75" s="1">
        <v>2.0</v>
      </c>
      <c r="K75" s="1">
        <v>-0.850939</v>
      </c>
      <c r="L75" s="1">
        <v>100.0</v>
      </c>
      <c r="M75" s="1">
        <v>0.0</v>
      </c>
      <c r="N75" s="1">
        <v>0.0</v>
      </c>
      <c r="O75" s="1">
        <v>95.026163</v>
      </c>
    </row>
    <row r="76">
      <c r="A76" s="1" t="s">
        <v>304</v>
      </c>
      <c r="B76" s="1" t="s">
        <v>305</v>
      </c>
      <c r="C76" s="3"/>
      <c r="D76" s="3"/>
      <c r="E76" s="1" t="str">
        <f>IFERROR(__xludf.DUMMYFUNCTION("IFERROR(REGEXEXTRACT(A76, ""res(269|122)""), ""none"")"),"269")</f>
        <v>269</v>
      </c>
      <c r="F76" s="1">
        <v>-16.909101</v>
      </c>
      <c r="G76" s="1">
        <v>8.0</v>
      </c>
      <c r="H76" s="1">
        <v>3.0</v>
      </c>
      <c r="I76" s="1">
        <v>0.5</v>
      </c>
      <c r="J76" s="1">
        <v>2.0</v>
      </c>
      <c r="K76" s="1">
        <v>-1.107364</v>
      </c>
      <c r="L76" s="1">
        <v>100.0</v>
      </c>
      <c r="M76" s="1">
        <v>0.0</v>
      </c>
      <c r="N76" s="1">
        <v>0.0</v>
      </c>
      <c r="O76" s="1">
        <v>95.483535</v>
      </c>
    </row>
    <row r="77">
      <c r="A77" s="1" t="s">
        <v>520</v>
      </c>
      <c r="B77" s="1" t="s">
        <v>521</v>
      </c>
      <c r="C77" s="3"/>
      <c r="D77" s="3"/>
      <c r="E77" s="1" t="str">
        <f>IFERROR(__xludf.DUMMYFUNCTION("IFERROR(REGEXEXTRACT(A77, ""res(269|122)""), ""none"")"),"269")</f>
        <v>269</v>
      </c>
      <c r="F77" s="1">
        <v>-15.175735</v>
      </c>
      <c r="G77" s="1">
        <v>9.0</v>
      </c>
      <c r="H77" s="1">
        <v>4.0</v>
      </c>
      <c r="I77" s="1">
        <v>0.333333</v>
      </c>
      <c r="J77" s="1">
        <v>2.0</v>
      </c>
      <c r="K77" s="1">
        <v>-1.041475</v>
      </c>
      <c r="L77" s="1">
        <v>100.0</v>
      </c>
      <c r="M77" s="1">
        <v>0.0</v>
      </c>
      <c r="N77" s="1">
        <v>0.0</v>
      </c>
      <c r="O77" s="1">
        <v>99.116123</v>
      </c>
    </row>
    <row r="78">
      <c r="A78" s="1" t="s">
        <v>306</v>
      </c>
      <c r="B78" s="1" t="s">
        <v>307</v>
      </c>
      <c r="C78" s="3"/>
      <c r="D78" s="3"/>
      <c r="E78" s="1" t="str">
        <f>IFERROR(__xludf.DUMMYFUNCTION("IFERROR(REGEXEXTRACT(A78, ""res(269|122)""), ""none"")"),"269")</f>
        <v>269</v>
      </c>
      <c r="F78" s="1">
        <v>-15.785852</v>
      </c>
      <c r="G78" s="1">
        <v>7.0</v>
      </c>
      <c r="H78" s="1">
        <v>5.0</v>
      </c>
      <c r="I78" s="1">
        <v>0.285714</v>
      </c>
      <c r="J78" s="1">
        <v>2.0</v>
      </c>
      <c r="K78" s="1">
        <v>-0.799353999999999</v>
      </c>
      <c r="L78" s="1">
        <v>100.0</v>
      </c>
      <c r="M78" s="1">
        <v>0.0</v>
      </c>
      <c r="N78" s="1">
        <v>0.0</v>
      </c>
      <c r="O78" s="1">
        <v>97.700508</v>
      </c>
    </row>
    <row r="79">
      <c r="A79" s="1" t="s">
        <v>308</v>
      </c>
      <c r="B79" s="1" t="s">
        <v>141</v>
      </c>
      <c r="C79" s="3"/>
      <c r="D79" s="3"/>
      <c r="E79" s="1" t="str">
        <f>IFERROR(__xludf.DUMMYFUNCTION("IFERROR(REGEXEXTRACT(A79, ""res(269|122)""), ""none"")"),"269")</f>
        <v>269</v>
      </c>
      <c r="F79" s="1">
        <v>-15.155078</v>
      </c>
      <c r="G79" s="1">
        <v>8.0</v>
      </c>
      <c r="H79" s="1">
        <v>2.0</v>
      </c>
      <c r="I79" s="1">
        <v>0.25</v>
      </c>
      <c r="J79" s="1">
        <v>2.0</v>
      </c>
      <c r="K79" s="1">
        <v>-0.394031</v>
      </c>
      <c r="L79" s="1">
        <v>100.0</v>
      </c>
      <c r="M79" s="1">
        <v>0.0</v>
      </c>
      <c r="N79" s="1">
        <v>0.0</v>
      </c>
      <c r="O79" s="1">
        <v>96.700891</v>
      </c>
    </row>
    <row r="80">
      <c r="A80" s="1" t="s">
        <v>309</v>
      </c>
      <c r="B80" s="1" t="s">
        <v>144</v>
      </c>
      <c r="C80" s="3"/>
      <c r="D80" s="3"/>
      <c r="E80" s="1" t="str">
        <f>IFERROR(__xludf.DUMMYFUNCTION("IFERROR(REGEXEXTRACT(A80, ""res(269|122)""), ""none"")"),"269")</f>
        <v>269</v>
      </c>
      <c r="F80" s="1">
        <v>-15.473368</v>
      </c>
      <c r="G80" s="1">
        <v>8.0</v>
      </c>
      <c r="H80" s="1">
        <v>2.0</v>
      </c>
      <c r="I80" s="1">
        <v>0.375</v>
      </c>
      <c r="J80" s="1">
        <v>2.0</v>
      </c>
      <c r="K80" s="1">
        <v>-0.972362</v>
      </c>
      <c r="L80" s="1">
        <v>100.0</v>
      </c>
      <c r="M80" s="1">
        <v>0.0</v>
      </c>
      <c r="N80" s="1">
        <v>0.0</v>
      </c>
      <c r="O80" s="1">
        <v>95.92927</v>
      </c>
    </row>
    <row r="81">
      <c r="A81" s="1" t="s">
        <v>522</v>
      </c>
      <c r="B81" s="1" t="s">
        <v>523</v>
      </c>
      <c r="C81" s="3"/>
      <c r="D81" s="3"/>
      <c r="E81" s="1" t="str">
        <f>IFERROR(__xludf.DUMMYFUNCTION("IFERROR(REGEXEXTRACT(A81, ""res(269|122)""), ""none"")"),"269")</f>
        <v>269</v>
      </c>
      <c r="F81" s="1">
        <v>-16.989951</v>
      </c>
      <c r="G81" s="1">
        <v>11.0</v>
      </c>
      <c r="H81" s="1">
        <v>2.0</v>
      </c>
      <c r="I81" s="1">
        <v>0.363636</v>
      </c>
      <c r="J81" s="1">
        <v>3.0</v>
      </c>
      <c r="K81" s="1">
        <v>-1.466325</v>
      </c>
      <c r="L81" s="1">
        <v>100.0</v>
      </c>
      <c r="M81" s="1">
        <v>0.0</v>
      </c>
      <c r="N81" s="1">
        <v>0.0</v>
      </c>
      <c r="O81" s="1">
        <v>97.90736</v>
      </c>
    </row>
    <row r="82">
      <c r="A82" s="1" t="s">
        <v>524</v>
      </c>
      <c r="B82" s="1" t="s">
        <v>525</v>
      </c>
      <c r="C82" s="3"/>
      <c r="D82" s="3"/>
      <c r="E82" s="1" t="str">
        <f>IFERROR(__xludf.DUMMYFUNCTION("IFERROR(REGEXEXTRACT(A82, ""res(269|122)""), ""none"")"),"269")</f>
        <v>269</v>
      </c>
      <c r="F82" s="1">
        <v>-16.839472</v>
      </c>
      <c r="G82" s="1">
        <v>8.0</v>
      </c>
      <c r="H82" s="1">
        <v>3.0</v>
      </c>
      <c r="I82" s="1">
        <v>0.25</v>
      </c>
      <c r="J82" s="1">
        <v>2.0</v>
      </c>
      <c r="K82" s="1">
        <v>-0.470774</v>
      </c>
      <c r="L82" s="1">
        <v>100.0</v>
      </c>
      <c r="M82" s="1">
        <v>0.0</v>
      </c>
      <c r="N82" s="1">
        <v>0.0</v>
      </c>
      <c r="O82" s="1">
        <v>95.939754</v>
      </c>
    </row>
    <row r="83">
      <c r="A83" s="1" t="s">
        <v>526</v>
      </c>
      <c r="B83" s="1" t="s">
        <v>527</v>
      </c>
      <c r="C83" s="3"/>
      <c r="D83" s="3"/>
      <c r="E83" s="1" t="str">
        <f>IFERROR(__xludf.DUMMYFUNCTION("IFERROR(REGEXEXTRACT(A83, ""res(269|122)""), ""none"")"),"269")</f>
        <v>269</v>
      </c>
      <c r="F83" s="1">
        <v>-15.204053</v>
      </c>
      <c r="G83" s="1">
        <v>9.0</v>
      </c>
      <c r="H83" s="1">
        <v>3.0</v>
      </c>
      <c r="I83" s="1">
        <v>0.444444</v>
      </c>
      <c r="J83" s="1">
        <v>2.0</v>
      </c>
      <c r="K83" s="1">
        <v>-1.136467</v>
      </c>
      <c r="L83" s="1">
        <v>100.0</v>
      </c>
      <c r="M83" s="1">
        <v>0.0</v>
      </c>
      <c r="N83" s="1">
        <v>0.0</v>
      </c>
      <c r="O83" s="1">
        <v>98.103924</v>
      </c>
    </row>
    <row r="84">
      <c r="A84" s="1" t="s">
        <v>528</v>
      </c>
      <c r="B84" s="1" t="s">
        <v>529</v>
      </c>
      <c r="C84" s="3"/>
      <c r="D84" s="3"/>
      <c r="E84" s="1" t="str">
        <f>IFERROR(__xludf.DUMMYFUNCTION("IFERROR(REGEXEXTRACT(A84, ""res(269|122)""), ""none"")"),"269")</f>
        <v>269</v>
      </c>
      <c r="F84" s="1">
        <v>-15.204053</v>
      </c>
      <c r="G84" s="1">
        <v>9.0</v>
      </c>
      <c r="H84" s="1">
        <v>3.0</v>
      </c>
      <c r="I84" s="1">
        <v>0.444444</v>
      </c>
      <c r="J84" s="1">
        <v>2.0</v>
      </c>
      <c r="K84" s="1">
        <v>-1.136467</v>
      </c>
      <c r="L84" s="1">
        <v>100.0</v>
      </c>
      <c r="M84" s="1">
        <v>0.0</v>
      </c>
      <c r="N84" s="1">
        <v>0.0</v>
      </c>
      <c r="O84" s="1">
        <v>98.103924</v>
      </c>
    </row>
    <row r="85">
      <c r="A85" s="1" t="s">
        <v>530</v>
      </c>
      <c r="B85" s="1" t="s">
        <v>531</v>
      </c>
      <c r="C85" s="3"/>
      <c r="D85" s="3"/>
      <c r="E85" s="1" t="str">
        <f>IFERROR(__xludf.DUMMYFUNCTION("IFERROR(REGEXEXTRACT(A85, ""res(269|122)""), ""none"")"),"269")</f>
        <v>269</v>
      </c>
      <c r="F85" s="1">
        <v>-15.460704</v>
      </c>
      <c r="G85" s="1">
        <v>7.0</v>
      </c>
      <c r="H85" s="1">
        <v>2.0</v>
      </c>
      <c r="I85" s="1">
        <v>0.428571</v>
      </c>
      <c r="J85" s="1">
        <v>2.0</v>
      </c>
      <c r="K85" s="1">
        <v>-0.528978</v>
      </c>
      <c r="L85" s="1">
        <v>100.0</v>
      </c>
      <c r="M85" s="1">
        <v>0.0</v>
      </c>
      <c r="N85" s="1">
        <v>0.0</v>
      </c>
      <c r="O85" s="1">
        <v>95.438889</v>
      </c>
    </row>
    <row r="86">
      <c r="A86" s="1" t="s">
        <v>310</v>
      </c>
      <c r="B86" s="1" t="s">
        <v>147</v>
      </c>
      <c r="C86" s="3"/>
      <c r="D86" s="3"/>
      <c r="E86" s="1" t="str">
        <f>IFERROR(__xludf.DUMMYFUNCTION("IFERROR(REGEXEXTRACT(A86, ""res(269|122)""), ""none"")"),"269")</f>
        <v>269</v>
      </c>
      <c r="F86" s="1">
        <v>-15.32929</v>
      </c>
      <c r="G86" s="1">
        <v>9.0</v>
      </c>
      <c r="H86" s="1">
        <v>2.0</v>
      </c>
      <c r="I86" s="1">
        <v>0.444444</v>
      </c>
      <c r="J86" s="1">
        <v>3.0</v>
      </c>
      <c r="K86" s="1">
        <v>-1.169854</v>
      </c>
      <c r="L86" s="1">
        <v>100.0</v>
      </c>
      <c r="M86" s="1">
        <v>0.0</v>
      </c>
      <c r="N86" s="1">
        <v>0.0</v>
      </c>
      <c r="O86" s="1">
        <v>97.9453</v>
      </c>
    </row>
    <row r="87">
      <c r="A87" s="1" t="s">
        <v>311</v>
      </c>
      <c r="B87" s="1" t="s">
        <v>312</v>
      </c>
      <c r="C87" s="3"/>
      <c r="D87" s="3"/>
      <c r="E87" s="1" t="str">
        <f>IFERROR(__xludf.DUMMYFUNCTION("IFERROR(REGEXEXTRACT(A87, ""res(269|122)""), ""none"")"),"269")</f>
        <v>269</v>
      </c>
      <c r="F87" s="1">
        <v>-17.46746</v>
      </c>
      <c r="G87" s="1">
        <v>9.0</v>
      </c>
      <c r="H87" s="1">
        <v>2.0</v>
      </c>
      <c r="I87" s="1">
        <v>0.333333</v>
      </c>
      <c r="J87" s="1">
        <v>2.0</v>
      </c>
      <c r="K87" s="1">
        <v>-0.960204</v>
      </c>
      <c r="L87" s="1">
        <v>100.0</v>
      </c>
      <c r="M87" s="1">
        <v>0.0</v>
      </c>
      <c r="N87" s="1">
        <v>0.0</v>
      </c>
      <c r="O87" s="1">
        <v>94.905669</v>
      </c>
    </row>
    <row r="88">
      <c r="A88" s="1" t="s">
        <v>313</v>
      </c>
      <c r="B88" s="1" t="s">
        <v>314</v>
      </c>
      <c r="C88" s="3"/>
      <c r="D88" s="3"/>
      <c r="E88" s="1" t="str">
        <f>IFERROR(__xludf.DUMMYFUNCTION("IFERROR(REGEXEXTRACT(A88, ""res(269|122)""), ""none"")"),"269")</f>
        <v>269</v>
      </c>
      <c r="F88" s="1">
        <v>-15.769609</v>
      </c>
      <c r="G88" s="1">
        <v>8.0</v>
      </c>
      <c r="H88" s="1">
        <v>2.0</v>
      </c>
      <c r="I88" s="1">
        <v>0.25</v>
      </c>
      <c r="J88" s="1">
        <v>2.0</v>
      </c>
      <c r="K88" s="1">
        <v>-1.998276</v>
      </c>
      <c r="L88" s="1">
        <v>100.0</v>
      </c>
      <c r="M88" s="1">
        <v>0.0</v>
      </c>
      <c r="N88" s="1">
        <v>0.0</v>
      </c>
      <c r="O88" s="1">
        <v>94.482115</v>
      </c>
    </row>
    <row r="89">
      <c r="A89" s="1" t="s">
        <v>532</v>
      </c>
      <c r="B89" s="1" t="s">
        <v>533</v>
      </c>
      <c r="C89" s="3"/>
      <c r="D89" s="3"/>
      <c r="E89" s="1" t="str">
        <f>IFERROR(__xludf.DUMMYFUNCTION("IFERROR(REGEXEXTRACT(A89, ""res(269|122)""), ""none"")"),"269")</f>
        <v>269</v>
      </c>
      <c r="F89" s="1">
        <v>-16.236242</v>
      </c>
      <c r="G89" s="1">
        <v>7.0</v>
      </c>
      <c r="H89" s="1">
        <v>2.0</v>
      </c>
      <c r="I89" s="1">
        <v>0.428571</v>
      </c>
      <c r="J89" s="1">
        <v>2.0</v>
      </c>
      <c r="K89" s="1">
        <v>-0.505698</v>
      </c>
      <c r="L89" s="1">
        <v>100.0</v>
      </c>
      <c r="M89" s="1">
        <v>0.0</v>
      </c>
      <c r="N89" s="1">
        <v>0.0</v>
      </c>
      <c r="O89" s="1">
        <v>94.686631</v>
      </c>
    </row>
    <row r="90">
      <c r="A90" s="1" t="s">
        <v>315</v>
      </c>
      <c r="B90" s="1" t="s">
        <v>316</v>
      </c>
      <c r="C90" s="3"/>
      <c r="D90" s="3"/>
      <c r="E90" s="1" t="str">
        <f>IFERROR(__xludf.DUMMYFUNCTION("IFERROR(REGEXEXTRACT(A90, ""res(269|122)""), ""none"")"),"269")</f>
        <v>269</v>
      </c>
      <c r="F90" s="1">
        <v>-16.531836</v>
      </c>
      <c r="G90" s="1">
        <v>10.0</v>
      </c>
      <c r="H90" s="1">
        <v>2.0</v>
      </c>
      <c r="I90" s="1">
        <v>0.3</v>
      </c>
      <c r="J90" s="1">
        <v>2.0</v>
      </c>
      <c r="K90" s="1">
        <v>-0.888794</v>
      </c>
      <c r="L90" s="1">
        <v>100.0</v>
      </c>
      <c r="M90" s="1">
        <v>0.0</v>
      </c>
      <c r="N90" s="1">
        <v>0.0</v>
      </c>
      <c r="O90" s="1">
        <v>96.87937</v>
      </c>
    </row>
    <row r="91">
      <c r="A91" s="1" t="s">
        <v>534</v>
      </c>
      <c r="B91" s="1" t="s">
        <v>535</v>
      </c>
      <c r="C91" s="3"/>
      <c r="D91" s="3"/>
      <c r="E91" s="1" t="str">
        <f>IFERROR(__xludf.DUMMYFUNCTION("IFERROR(REGEXEXTRACT(A91, ""res(269|122)""), ""none"")"),"269")</f>
        <v>269</v>
      </c>
      <c r="F91" s="1">
        <v>-17.325922</v>
      </c>
      <c r="G91" s="1">
        <v>8.0</v>
      </c>
      <c r="H91" s="1">
        <v>2.0</v>
      </c>
      <c r="I91" s="1">
        <v>0.25</v>
      </c>
      <c r="J91" s="1">
        <v>2.0</v>
      </c>
      <c r="K91" s="1">
        <v>-0.547214</v>
      </c>
      <c r="L91" s="1">
        <v>100.0</v>
      </c>
      <c r="M91" s="1">
        <v>0.0</v>
      </c>
      <c r="N91" s="1">
        <v>0.0</v>
      </c>
      <c r="O91" s="1">
        <v>94.376864</v>
      </c>
    </row>
    <row r="92">
      <c r="A92" s="1" t="s">
        <v>536</v>
      </c>
      <c r="B92" s="1" t="s">
        <v>537</v>
      </c>
      <c r="C92" s="3"/>
      <c r="D92" s="3"/>
      <c r="E92" s="1" t="str">
        <f>IFERROR(__xludf.DUMMYFUNCTION("IFERROR(REGEXEXTRACT(A92, ""res(269|122)""), ""none"")"),"269")</f>
        <v>269</v>
      </c>
      <c r="F92" s="1">
        <v>-15.253563</v>
      </c>
      <c r="G92" s="1">
        <v>8.0</v>
      </c>
      <c r="H92" s="1">
        <v>2.0</v>
      </c>
      <c r="I92" s="1">
        <v>0.375</v>
      </c>
      <c r="J92" s="1">
        <v>2.0</v>
      </c>
      <c r="K92" s="1">
        <v>-0.551176999999999</v>
      </c>
      <c r="L92" s="1">
        <v>100.0</v>
      </c>
      <c r="M92" s="1">
        <v>0.0</v>
      </c>
      <c r="N92" s="1">
        <v>0.0</v>
      </c>
      <c r="O92" s="1">
        <v>96.57026</v>
      </c>
    </row>
    <row r="93">
      <c r="A93" s="1" t="s">
        <v>317</v>
      </c>
      <c r="B93" s="1" t="s">
        <v>318</v>
      </c>
      <c r="C93" s="3"/>
      <c r="D93" s="3"/>
      <c r="E93" s="1" t="str">
        <f>IFERROR(__xludf.DUMMYFUNCTION("IFERROR(REGEXEXTRACT(A93, ""res(269|122)""), ""none"")"),"269")</f>
        <v>269</v>
      </c>
      <c r="F93" s="1">
        <v>-15.695983</v>
      </c>
      <c r="G93" s="1">
        <v>8.0</v>
      </c>
      <c r="H93" s="1">
        <v>3.0</v>
      </c>
      <c r="I93" s="1">
        <v>0.375</v>
      </c>
      <c r="J93" s="1">
        <v>2.0</v>
      </c>
      <c r="K93" s="1">
        <v>-0.764023</v>
      </c>
      <c r="L93" s="1">
        <v>100.0</v>
      </c>
      <c r="M93" s="1">
        <v>0.0</v>
      </c>
      <c r="N93" s="1">
        <v>0.0</v>
      </c>
      <c r="O93" s="1">
        <v>96.914994</v>
      </c>
    </row>
    <row r="94">
      <c r="A94" s="1" t="s">
        <v>538</v>
      </c>
      <c r="B94" s="1" t="s">
        <v>539</v>
      </c>
      <c r="C94" s="3"/>
      <c r="D94" s="3"/>
      <c r="E94" s="1" t="str">
        <f>IFERROR(__xludf.DUMMYFUNCTION("IFERROR(REGEXEXTRACT(A94, ""res(269|122)""), ""none"")"),"269")</f>
        <v>269</v>
      </c>
      <c r="F94" s="1">
        <v>-15.251704</v>
      </c>
      <c r="G94" s="1">
        <v>7.0</v>
      </c>
      <c r="H94" s="1">
        <v>4.0</v>
      </c>
      <c r="I94" s="1">
        <v>0.428571</v>
      </c>
      <c r="J94" s="1">
        <v>2.0</v>
      </c>
      <c r="K94" s="1">
        <v>-1.266081</v>
      </c>
      <c r="L94" s="1">
        <v>100.0</v>
      </c>
      <c r="M94" s="1">
        <v>0.0</v>
      </c>
      <c r="N94" s="1">
        <v>0.0</v>
      </c>
      <c r="O94" s="1">
        <v>96.910786</v>
      </c>
    </row>
    <row r="95">
      <c r="A95" s="1" t="s">
        <v>319</v>
      </c>
      <c r="B95" s="1" t="s">
        <v>150</v>
      </c>
      <c r="C95" s="3"/>
      <c r="D95" s="3"/>
      <c r="E95" s="1" t="str">
        <f>IFERROR(__xludf.DUMMYFUNCTION("IFERROR(REGEXEXTRACT(A95, ""res(269|122)""), ""none"")"),"269")</f>
        <v>269</v>
      </c>
      <c r="F95" s="1">
        <v>-16.574584</v>
      </c>
      <c r="G95" s="1">
        <v>6.0</v>
      </c>
      <c r="H95" s="1">
        <v>1.0</v>
      </c>
      <c r="I95" s="1">
        <v>0.333333</v>
      </c>
      <c r="J95" s="1">
        <v>2.0</v>
      </c>
      <c r="K95" s="1">
        <v>-0.53138</v>
      </c>
      <c r="L95" s="1">
        <v>100.0</v>
      </c>
      <c r="M95" s="1">
        <v>0.0</v>
      </c>
      <c r="N95" s="1">
        <v>0.0</v>
      </c>
      <c r="O95" s="1">
        <v>92.227369</v>
      </c>
    </row>
    <row r="96">
      <c r="A96" s="1" t="s">
        <v>540</v>
      </c>
      <c r="B96" s="1" t="s">
        <v>541</v>
      </c>
      <c r="C96" s="3"/>
      <c r="D96" s="3"/>
      <c r="E96" s="1" t="str">
        <f>IFERROR(__xludf.DUMMYFUNCTION("IFERROR(REGEXEXTRACT(A96, ""res(269|122)""), ""none"")"),"269")</f>
        <v>269</v>
      </c>
      <c r="F96" s="1">
        <v>-15.023619</v>
      </c>
      <c r="G96" s="1">
        <v>9.0</v>
      </c>
      <c r="H96" s="1">
        <v>5.0</v>
      </c>
      <c r="I96" s="1">
        <v>0.333333</v>
      </c>
      <c r="J96" s="1">
        <v>2.0</v>
      </c>
      <c r="K96" s="1">
        <v>-0.778283</v>
      </c>
      <c r="L96" s="1">
        <v>100.0</v>
      </c>
      <c r="M96" s="1">
        <v>0.0</v>
      </c>
      <c r="N96" s="1">
        <v>0.0</v>
      </c>
      <c r="O96" s="1">
        <v>100.531431</v>
      </c>
    </row>
    <row r="97">
      <c r="A97" s="1" t="s">
        <v>542</v>
      </c>
      <c r="B97" s="1" t="s">
        <v>543</v>
      </c>
      <c r="C97" s="3"/>
      <c r="D97" s="3"/>
      <c r="E97" s="1" t="str">
        <f>IFERROR(__xludf.DUMMYFUNCTION("IFERROR(REGEXEXTRACT(A97, ""res(269|122)""), ""none"")"),"269")</f>
        <v>269</v>
      </c>
      <c r="F97" s="1">
        <v>-16.079465</v>
      </c>
      <c r="G97" s="1">
        <v>9.0</v>
      </c>
      <c r="H97" s="1">
        <v>2.0</v>
      </c>
      <c r="I97" s="1">
        <v>0.444444</v>
      </c>
      <c r="J97" s="1">
        <v>2.0</v>
      </c>
      <c r="K97" s="1">
        <v>-0.993186</v>
      </c>
      <c r="L97" s="1">
        <v>100.0</v>
      </c>
      <c r="M97" s="1">
        <v>0.0</v>
      </c>
      <c r="N97" s="1">
        <v>0.0</v>
      </c>
      <c r="O97" s="1">
        <v>96.371793</v>
      </c>
    </row>
    <row r="98">
      <c r="A98" s="1" t="s">
        <v>544</v>
      </c>
      <c r="B98" s="1" t="s">
        <v>545</v>
      </c>
      <c r="C98" s="3"/>
      <c r="D98" s="3"/>
      <c r="E98" s="1" t="str">
        <f>IFERROR(__xludf.DUMMYFUNCTION("IFERROR(REGEXEXTRACT(A98, ""res(269|122)""), ""none"")"),"269")</f>
        <v>269</v>
      </c>
      <c r="F98" s="1">
        <v>-16.487107</v>
      </c>
      <c r="G98" s="1">
        <v>8.0</v>
      </c>
      <c r="H98" s="1">
        <v>5.0</v>
      </c>
      <c r="I98" s="1">
        <v>0.25</v>
      </c>
      <c r="J98" s="1">
        <v>2.0</v>
      </c>
      <c r="K98" s="1">
        <v>-0.272644</v>
      </c>
      <c r="L98" s="1">
        <v>100.0</v>
      </c>
      <c r="M98" s="1">
        <v>0.0</v>
      </c>
      <c r="N98" s="1">
        <v>0.0</v>
      </c>
      <c r="O98" s="1">
        <v>98.490249</v>
      </c>
    </row>
    <row r="99">
      <c r="A99" s="1" t="s">
        <v>320</v>
      </c>
      <c r="B99" s="1" t="s">
        <v>153</v>
      </c>
      <c r="C99" s="3"/>
      <c r="D99" s="3"/>
      <c r="E99" s="1" t="str">
        <f>IFERROR(__xludf.DUMMYFUNCTION("IFERROR(REGEXEXTRACT(A99, ""res(269|122)""), ""none"")"),"269")</f>
        <v>269</v>
      </c>
      <c r="F99" s="1">
        <v>-16.381515</v>
      </c>
      <c r="G99" s="1">
        <v>6.0</v>
      </c>
      <c r="H99" s="1">
        <v>3.0</v>
      </c>
      <c r="I99" s="1">
        <v>0.5</v>
      </c>
      <c r="J99" s="1">
        <v>2.0</v>
      </c>
      <c r="K99" s="1">
        <v>-0.391175999999999</v>
      </c>
      <c r="L99" s="1">
        <v>100.0</v>
      </c>
      <c r="M99" s="1">
        <v>0.0</v>
      </c>
      <c r="N99" s="1">
        <v>0.0</v>
      </c>
      <c r="O99" s="1">
        <v>94.727309</v>
      </c>
    </row>
    <row r="100">
      <c r="A100" s="1" t="s">
        <v>321</v>
      </c>
      <c r="B100" s="1" t="s">
        <v>322</v>
      </c>
      <c r="C100" s="3"/>
      <c r="D100" s="3"/>
      <c r="E100" s="1" t="str">
        <f>IFERROR(__xludf.DUMMYFUNCTION("IFERROR(REGEXEXTRACT(A100, ""res(269|122)""), ""none"")"),"269")</f>
        <v>269</v>
      </c>
      <c r="F100" s="1">
        <v>-16.381515</v>
      </c>
      <c r="G100" s="1">
        <v>6.0</v>
      </c>
      <c r="H100" s="1">
        <v>3.0</v>
      </c>
      <c r="I100" s="1">
        <v>0.5</v>
      </c>
      <c r="J100" s="1">
        <v>2.0</v>
      </c>
      <c r="K100" s="1">
        <v>-0.391175999999999</v>
      </c>
      <c r="L100" s="1">
        <v>100.0</v>
      </c>
      <c r="M100" s="1">
        <v>0.0</v>
      </c>
      <c r="N100" s="1">
        <v>0.0</v>
      </c>
      <c r="O100" s="1">
        <v>94.727309</v>
      </c>
    </row>
    <row r="101">
      <c r="A101" s="1" t="s">
        <v>323</v>
      </c>
      <c r="B101" s="1" t="s">
        <v>324</v>
      </c>
      <c r="C101" s="3"/>
      <c r="D101" s="3"/>
      <c r="E101" s="1" t="str">
        <f>IFERROR(__xludf.DUMMYFUNCTION("IFERROR(REGEXEXTRACT(A101, ""res(269|122)""), ""none"")"),"269")</f>
        <v>269</v>
      </c>
      <c r="F101" s="1">
        <v>-16.381515</v>
      </c>
      <c r="G101" s="1">
        <v>6.0</v>
      </c>
      <c r="H101" s="1">
        <v>3.0</v>
      </c>
      <c r="I101" s="1">
        <v>0.5</v>
      </c>
      <c r="J101" s="1">
        <v>2.0</v>
      </c>
      <c r="K101" s="1">
        <v>-0.391175999999999</v>
      </c>
      <c r="L101" s="1">
        <v>100.0</v>
      </c>
      <c r="M101" s="1">
        <v>0.0</v>
      </c>
      <c r="N101" s="1">
        <v>0.0</v>
      </c>
      <c r="O101" s="1">
        <v>94.727309</v>
      </c>
    </row>
    <row r="102">
      <c r="A102" s="1" t="s">
        <v>325</v>
      </c>
      <c r="B102" s="1" t="s">
        <v>326</v>
      </c>
      <c r="C102" s="3"/>
      <c r="D102" s="3"/>
      <c r="E102" s="1" t="str">
        <f>IFERROR(__xludf.DUMMYFUNCTION("IFERROR(REGEXEXTRACT(A102, ""res(269|122)""), ""none"")"),"269")</f>
        <v>269</v>
      </c>
      <c r="F102" s="1">
        <v>-16.758312</v>
      </c>
      <c r="G102" s="1">
        <v>7.0</v>
      </c>
      <c r="H102" s="1">
        <v>4.0</v>
      </c>
      <c r="I102" s="1">
        <v>0.428571</v>
      </c>
      <c r="J102" s="1">
        <v>2.0</v>
      </c>
      <c r="K102" s="1">
        <v>-1.542056</v>
      </c>
      <c r="L102" s="1">
        <v>100.0</v>
      </c>
      <c r="M102" s="1">
        <v>0.0</v>
      </c>
      <c r="N102" s="1">
        <v>0.0</v>
      </c>
      <c r="O102" s="1">
        <v>95.128203</v>
      </c>
    </row>
    <row r="103">
      <c r="A103" s="1" t="s">
        <v>546</v>
      </c>
      <c r="B103" s="1" t="s">
        <v>547</v>
      </c>
      <c r="C103" s="3"/>
      <c r="D103" s="3"/>
      <c r="E103" s="1" t="str">
        <f>IFERROR(__xludf.DUMMYFUNCTION("IFERROR(REGEXEXTRACT(A103, ""res(269|122)""), ""none"")"),"269")</f>
        <v>269</v>
      </c>
      <c r="F103" s="1">
        <v>-16.555124</v>
      </c>
      <c r="G103" s="1">
        <v>8.0</v>
      </c>
      <c r="H103" s="1">
        <v>5.0</v>
      </c>
      <c r="I103" s="1">
        <v>0.25</v>
      </c>
      <c r="J103" s="1">
        <v>2.0</v>
      </c>
      <c r="K103" s="1">
        <v>-0.655343</v>
      </c>
      <c r="L103" s="1">
        <v>100.0</v>
      </c>
      <c r="M103" s="1">
        <v>0.0</v>
      </c>
      <c r="N103" s="1">
        <v>0.0</v>
      </c>
      <c r="O103" s="1">
        <v>98.039533</v>
      </c>
    </row>
    <row r="104">
      <c r="A104" s="1" t="s">
        <v>548</v>
      </c>
      <c r="B104" s="1" t="s">
        <v>549</v>
      </c>
      <c r="C104" s="3"/>
      <c r="D104" s="3"/>
      <c r="E104" s="1" t="str">
        <f>IFERROR(__xludf.DUMMYFUNCTION("IFERROR(REGEXEXTRACT(A104, ""res(269|122)""), ""none"")"),"269")</f>
        <v>269</v>
      </c>
      <c r="F104" s="1">
        <v>-16.280026</v>
      </c>
      <c r="G104" s="1">
        <v>10.0</v>
      </c>
      <c r="H104" s="1">
        <v>5.0</v>
      </c>
      <c r="I104" s="1">
        <v>0.4</v>
      </c>
      <c r="J104" s="1">
        <v>2.0</v>
      </c>
      <c r="K104" s="1">
        <v>-0.787125</v>
      </c>
      <c r="L104" s="1">
        <v>100.0</v>
      </c>
      <c r="M104" s="1">
        <v>0.0</v>
      </c>
      <c r="N104" s="1">
        <v>0.0</v>
      </c>
      <c r="O104" s="1">
        <v>100.332849</v>
      </c>
    </row>
    <row r="105">
      <c r="A105" s="1" t="s">
        <v>550</v>
      </c>
      <c r="B105" s="1" t="s">
        <v>551</v>
      </c>
      <c r="C105" s="3"/>
      <c r="D105" s="3"/>
      <c r="E105" s="1" t="str">
        <f>IFERROR(__xludf.DUMMYFUNCTION("IFERROR(REGEXEXTRACT(A105, ""res(269|122)""), ""none"")"),"269")</f>
        <v>269</v>
      </c>
      <c r="F105" s="1">
        <v>-15.097785</v>
      </c>
      <c r="G105" s="1">
        <v>7.0</v>
      </c>
      <c r="H105" s="1">
        <v>2.0</v>
      </c>
      <c r="I105" s="1">
        <v>0.285714</v>
      </c>
      <c r="J105" s="1">
        <v>2.0</v>
      </c>
      <c r="K105" s="1">
        <v>-0.30494</v>
      </c>
      <c r="L105" s="1">
        <v>100.0</v>
      </c>
      <c r="M105" s="1">
        <v>0.0</v>
      </c>
      <c r="N105" s="1">
        <v>0.0</v>
      </c>
      <c r="O105" s="1">
        <v>95.882989</v>
      </c>
    </row>
    <row r="106">
      <c r="A106" s="1" t="s">
        <v>327</v>
      </c>
      <c r="B106" s="1" t="s">
        <v>156</v>
      </c>
      <c r="C106" s="3"/>
      <c r="D106" s="3"/>
      <c r="E106" s="1" t="str">
        <f>IFERROR(__xludf.DUMMYFUNCTION("IFERROR(REGEXEXTRACT(A106, ""res(269|122)""), ""none"")"),"269")</f>
        <v>269</v>
      </c>
      <c r="F106" s="1">
        <v>-16.196607</v>
      </c>
      <c r="G106" s="1">
        <v>8.0</v>
      </c>
      <c r="H106" s="1">
        <v>5.0</v>
      </c>
      <c r="I106" s="1">
        <v>0.625</v>
      </c>
      <c r="J106" s="1">
        <v>3.0</v>
      </c>
      <c r="K106" s="1">
        <v>-1.08205699999999</v>
      </c>
      <c r="L106" s="1">
        <v>100.0</v>
      </c>
      <c r="M106" s="1">
        <v>0.0</v>
      </c>
      <c r="N106" s="1">
        <v>0.0</v>
      </c>
      <c r="O106" s="1">
        <v>99.346336</v>
      </c>
    </row>
    <row r="107">
      <c r="A107" s="1" t="s">
        <v>328</v>
      </c>
      <c r="B107" s="1" t="s">
        <v>329</v>
      </c>
      <c r="C107" s="3"/>
      <c r="D107" s="3"/>
      <c r="E107" s="1" t="str">
        <f>IFERROR(__xludf.DUMMYFUNCTION("IFERROR(REGEXEXTRACT(A107, ""res(269|122)""), ""none"")"),"269")</f>
        <v>269</v>
      </c>
      <c r="F107" s="1">
        <v>-15.182474</v>
      </c>
      <c r="G107" s="1">
        <v>7.0</v>
      </c>
      <c r="H107" s="1">
        <v>2.0</v>
      </c>
      <c r="I107" s="1">
        <v>0.285714</v>
      </c>
      <c r="J107" s="1">
        <v>2.0</v>
      </c>
      <c r="K107" s="1">
        <v>-0.62157</v>
      </c>
      <c r="L107" s="1">
        <v>100.0</v>
      </c>
      <c r="M107" s="1">
        <v>0.0</v>
      </c>
      <c r="N107" s="1">
        <v>0.0</v>
      </c>
      <c r="O107" s="1">
        <v>95.48167</v>
      </c>
    </row>
    <row r="108">
      <c r="A108" s="1" t="s">
        <v>330</v>
      </c>
      <c r="B108" s="1" t="s">
        <v>159</v>
      </c>
      <c r="C108" s="3"/>
      <c r="D108" s="3"/>
      <c r="E108" s="1" t="str">
        <f>IFERROR(__xludf.DUMMYFUNCTION("IFERROR(REGEXEXTRACT(A108, ""res(269|122)""), ""none"")"),"269")</f>
        <v>269</v>
      </c>
      <c r="F108" s="1">
        <v>-17.250811</v>
      </c>
      <c r="G108" s="1">
        <v>11.0</v>
      </c>
      <c r="H108" s="1">
        <v>5.0</v>
      </c>
      <c r="I108" s="1">
        <v>0.272727</v>
      </c>
      <c r="J108" s="1">
        <v>2.0</v>
      </c>
      <c r="K108" s="1">
        <v>-0.713731</v>
      </c>
      <c r="L108" s="1">
        <v>100.0</v>
      </c>
      <c r="M108" s="1">
        <v>0.0</v>
      </c>
      <c r="N108" s="1">
        <v>0.0</v>
      </c>
      <c r="O108" s="1">
        <v>100.308185</v>
      </c>
    </row>
    <row r="109">
      <c r="A109" s="1" t="s">
        <v>552</v>
      </c>
      <c r="B109" s="1" t="s">
        <v>553</v>
      </c>
      <c r="C109" s="3"/>
      <c r="D109" s="3"/>
      <c r="E109" s="1" t="str">
        <f>IFERROR(__xludf.DUMMYFUNCTION("IFERROR(REGEXEXTRACT(A109, ""res(269|122)""), ""none"")"),"269")</f>
        <v>269</v>
      </c>
      <c r="F109" s="1">
        <v>-15.356335</v>
      </c>
      <c r="G109" s="1">
        <v>8.0</v>
      </c>
      <c r="H109" s="1">
        <v>5.0</v>
      </c>
      <c r="I109" s="1">
        <v>0.25</v>
      </c>
      <c r="J109" s="1">
        <v>2.0</v>
      </c>
      <c r="K109" s="1">
        <v>-1.57059099999999</v>
      </c>
      <c r="L109" s="1">
        <v>100.0</v>
      </c>
      <c r="M109" s="1">
        <v>0.0</v>
      </c>
      <c r="N109" s="1">
        <v>0.0</v>
      </c>
      <c r="O109" s="1">
        <v>98.323074</v>
      </c>
    </row>
    <row r="110">
      <c r="A110" s="1" t="s">
        <v>554</v>
      </c>
      <c r="B110" s="1" t="s">
        <v>555</v>
      </c>
      <c r="C110" s="3"/>
      <c r="D110" s="3"/>
      <c r="E110" s="1" t="str">
        <f>IFERROR(__xludf.DUMMYFUNCTION("IFERROR(REGEXEXTRACT(A110, ""res(269|122)""), ""none"")"),"269")</f>
        <v>269</v>
      </c>
      <c r="F110" s="1">
        <v>-15.652692</v>
      </c>
      <c r="G110" s="1">
        <v>9.0</v>
      </c>
      <c r="H110" s="1">
        <v>5.0</v>
      </c>
      <c r="I110" s="1">
        <v>0.333333</v>
      </c>
      <c r="J110" s="1">
        <v>2.0</v>
      </c>
      <c r="K110" s="1">
        <v>-1.198917</v>
      </c>
      <c r="L110" s="1">
        <v>100.0</v>
      </c>
      <c r="M110" s="1">
        <v>0.0</v>
      </c>
      <c r="N110" s="1">
        <v>0.0</v>
      </c>
      <c r="O110" s="1">
        <v>99.481724</v>
      </c>
    </row>
    <row r="111">
      <c r="A111" s="1" t="s">
        <v>331</v>
      </c>
      <c r="B111" s="1" t="s">
        <v>332</v>
      </c>
      <c r="C111" s="3"/>
      <c r="D111" s="3"/>
      <c r="E111" s="1" t="str">
        <f>IFERROR(__xludf.DUMMYFUNCTION("IFERROR(REGEXEXTRACT(A111, ""res(269|122)""), ""none"")"),"269")</f>
        <v>269</v>
      </c>
      <c r="F111" s="1">
        <v>-15.813539</v>
      </c>
      <c r="G111" s="1">
        <v>8.0</v>
      </c>
      <c r="H111" s="1">
        <v>4.0</v>
      </c>
      <c r="I111" s="1">
        <v>0.375</v>
      </c>
      <c r="J111" s="1">
        <v>2.0</v>
      </c>
      <c r="K111" s="1">
        <v>-0.75356</v>
      </c>
      <c r="L111" s="1">
        <v>100.0</v>
      </c>
      <c r="M111" s="1">
        <v>0.0</v>
      </c>
      <c r="N111" s="1">
        <v>0.0</v>
      </c>
      <c r="O111" s="1">
        <v>97.807901</v>
      </c>
    </row>
    <row r="112">
      <c r="A112" s="1" t="s">
        <v>556</v>
      </c>
      <c r="B112" s="1" t="s">
        <v>557</v>
      </c>
      <c r="C112" s="3"/>
      <c r="D112" s="3"/>
      <c r="E112" s="1" t="str">
        <f>IFERROR(__xludf.DUMMYFUNCTION("IFERROR(REGEXEXTRACT(A112, ""res(269|122)""), ""none"")"),"269")</f>
        <v>269</v>
      </c>
      <c r="F112" s="1">
        <v>-16.773883</v>
      </c>
      <c r="G112" s="1">
        <v>8.0</v>
      </c>
      <c r="H112" s="1">
        <v>2.0</v>
      </c>
      <c r="I112" s="1">
        <v>0.25</v>
      </c>
      <c r="J112" s="1">
        <v>2.0</v>
      </c>
      <c r="K112" s="1">
        <v>-0.683917</v>
      </c>
      <c r="L112" s="1">
        <v>100.0</v>
      </c>
      <c r="M112" s="1">
        <v>0.0</v>
      </c>
      <c r="N112" s="1">
        <v>0.0</v>
      </c>
      <c r="O112" s="1">
        <v>94.7922</v>
      </c>
    </row>
    <row r="113">
      <c r="A113" s="1" t="s">
        <v>333</v>
      </c>
      <c r="B113" s="1" t="s">
        <v>162</v>
      </c>
      <c r="C113" s="3"/>
      <c r="D113" s="3"/>
      <c r="E113" s="1" t="str">
        <f>IFERROR(__xludf.DUMMYFUNCTION("IFERROR(REGEXEXTRACT(A113, ""res(269|122)""), ""none"")"),"269")</f>
        <v>269</v>
      </c>
      <c r="F113" s="1">
        <v>-17.483332</v>
      </c>
      <c r="G113" s="1">
        <v>7.0</v>
      </c>
      <c r="H113" s="1">
        <v>2.0</v>
      </c>
      <c r="I113" s="1">
        <v>0.428571</v>
      </c>
      <c r="J113" s="1">
        <v>2.0</v>
      </c>
      <c r="K113" s="1">
        <v>-0.934603</v>
      </c>
      <c r="L113" s="1">
        <v>100.0</v>
      </c>
      <c r="M113" s="1">
        <v>0.0</v>
      </c>
      <c r="N113" s="1">
        <v>0.0</v>
      </c>
      <c r="O113" s="1">
        <v>93.010636</v>
      </c>
    </row>
    <row r="114">
      <c r="A114" s="1" t="s">
        <v>558</v>
      </c>
      <c r="B114" s="1" t="s">
        <v>559</v>
      </c>
      <c r="C114" s="3"/>
      <c r="D114" s="3"/>
      <c r="E114" s="1" t="str">
        <f>IFERROR(__xludf.DUMMYFUNCTION("IFERROR(REGEXEXTRACT(A114, ""res(269|122)""), ""none"")"),"269")</f>
        <v>269</v>
      </c>
      <c r="F114" s="1">
        <v>-17.8777</v>
      </c>
      <c r="G114" s="1">
        <v>12.0</v>
      </c>
      <c r="H114" s="1">
        <v>3.0</v>
      </c>
      <c r="I114" s="1">
        <v>0.25</v>
      </c>
      <c r="J114" s="1">
        <v>2.0</v>
      </c>
      <c r="K114" s="1">
        <v>-0.895779</v>
      </c>
      <c r="L114" s="1">
        <v>100.0</v>
      </c>
      <c r="M114" s="1">
        <v>0.0</v>
      </c>
      <c r="N114" s="1">
        <v>0.0</v>
      </c>
      <c r="O114" s="1">
        <v>98.476521</v>
      </c>
    </row>
    <row r="115">
      <c r="A115" s="1" t="s">
        <v>560</v>
      </c>
      <c r="B115" s="1" t="s">
        <v>561</v>
      </c>
      <c r="C115" s="3"/>
      <c r="D115" s="3"/>
      <c r="E115" s="1" t="str">
        <f>IFERROR(__xludf.DUMMYFUNCTION("IFERROR(REGEXEXTRACT(A115, ""res(269|122)""), ""none"")"),"269")</f>
        <v>269</v>
      </c>
      <c r="F115" s="1">
        <v>-16.65494</v>
      </c>
      <c r="G115" s="1">
        <v>8.0</v>
      </c>
      <c r="H115" s="1">
        <v>2.0</v>
      </c>
      <c r="I115" s="1">
        <v>0.25</v>
      </c>
      <c r="J115" s="1">
        <v>2.0</v>
      </c>
      <c r="K115" s="1">
        <v>-0.791185</v>
      </c>
      <c r="L115" s="1">
        <v>100.0</v>
      </c>
      <c r="M115" s="1">
        <v>0.0</v>
      </c>
      <c r="N115" s="1">
        <v>0.0</v>
      </c>
      <c r="O115" s="1">
        <v>94.803875</v>
      </c>
    </row>
    <row r="116">
      <c r="A116" s="1" t="s">
        <v>562</v>
      </c>
      <c r="B116" s="1" t="s">
        <v>563</v>
      </c>
      <c r="C116" s="3"/>
      <c r="D116" s="3"/>
      <c r="E116" s="1" t="str">
        <f>IFERROR(__xludf.DUMMYFUNCTION("IFERROR(REGEXEXTRACT(A116, ""res(269|122)""), ""none"")"),"269")</f>
        <v>269</v>
      </c>
      <c r="F116" s="1">
        <v>-15.287436</v>
      </c>
      <c r="G116" s="1">
        <v>7.0</v>
      </c>
      <c r="H116" s="1">
        <v>3.0</v>
      </c>
      <c r="I116" s="1">
        <v>0.285714</v>
      </c>
      <c r="J116" s="1">
        <v>2.0</v>
      </c>
      <c r="K116" s="1">
        <v>-0.768648</v>
      </c>
      <c r="L116" s="1">
        <v>100.0</v>
      </c>
      <c r="M116" s="1">
        <v>0.0</v>
      </c>
      <c r="N116" s="1">
        <v>0.0</v>
      </c>
      <c r="O116" s="1">
        <v>96.22963</v>
      </c>
    </row>
    <row r="117">
      <c r="A117" s="1" t="s">
        <v>564</v>
      </c>
      <c r="B117" s="1" t="s">
        <v>565</v>
      </c>
      <c r="C117" s="3"/>
      <c r="D117" s="3"/>
      <c r="E117" s="1" t="str">
        <f>IFERROR(__xludf.DUMMYFUNCTION("IFERROR(REGEXEXTRACT(A117, ""res(269|122)""), ""none"")"),"269")</f>
        <v>269</v>
      </c>
      <c r="F117" s="1">
        <v>-15.042413</v>
      </c>
      <c r="G117" s="1">
        <v>9.0</v>
      </c>
      <c r="H117" s="1">
        <v>3.0</v>
      </c>
      <c r="I117" s="1">
        <v>0.333333</v>
      </c>
      <c r="J117" s="1">
        <v>2.0</v>
      </c>
      <c r="K117" s="1">
        <v>-0.962515</v>
      </c>
      <c r="L117" s="1">
        <v>100.0</v>
      </c>
      <c r="M117" s="1">
        <v>0.0</v>
      </c>
      <c r="N117" s="1">
        <v>0.0</v>
      </c>
      <c r="O117" s="1">
        <v>98.328405</v>
      </c>
    </row>
    <row r="118">
      <c r="A118" s="1" t="s">
        <v>334</v>
      </c>
      <c r="B118" s="1" t="s">
        <v>335</v>
      </c>
      <c r="C118" s="3"/>
      <c r="D118" s="3"/>
      <c r="E118" s="1" t="str">
        <f>IFERROR(__xludf.DUMMYFUNCTION("IFERROR(REGEXEXTRACT(A118, ""res(269|122)""), ""none"")"),"269")</f>
        <v>269</v>
      </c>
      <c r="F118" s="1">
        <v>-15.044133</v>
      </c>
      <c r="G118" s="1">
        <v>7.0</v>
      </c>
      <c r="H118" s="1">
        <v>3.0</v>
      </c>
      <c r="I118" s="1">
        <v>0.285714</v>
      </c>
      <c r="J118" s="1">
        <v>2.0</v>
      </c>
      <c r="K118" s="1">
        <v>-0.869404</v>
      </c>
      <c r="L118" s="1">
        <v>100.0</v>
      </c>
      <c r="M118" s="1">
        <v>0.0</v>
      </c>
      <c r="N118" s="1">
        <v>0.0</v>
      </c>
      <c r="O118" s="1">
        <v>96.372177</v>
      </c>
    </row>
    <row r="119">
      <c r="A119" s="1" t="s">
        <v>336</v>
      </c>
      <c r="B119" s="1" t="s">
        <v>337</v>
      </c>
      <c r="C119" s="3"/>
      <c r="D119" s="3"/>
      <c r="E119" s="1" t="str">
        <f>IFERROR(__xludf.DUMMYFUNCTION("IFERROR(REGEXEXTRACT(A119, ""res(269|122)""), ""none"")"),"269")</f>
        <v>269</v>
      </c>
      <c r="F119" s="1">
        <v>-16.338997</v>
      </c>
      <c r="G119" s="1">
        <v>6.0</v>
      </c>
      <c r="H119" s="1">
        <v>1.0</v>
      </c>
      <c r="I119" s="1">
        <v>0.333333</v>
      </c>
      <c r="J119" s="1">
        <v>2.0</v>
      </c>
      <c r="K119" s="1">
        <v>-1.569369</v>
      </c>
      <c r="L119" s="1">
        <v>100.0</v>
      </c>
      <c r="M119" s="1">
        <v>0.0</v>
      </c>
      <c r="N119" s="1">
        <v>0.0</v>
      </c>
      <c r="O119" s="1">
        <v>91.424967</v>
      </c>
    </row>
    <row r="120">
      <c r="A120" s="1" t="s">
        <v>566</v>
      </c>
      <c r="B120" s="1" t="s">
        <v>567</v>
      </c>
      <c r="C120" s="3"/>
      <c r="D120" s="3"/>
      <c r="E120" s="1" t="str">
        <f>IFERROR(__xludf.DUMMYFUNCTION("IFERROR(REGEXEXTRACT(A120, ""res(269|122)""), ""none"")"),"269")</f>
        <v>269</v>
      </c>
      <c r="F120" s="1">
        <v>-16.135472</v>
      </c>
      <c r="G120" s="1">
        <v>8.0</v>
      </c>
      <c r="H120" s="1">
        <v>2.0</v>
      </c>
      <c r="I120" s="1">
        <v>0.25</v>
      </c>
      <c r="J120" s="1">
        <v>2.0</v>
      </c>
      <c r="K120" s="1">
        <v>-1.048501</v>
      </c>
      <c r="L120" s="1">
        <v>100.0</v>
      </c>
      <c r="M120" s="1">
        <v>0.0</v>
      </c>
      <c r="N120" s="1">
        <v>0.0</v>
      </c>
      <c r="O120" s="1">
        <v>95.066027</v>
      </c>
    </row>
    <row r="121">
      <c r="A121" s="1" t="s">
        <v>338</v>
      </c>
      <c r="B121" s="1" t="s">
        <v>339</v>
      </c>
      <c r="C121" s="3"/>
      <c r="D121" s="3"/>
      <c r="E121" s="1" t="str">
        <f>IFERROR(__xludf.DUMMYFUNCTION("IFERROR(REGEXEXTRACT(A121, ""res(269|122)""), ""none"")"),"269")</f>
        <v>269</v>
      </c>
      <c r="F121" s="1">
        <v>-15.874894</v>
      </c>
      <c r="G121" s="1">
        <v>8.0</v>
      </c>
      <c r="H121" s="1">
        <v>2.0</v>
      </c>
      <c r="I121" s="1">
        <v>0.25</v>
      </c>
      <c r="J121" s="1">
        <v>2.0</v>
      </c>
      <c r="K121" s="1">
        <v>-1.527443</v>
      </c>
      <c r="L121" s="1">
        <v>100.0</v>
      </c>
      <c r="M121" s="1">
        <v>0.0</v>
      </c>
      <c r="N121" s="1">
        <v>0.0</v>
      </c>
      <c r="O121" s="1">
        <v>94.847663</v>
      </c>
    </row>
    <row r="122">
      <c r="A122" s="1" t="s">
        <v>568</v>
      </c>
      <c r="B122" s="1" t="s">
        <v>569</v>
      </c>
      <c r="C122" s="3"/>
      <c r="D122" s="3"/>
      <c r="E122" s="1" t="str">
        <f>IFERROR(__xludf.DUMMYFUNCTION("IFERROR(REGEXEXTRACT(A122, ""res(269|122)""), ""none"")"),"269")</f>
        <v>269</v>
      </c>
      <c r="F122" s="1">
        <v>-16.12762</v>
      </c>
      <c r="G122" s="1">
        <v>8.0</v>
      </c>
      <c r="H122" s="1">
        <v>3.0</v>
      </c>
      <c r="I122" s="1">
        <v>0.25</v>
      </c>
      <c r="J122" s="1">
        <v>2.0</v>
      </c>
      <c r="K122" s="1">
        <v>-0.539806</v>
      </c>
      <c r="L122" s="1">
        <v>100.0</v>
      </c>
      <c r="M122" s="1">
        <v>0.0</v>
      </c>
      <c r="N122" s="1">
        <v>0.0</v>
      </c>
      <c r="O122" s="1">
        <v>96.582574</v>
      </c>
    </row>
    <row r="123">
      <c r="A123" s="1" t="s">
        <v>570</v>
      </c>
      <c r="B123" s="1" t="s">
        <v>571</v>
      </c>
      <c r="C123" s="3"/>
      <c r="D123" s="3"/>
      <c r="E123" s="1" t="str">
        <f>IFERROR(__xludf.DUMMYFUNCTION("IFERROR(REGEXEXTRACT(A123, ""res(269|122)""), ""none"")"),"269")</f>
        <v>269</v>
      </c>
      <c r="F123" s="1">
        <v>-16.007709</v>
      </c>
      <c r="G123" s="1">
        <v>6.0</v>
      </c>
      <c r="H123" s="1">
        <v>1.0</v>
      </c>
      <c r="I123" s="1">
        <v>0.333333</v>
      </c>
      <c r="J123" s="1">
        <v>2.0</v>
      </c>
      <c r="K123" s="1">
        <v>-0.634004</v>
      </c>
      <c r="L123" s="1">
        <v>100.0</v>
      </c>
      <c r="M123" s="1">
        <v>0.0</v>
      </c>
      <c r="N123" s="1">
        <v>0.0</v>
      </c>
      <c r="O123" s="1">
        <v>92.69162</v>
      </c>
    </row>
    <row r="124">
      <c r="A124" s="1" t="s">
        <v>572</v>
      </c>
      <c r="B124" s="1" t="s">
        <v>573</v>
      </c>
      <c r="C124" s="3"/>
      <c r="D124" s="3"/>
      <c r="E124" s="1" t="str">
        <f>IFERROR(__xludf.DUMMYFUNCTION("IFERROR(REGEXEXTRACT(A124, ""res(269|122)""), ""none"")"),"269")</f>
        <v>269</v>
      </c>
      <c r="F124" s="1">
        <v>-15.183288</v>
      </c>
      <c r="G124" s="1">
        <v>6.0</v>
      </c>
      <c r="H124" s="1">
        <v>3.0</v>
      </c>
      <c r="I124" s="1">
        <v>0.666667</v>
      </c>
      <c r="J124" s="1">
        <v>2.0</v>
      </c>
      <c r="K124" s="1">
        <v>-0.991667</v>
      </c>
      <c r="L124" s="1">
        <v>100.0</v>
      </c>
      <c r="M124" s="1">
        <v>0.0</v>
      </c>
      <c r="N124" s="1">
        <v>0.0</v>
      </c>
      <c r="O124" s="1">
        <v>95.491712</v>
      </c>
    </row>
    <row r="125">
      <c r="A125" s="1" t="s">
        <v>340</v>
      </c>
      <c r="B125" s="1" t="s">
        <v>84</v>
      </c>
      <c r="C125" s="3"/>
      <c r="D125" s="3"/>
      <c r="E125" s="1" t="str">
        <f>IFERROR(__xludf.DUMMYFUNCTION("IFERROR(REGEXEXTRACT(A125, ""res(269|122)""), ""none"")"),"269")</f>
        <v>269</v>
      </c>
      <c r="F125" s="1">
        <v>-15.19198</v>
      </c>
      <c r="G125" s="1">
        <v>8.0</v>
      </c>
      <c r="H125" s="1">
        <v>3.0</v>
      </c>
      <c r="I125" s="1">
        <v>0.375</v>
      </c>
      <c r="J125" s="1">
        <v>2.0</v>
      </c>
      <c r="K125" s="1">
        <v>-1.182302</v>
      </c>
      <c r="L125" s="1">
        <v>100.0</v>
      </c>
      <c r="M125" s="1">
        <v>0.0</v>
      </c>
      <c r="N125" s="1">
        <v>0.0</v>
      </c>
      <c r="O125" s="1">
        <v>97.000718</v>
      </c>
    </row>
    <row r="126">
      <c r="A126" s="1" t="s">
        <v>341</v>
      </c>
      <c r="B126" s="1" t="s">
        <v>87</v>
      </c>
      <c r="C126" s="3"/>
      <c r="D126" s="3"/>
      <c r="E126" s="1" t="str">
        <f>IFERROR(__xludf.DUMMYFUNCTION("IFERROR(REGEXEXTRACT(A126, ""res(269|122)""), ""none"")"),"269")</f>
        <v>269</v>
      </c>
      <c r="F126" s="1">
        <v>-15.653385</v>
      </c>
      <c r="G126" s="1">
        <v>8.0</v>
      </c>
      <c r="H126" s="1">
        <v>3.0</v>
      </c>
      <c r="I126" s="1">
        <v>0.25</v>
      </c>
      <c r="J126" s="1">
        <v>2.0</v>
      </c>
      <c r="K126" s="1">
        <v>-0.166637</v>
      </c>
      <c r="L126" s="1">
        <v>100.0</v>
      </c>
      <c r="M126" s="1">
        <v>0.0</v>
      </c>
      <c r="N126" s="1">
        <v>0.0</v>
      </c>
      <c r="O126" s="1">
        <v>97.429978</v>
      </c>
    </row>
    <row r="127">
      <c r="A127" s="1" t="s">
        <v>342</v>
      </c>
      <c r="B127" s="1" t="s">
        <v>165</v>
      </c>
      <c r="C127" s="3"/>
      <c r="D127" s="3"/>
      <c r="E127" s="1" t="str">
        <f>IFERROR(__xludf.DUMMYFUNCTION("IFERROR(REGEXEXTRACT(A127, ""res(269|122)""), ""none"")"),"269")</f>
        <v>269</v>
      </c>
      <c r="F127" s="1">
        <v>-15.468589</v>
      </c>
      <c r="G127" s="1">
        <v>8.0</v>
      </c>
      <c r="H127" s="1">
        <v>3.0</v>
      </c>
      <c r="I127" s="1">
        <v>0.375</v>
      </c>
      <c r="J127" s="1">
        <v>2.0</v>
      </c>
      <c r="K127" s="1">
        <v>-0.987794</v>
      </c>
      <c r="L127" s="1">
        <v>100.0</v>
      </c>
      <c r="M127" s="1">
        <v>0.0</v>
      </c>
      <c r="N127" s="1">
        <v>0.0</v>
      </c>
      <c r="O127" s="1">
        <v>96.918617</v>
      </c>
    </row>
    <row r="128">
      <c r="A128" s="1" t="s">
        <v>343</v>
      </c>
      <c r="B128" s="1" t="s">
        <v>344</v>
      </c>
      <c r="C128" s="3"/>
      <c r="D128" s="3"/>
      <c r="E128" s="1" t="str">
        <f>IFERROR(__xludf.DUMMYFUNCTION("IFERROR(REGEXEXTRACT(A128, ""res(269|122)""), ""none"")"),"269")</f>
        <v>269</v>
      </c>
      <c r="F128" s="1">
        <v>-16.533467</v>
      </c>
      <c r="G128" s="1">
        <v>8.0</v>
      </c>
      <c r="H128" s="1">
        <v>5.0</v>
      </c>
      <c r="I128" s="1">
        <v>0.25</v>
      </c>
      <c r="J128" s="1">
        <v>2.0</v>
      </c>
      <c r="K128" s="1">
        <v>-1.486018</v>
      </c>
      <c r="L128" s="1">
        <v>100.0</v>
      </c>
      <c r="M128" s="1">
        <v>0.0</v>
      </c>
      <c r="N128" s="1">
        <v>0.0</v>
      </c>
      <c r="O128" s="1">
        <v>97.230515</v>
      </c>
    </row>
    <row r="129">
      <c r="A129" s="1" t="s">
        <v>574</v>
      </c>
      <c r="B129" s="1" t="s">
        <v>575</v>
      </c>
      <c r="C129" s="3"/>
      <c r="D129" s="3"/>
      <c r="E129" s="1" t="str">
        <f>IFERROR(__xludf.DUMMYFUNCTION("IFERROR(REGEXEXTRACT(A129, ""res(269|122)""), ""none"")"),"269")</f>
        <v>269</v>
      </c>
      <c r="F129" s="1">
        <v>-15.811695</v>
      </c>
      <c r="G129" s="1">
        <v>8.0</v>
      </c>
      <c r="H129" s="1">
        <v>1.0</v>
      </c>
      <c r="I129" s="1">
        <v>0.25</v>
      </c>
      <c r="J129" s="1">
        <v>3.0</v>
      </c>
      <c r="K129" s="1">
        <v>-1.385348</v>
      </c>
      <c r="L129" s="1">
        <v>100.0</v>
      </c>
      <c r="M129" s="1">
        <v>0.0</v>
      </c>
      <c r="N129" s="1">
        <v>0.0</v>
      </c>
      <c r="O129" s="1">
        <v>95.052957</v>
      </c>
    </row>
    <row r="130">
      <c r="A130" s="1" t="s">
        <v>576</v>
      </c>
      <c r="B130" s="1" t="s">
        <v>577</v>
      </c>
      <c r="C130" s="5"/>
      <c r="D130" s="5"/>
      <c r="E130" s="1" t="str">
        <f>IFERROR(__xludf.DUMMYFUNCTION("IFERROR(REGEXEXTRACT(A130, ""res(269|122)""), ""none"")"),"269")</f>
        <v>269</v>
      </c>
      <c r="F130" s="1">
        <v>-15.166917</v>
      </c>
      <c r="G130" s="1">
        <v>8.0</v>
      </c>
      <c r="H130" s="1">
        <v>5.0</v>
      </c>
      <c r="I130" s="1">
        <v>0.25</v>
      </c>
      <c r="J130" s="1">
        <v>2.0</v>
      </c>
      <c r="K130" s="1">
        <v>-0.351184999999999</v>
      </c>
      <c r="L130" s="1">
        <v>100.0</v>
      </c>
      <c r="M130" s="1">
        <v>0.0</v>
      </c>
      <c r="N130" s="1">
        <v>0.0</v>
      </c>
      <c r="O130" s="1">
        <v>99.731898</v>
      </c>
    </row>
    <row r="131">
      <c r="A131" s="1" t="s">
        <v>578</v>
      </c>
      <c r="B131" s="1" t="s">
        <v>579</v>
      </c>
      <c r="C131" s="5"/>
      <c r="D131" s="5"/>
      <c r="E131" s="1" t="str">
        <f>IFERROR(__xludf.DUMMYFUNCTION("IFERROR(REGEXEXTRACT(A131, ""res(269|122)""), ""none"")"),"269")</f>
        <v>269</v>
      </c>
      <c r="F131" s="1">
        <v>-16.068084</v>
      </c>
      <c r="G131" s="1">
        <v>9.0</v>
      </c>
      <c r="H131" s="1">
        <v>2.0</v>
      </c>
      <c r="I131" s="1">
        <v>0.444444</v>
      </c>
      <c r="J131" s="1">
        <v>2.0</v>
      </c>
      <c r="K131" s="1">
        <v>-1.018293</v>
      </c>
      <c r="L131" s="1">
        <v>100.0</v>
      </c>
      <c r="M131" s="1">
        <v>0.0</v>
      </c>
      <c r="N131" s="1">
        <v>0.0</v>
      </c>
      <c r="O131" s="1">
        <v>96.358067</v>
      </c>
    </row>
    <row r="132">
      <c r="A132" s="1" t="s">
        <v>345</v>
      </c>
      <c r="B132" s="1" t="s">
        <v>346</v>
      </c>
      <c r="C132" s="5"/>
      <c r="D132" s="5"/>
      <c r="E132" s="1" t="str">
        <f>IFERROR(__xludf.DUMMYFUNCTION("IFERROR(REGEXEXTRACT(A132, ""res(269|122)""), ""none"")"),"269")</f>
        <v>269</v>
      </c>
      <c r="F132" s="1">
        <v>-16.383014</v>
      </c>
      <c r="G132" s="1">
        <v>11.0</v>
      </c>
      <c r="H132" s="1">
        <v>5.0</v>
      </c>
      <c r="I132" s="1">
        <v>0.545455</v>
      </c>
      <c r="J132" s="1">
        <v>2.0</v>
      </c>
      <c r="K132" s="1">
        <v>-1.431922</v>
      </c>
      <c r="L132" s="1">
        <v>100.0</v>
      </c>
      <c r="M132" s="1">
        <v>0.0</v>
      </c>
      <c r="N132" s="1">
        <v>0.0</v>
      </c>
      <c r="O132" s="1">
        <v>100.730519</v>
      </c>
    </row>
    <row r="133">
      <c r="A133" s="1" t="s">
        <v>347</v>
      </c>
      <c r="B133" s="1" t="s">
        <v>348</v>
      </c>
      <c r="C133" s="5"/>
      <c r="D133" s="5"/>
      <c r="E133" s="1" t="str">
        <f>IFERROR(__xludf.DUMMYFUNCTION("IFERROR(REGEXEXTRACT(A133, ""res(269|122)""), ""none"")"),"269")</f>
        <v>269</v>
      </c>
      <c r="F133" s="1">
        <v>-15.915515</v>
      </c>
      <c r="G133" s="1">
        <v>8.0</v>
      </c>
      <c r="H133" s="1">
        <v>4.0</v>
      </c>
      <c r="I133" s="1">
        <v>0.375</v>
      </c>
      <c r="J133" s="1">
        <v>2.0</v>
      </c>
      <c r="K133" s="1">
        <v>-0.684045</v>
      </c>
      <c r="L133" s="1">
        <v>100.0</v>
      </c>
      <c r="M133" s="1">
        <v>0.0</v>
      </c>
      <c r="N133" s="1">
        <v>0.0</v>
      </c>
      <c r="O133" s="1">
        <v>97.77544</v>
      </c>
    </row>
    <row r="134">
      <c r="A134" s="1" t="s">
        <v>349</v>
      </c>
      <c r="B134" s="1" t="s">
        <v>90</v>
      </c>
      <c r="C134" s="5"/>
      <c r="D134" s="5"/>
      <c r="E134" s="1" t="str">
        <f>IFERROR(__xludf.DUMMYFUNCTION("IFERROR(REGEXEXTRACT(A134, ""res(269|122)""), ""none"")"),"269")</f>
        <v>269</v>
      </c>
      <c r="F134" s="1">
        <v>-15.759066</v>
      </c>
      <c r="G134" s="1">
        <v>7.0</v>
      </c>
      <c r="H134" s="1">
        <v>2.0</v>
      </c>
      <c r="I134" s="1">
        <v>0.571429</v>
      </c>
      <c r="J134" s="1">
        <v>2.0</v>
      </c>
      <c r="K134" s="1">
        <v>-0.931789</v>
      </c>
      <c r="L134" s="1">
        <v>100.0</v>
      </c>
      <c r="M134" s="1">
        <v>0.0</v>
      </c>
      <c r="N134" s="1">
        <v>0.0</v>
      </c>
      <c r="O134" s="1">
        <v>94.880574</v>
      </c>
    </row>
    <row r="135">
      <c r="A135" s="1" t="s">
        <v>350</v>
      </c>
      <c r="B135" s="1" t="s">
        <v>351</v>
      </c>
      <c r="C135" s="5"/>
      <c r="D135" s="5"/>
      <c r="E135" s="1" t="str">
        <f>IFERROR(__xludf.DUMMYFUNCTION("IFERROR(REGEXEXTRACT(A135, ""res(269|122)""), ""none"")"),"269")</f>
        <v>269</v>
      </c>
      <c r="F135" s="1">
        <v>-15.759066</v>
      </c>
      <c r="G135" s="1">
        <v>7.0</v>
      </c>
      <c r="H135" s="1">
        <v>2.0</v>
      </c>
      <c r="I135" s="1">
        <v>0.571429</v>
      </c>
      <c r="J135" s="1">
        <v>2.0</v>
      </c>
      <c r="K135" s="1">
        <v>-0.931789</v>
      </c>
      <c r="L135" s="1">
        <v>100.0</v>
      </c>
      <c r="M135" s="1">
        <v>0.0</v>
      </c>
      <c r="N135" s="1">
        <v>0.0</v>
      </c>
      <c r="O135" s="1">
        <v>94.880574</v>
      </c>
    </row>
    <row r="136">
      <c r="A136" s="1" t="s">
        <v>580</v>
      </c>
      <c r="B136" s="1" t="s">
        <v>581</v>
      </c>
      <c r="C136" s="5"/>
      <c r="D136" s="5"/>
      <c r="E136" s="1" t="str">
        <f>IFERROR(__xludf.DUMMYFUNCTION("IFERROR(REGEXEXTRACT(A136, ""res(269|122)""), ""none"")"),"269")</f>
        <v>269</v>
      </c>
      <c r="F136" s="1">
        <v>-15.59682</v>
      </c>
      <c r="G136" s="1">
        <v>8.0</v>
      </c>
      <c r="H136" s="1">
        <v>3.0</v>
      </c>
      <c r="I136" s="1">
        <v>0.25</v>
      </c>
      <c r="J136" s="1">
        <v>2.0</v>
      </c>
      <c r="K136" s="1">
        <v>-0.781714999999999</v>
      </c>
      <c r="L136" s="1">
        <v>100.0</v>
      </c>
      <c r="M136" s="1">
        <v>0.0</v>
      </c>
      <c r="N136" s="1">
        <v>0.0</v>
      </c>
      <c r="O136" s="1">
        <v>96.871465</v>
      </c>
    </row>
    <row r="137">
      <c r="A137" s="1" t="s">
        <v>582</v>
      </c>
      <c r="B137" s="1" t="s">
        <v>583</v>
      </c>
      <c r="C137" s="5"/>
      <c r="D137" s="5"/>
      <c r="E137" s="1" t="str">
        <f>IFERROR(__xludf.DUMMYFUNCTION("IFERROR(REGEXEXTRACT(A137, ""res(269|122)""), ""none"")"),"269")</f>
        <v>269</v>
      </c>
      <c r="F137" s="1">
        <v>-15.480946</v>
      </c>
      <c r="G137" s="1">
        <v>8.0</v>
      </c>
      <c r="H137" s="1">
        <v>4.0</v>
      </c>
      <c r="I137" s="1">
        <v>0.25</v>
      </c>
      <c r="J137" s="1">
        <v>2.0</v>
      </c>
      <c r="K137" s="1">
        <v>-0.505827</v>
      </c>
      <c r="L137" s="1">
        <v>100.0</v>
      </c>
      <c r="M137" s="1">
        <v>0.0</v>
      </c>
      <c r="N137" s="1">
        <v>0.0</v>
      </c>
      <c r="O137" s="1">
        <v>98.263227</v>
      </c>
    </row>
    <row r="138">
      <c r="A138" s="1" t="s">
        <v>584</v>
      </c>
      <c r="B138" s="1" t="s">
        <v>585</v>
      </c>
      <c r="C138" s="5"/>
      <c r="D138" s="5"/>
      <c r="E138" s="1" t="str">
        <f>IFERROR(__xludf.DUMMYFUNCTION("IFERROR(REGEXEXTRACT(A138, ""res(269|122)""), ""none"")"),"269")</f>
        <v>269</v>
      </c>
      <c r="F138" s="1">
        <v>-15.084562</v>
      </c>
      <c r="G138" s="1">
        <v>9.0</v>
      </c>
      <c r="H138" s="1">
        <v>2.0</v>
      </c>
      <c r="I138" s="1">
        <v>0.333333</v>
      </c>
      <c r="J138" s="1">
        <v>2.0</v>
      </c>
      <c r="K138" s="1">
        <v>-1.126036</v>
      </c>
      <c r="L138" s="1">
        <v>100.0</v>
      </c>
      <c r="M138" s="1">
        <v>0.0</v>
      </c>
      <c r="N138" s="1">
        <v>0.0</v>
      </c>
      <c r="O138" s="1">
        <v>97.122735</v>
      </c>
    </row>
    <row r="139">
      <c r="A139" s="1" t="s">
        <v>586</v>
      </c>
      <c r="B139" s="1" t="s">
        <v>587</v>
      </c>
      <c r="C139" s="5"/>
      <c r="D139" s="5"/>
      <c r="E139" s="1" t="str">
        <f>IFERROR(__xludf.DUMMYFUNCTION("IFERROR(REGEXEXTRACT(A139, ""res(269|122)""), ""none"")"),"269")</f>
        <v>269</v>
      </c>
      <c r="F139" s="1">
        <v>-16.433564</v>
      </c>
      <c r="G139" s="1">
        <v>12.0</v>
      </c>
      <c r="H139" s="1">
        <v>4.0</v>
      </c>
      <c r="I139" s="1">
        <v>0.333333</v>
      </c>
      <c r="J139" s="1">
        <v>2.0</v>
      </c>
      <c r="K139" s="1">
        <v>-0.696566999999999</v>
      </c>
      <c r="L139" s="1">
        <v>100.0</v>
      </c>
      <c r="M139" s="1">
        <v>0.0</v>
      </c>
      <c r="N139" s="1">
        <v>0.0</v>
      </c>
      <c r="O139" s="1">
        <v>101.203202</v>
      </c>
    </row>
    <row r="140">
      <c r="A140" s="1" t="s">
        <v>588</v>
      </c>
      <c r="B140" s="1" t="s">
        <v>589</v>
      </c>
      <c r="C140" s="5"/>
      <c r="D140" s="5"/>
      <c r="E140" s="1" t="str">
        <f>IFERROR(__xludf.DUMMYFUNCTION("IFERROR(REGEXEXTRACT(A140, ""res(269|122)""), ""none"")"),"269")</f>
        <v>269</v>
      </c>
      <c r="F140" s="1">
        <v>-15.248368</v>
      </c>
      <c r="G140" s="1">
        <v>7.0</v>
      </c>
      <c r="H140" s="1">
        <v>1.0</v>
      </c>
      <c r="I140" s="1">
        <v>0.285714</v>
      </c>
      <c r="J140" s="1">
        <v>2.0</v>
      </c>
      <c r="K140" s="1">
        <v>-0.793475</v>
      </c>
      <c r="L140" s="1">
        <v>100.0</v>
      </c>
      <c r="M140" s="1">
        <v>0.0</v>
      </c>
      <c r="N140" s="1">
        <v>0.0</v>
      </c>
      <c r="O140" s="1">
        <v>94.243871</v>
      </c>
    </row>
    <row r="141">
      <c r="A141" s="1" t="s">
        <v>590</v>
      </c>
      <c r="B141" s="1" t="s">
        <v>591</v>
      </c>
      <c r="C141" s="5"/>
      <c r="D141" s="5"/>
      <c r="E141" s="1" t="str">
        <f>IFERROR(__xludf.DUMMYFUNCTION("IFERROR(REGEXEXTRACT(A141, ""res(269|122)""), ""none"")"),"269")</f>
        <v>269</v>
      </c>
      <c r="F141" s="1">
        <v>-15.046665</v>
      </c>
      <c r="G141" s="1">
        <v>10.0</v>
      </c>
      <c r="H141" s="1">
        <v>3.0</v>
      </c>
      <c r="I141" s="1">
        <v>0.3</v>
      </c>
      <c r="J141" s="1">
        <v>2.0</v>
      </c>
      <c r="K141" s="1">
        <v>-0.432822</v>
      </c>
      <c r="L141" s="1">
        <v>100.0</v>
      </c>
      <c r="M141" s="1">
        <v>0.0</v>
      </c>
      <c r="N141" s="1">
        <v>0.0</v>
      </c>
      <c r="O141" s="1">
        <v>99.820513</v>
      </c>
    </row>
    <row r="142">
      <c r="A142" s="1" t="s">
        <v>592</v>
      </c>
      <c r="B142" s="1" t="s">
        <v>593</v>
      </c>
      <c r="C142" s="5"/>
      <c r="D142" s="5"/>
      <c r="E142" s="1" t="str">
        <f>IFERROR(__xludf.DUMMYFUNCTION("IFERROR(REGEXEXTRACT(A142, ""res(269|122)""), ""none"")"),"269")</f>
        <v>269</v>
      </c>
      <c r="F142" s="1">
        <v>-15.496757</v>
      </c>
      <c r="G142" s="1">
        <v>10.0</v>
      </c>
      <c r="H142" s="1">
        <v>2.0</v>
      </c>
      <c r="I142" s="1">
        <v>0.3</v>
      </c>
      <c r="J142" s="1">
        <v>2.0</v>
      </c>
      <c r="K142" s="1">
        <v>-0.809153999999999</v>
      </c>
      <c r="L142" s="1">
        <v>100.0</v>
      </c>
      <c r="M142" s="1">
        <v>0.0</v>
      </c>
      <c r="N142" s="1">
        <v>0.0</v>
      </c>
      <c r="O142" s="1">
        <v>97.994089</v>
      </c>
    </row>
    <row r="143">
      <c r="A143" s="1" t="s">
        <v>594</v>
      </c>
      <c r="B143" s="1" t="s">
        <v>595</v>
      </c>
      <c r="C143" s="5"/>
      <c r="D143" s="5"/>
      <c r="E143" s="1" t="str">
        <f>IFERROR(__xludf.DUMMYFUNCTION("IFERROR(REGEXEXTRACT(A143, ""res(269|122)""), ""none"")"),"269")</f>
        <v>269</v>
      </c>
      <c r="F143" s="1">
        <v>-15.123891</v>
      </c>
      <c r="G143" s="1">
        <v>7.0</v>
      </c>
      <c r="H143" s="1">
        <v>1.0</v>
      </c>
      <c r="I143" s="1">
        <v>0.428571</v>
      </c>
      <c r="J143" s="1">
        <v>2.0</v>
      </c>
      <c r="K143" s="1">
        <v>-0.389964</v>
      </c>
      <c r="L143" s="1">
        <v>100.0</v>
      </c>
      <c r="M143" s="1">
        <v>0.0</v>
      </c>
      <c r="N143" s="1">
        <v>0.0</v>
      </c>
      <c r="O143" s="1">
        <v>94.914716</v>
      </c>
    </row>
    <row r="144">
      <c r="A144" s="1" t="s">
        <v>596</v>
      </c>
      <c r="B144" s="1" t="s">
        <v>597</v>
      </c>
      <c r="C144" s="5"/>
      <c r="D144" s="5"/>
      <c r="E144" s="1" t="str">
        <f>IFERROR(__xludf.DUMMYFUNCTION("IFERROR(REGEXEXTRACT(A144, ""res(269|122)""), ""none"")"),"269")</f>
        <v>269</v>
      </c>
      <c r="F144" s="1">
        <v>-17.851558</v>
      </c>
      <c r="G144" s="1">
        <v>7.0</v>
      </c>
      <c r="H144" s="1">
        <v>2.0</v>
      </c>
      <c r="I144" s="1">
        <v>0.285714</v>
      </c>
      <c r="J144" s="1">
        <v>2.0</v>
      </c>
      <c r="K144" s="1">
        <v>-0.879698</v>
      </c>
      <c r="L144" s="1">
        <v>100.0</v>
      </c>
      <c r="M144" s="1">
        <v>0.0</v>
      </c>
      <c r="N144" s="1">
        <v>0.0</v>
      </c>
      <c r="O144" s="1">
        <v>92.554458</v>
      </c>
    </row>
    <row r="145">
      <c r="A145" s="1" t="s">
        <v>598</v>
      </c>
      <c r="B145" s="1" t="s">
        <v>599</v>
      </c>
      <c r="C145" s="5"/>
      <c r="D145" s="5"/>
      <c r="E145" s="1" t="str">
        <f>IFERROR(__xludf.DUMMYFUNCTION("IFERROR(REGEXEXTRACT(A145, ""res(269|122)""), ""none"")"),"269")</f>
        <v>269</v>
      </c>
      <c r="F145" s="1">
        <v>-16.37987</v>
      </c>
      <c r="G145" s="1">
        <v>13.0</v>
      </c>
      <c r="H145" s="1">
        <v>3.0</v>
      </c>
      <c r="I145" s="1">
        <v>0.307692</v>
      </c>
      <c r="J145" s="1">
        <v>2.0</v>
      </c>
      <c r="K145" s="1">
        <v>-0.226607</v>
      </c>
      <c r="L145" s="1">
        <v>100.0</v>
      </c>
      <c r="M145" s="1">
        <v>0.0</v>
      </c>
      <c r="N145" s="1">
        <v>0.0</v>
      </c>
      <c r="O145" s="1">
        <v>101.701215</v>
      </c>
    </row>
    <row r="146">
      <c r="A146" s="1" t="s">
        <v>600</v>
      </c>
      <c r="B146" s="1" t="s">
        <v>601</v>
      </c>
      <c r="C146" s="5"/>
      <c r="D146" s="5"/>
      <c r="E146" s="1" t="str">
        <f>IFERROR(__xludf.DUMMYFUNCTION("IFERROR(REGEXEXTRACT(A146, ""res(269|122)""), ""none"")"),"269")</f>
        <v>269</v>
      </c>
      <c r="F146" s="1">
        <v>-15.216876</v>
      </c>
      <c r="G146" s="1">
        <v>7.0</v>
      </c>
      <c r="H146" s="1">
        <v>1.0</v>
      </c>
      <c r="I146" s="1">
        <v>0.285714</v>
      </c>
      <c r="J146" s="1">
        <v>2.0</v>
      </c>
      <c r="K146" s="1">
        <v>-0.938238</v>
      </c>
      <c r="L146" s="1">
        <v>100.0</v>
      </c>
      <c r="M146" s="1">
        <v>0.0</v>
      </c>
      <c r="N146" s="1">
        <v>0.0</v>
      </c>
      <c r="O146" s="1">
        <v>94.1306</v>
      </c>
    </row>
    <row r="147">
      <c r="A147" s="1" t="s">
        <v>602</v>
      </c>
      <c r="B147" s="1" t="s">
        <v>603</v>
      </c>
      <c r="C147" s="5"/>
      <c r="D147" s="5"/>
      <c r="E147" s="1" t="str">
        <f>IFERROR(__xludf.DUMMYFUNCTION("IFERROR(REGEXEXTRACT(A147, ""res(269|122)""), ""none"")"),"269")</f>
        <v>269</v>
      </c>
      <c r="F147" s="1">
        <v>-15.926988</v>
      </c>
      <c r="G147" s="1">
        <v>10.0</v>
      </c>
      <c r="H147" s="1">
        <v>3.0</v>
      </c>
      <c r="I147" s="1">
        <v>0.3</v>
      </c>
      <c r="J147" s="1">
        <v>2.0</v>
      </c>
      <c r="K147" s="1">
        <v>-0.899726</v>
      </c>
      <c r="L147" s="1">
        <v>100.0</v>
      </c>
      <c r="M147" s="1">
        <v>0.0</v>
      </c>
      <c r="N147" s="1">
        <v>0.0</v>
      </c>
      <c r="O147" s="1">
        <v>98.473286</v>
      </c>
    </row>
    <row r="148">
      <c r="A148" s="1" t="s">
        <v>352</v>
      </c>
      <c r="B148" s="1" t="s">
        <v>353</v>
      </c>
      <c r="C148" s="5"/>
      <c r="D148" s="5"/>
      <c r="E148" s="1" t="str">
        <f>IFERROR(__xludf.DUMMYFUNCTION("IFERROR(REGEXEXTRACT(A148, ""res(269|122)""), ""none"")"),"269")</f>
        <v>269</v>
      </c>
      <c r="F148" s="1">
        <v>-15.088626</v>
      </c>
      <c r="G148" s="1">
        <v>12.0</v>
      </c>
      <c r="H148" s="1">
        <v>3.0</v>
      </c>
      <c r="I148" s="1">
        <v>0.416667</v>
      </c>
      <c r="J148" s="1">
        <v>2.0</v>
      </c>
      <c r="K148" s="1">
        <v>-0.765151</v>
      </c>
      <c r="L148" s="1">
        <v>100.0</v>
      </c>
      <c r="M148" s="1">
        <v>0.0</v>
      </c>
      <c r="N148" s="1">
        <v>0.0</v>
      </c>
      <c r="O148" s="1">
        <v>101.56289</v>
      </c>
    </row>
    <row r="149">
      <c r="A149" s="1" t="s">
        <v>604</v>
      </c>
      <c r="B149" s="1" t="s">
        <v>605</v>
      </c>
      <c r="C149" s="5"/>
      <c r="D149" s="5"/>
      <c r="E149" s="1" t="str">
        <f>IFERROR(__xludf.DUMMYFUNCTION("IFERROR(REGEXEXTRACT(A149, ""res(269|122)""), ""none"")"),"269")</f>
        <v>269</v>
      </c>
      <c r="F149" s="1">
        <v>-16.476724</v>
      </c>
      <c r="G149" s="1">
        <v>7.0</v>
      </c>
      <c r="H149" s="1">
        <v>2.0</v>
      </c>
      <c r="I149" s="1">
        <v>0.285714</v>
      </c>
      <c r="J149" s="1">
        <v>3.0</v>
      </c>
      <c r="K149" s="1">
        <v>-0.823762</v>
      </c>
      <c r="L149" s="1">
        <v>100.0</v>
      </c>
      <c r="M149" s="1">
        <v>0.0</v>
      </c>
      <c r="N149" s="1">
        <v>0.0</v>
      </c>
      <c r="O149" s="1">
        <v>94.985228</v>
      </c>
    </row>
    <row r="150">
      <c r="A150" s="1" t="s">
        <v>606</v>
      </c>
      <c r="B150" s="1" t="s">
        <v>607</v>
      </c>
      <c r="C150" s="5"/>
      <c r="D150" s="5"/>
      <c r="E150" s="1" t="str">
        <f>IFERROR(__xludf.DUMMYFUNCTION("IFERROR(REGEXEXTRACT(A150, ""res(269|122)""), ""none"")"),"269")</f>
        <v>269</v>
      </c>
      <c r="F150" s="1">
        <v>-15.583805</v>
      </c>
      <c r="G150" s="1">
        <v>7.0</v>
      </c>
      <c r="H150" s="1">
        <v>3.0</v>
      </c>
      <c r="I150" s="1">
        <v>0.285714</v>
      </c>
      <c r="J150" s="1">
        <v>2.0</v>
      </c>
      <c r="K150" s="1">
        <v>-1.40151</v>
      </c>
      <c r="L150" s="1">
        <v>100.0</v>
      </c>
      <c r="M150" s="1">
        <v>0.0</v>
      </c>
      <c r="N150" s="1">
        <v>0.0</v>
      </c>
      <c r="O150" s="1">
        <v>95.300399</v>
      </c>
    </row>
    <row r="151">
      <c r="A151" s="1" t="s">
        <v>608</v>
      </c>
      <c r="B151" s="1" t="s">
        <v>609</v>
      </c>
      <c r="C151" s="5"/>
      <c r="D151" s="5"/>
      <c r="E151" s="1" t="str">
        <f>IFERROR(__xludf.DUMMYFUNCTION("IFERROR(REGEXEXTRACT(A151, ""res(269|122)""), ""none"")"),"269")</f>
        <v>269</v>
      </c>
      <c r="F151" s="1">
        <v>-18.086218</v>
      </c>
      <c r="G151" s="1">
        <v>12.0</v>
      </c>
      <c r="H151" s="1">
        <v>4.0</v>
      </c>
      <c r="I151" s="1">
        <v>0.25</v>
      </c>
      <c r="J151" s="1">
        <v>2.0</v>
      </c>
      <c r="K151" s="1">
        <v>-1.08402</v>
      </c>
      <c r="L151" s="1">
        <v>100.0</v>
      </c>
      <c r="M151" s="1">
        <v>0.0</v>
      </c>
      <c r="N151" s="1">
        <v>0.0</v>
      </c>
      <c r="O151" s="1">
        <v>99.079762</v>
      </c>
    </row>
    <row r="152">
      <c r="A152" s="1" t="s">
        <v>610</v>
      </c>
      <c r="B152" s="1" t="s">
        <v>611</v>
      </c>
      <c r="C152" s="5"/>
      <c r="D152" s="5"/>
      <c r="E152" s="1" t="str">
        <f>IFERROR(__xludf.DUMMYFUNCTION("IFERROR(REGEXEXTRACT(A152, ""res(269|122)""), ""none"")"),"269")</f>
        <v>269</v>
      </c>
      <c r="F152" s="1">
        <v>-17.2643</v>
      </c>
      <c r="G152" s="1">
        <v>7.0</v>
      </c>
      <c r="H152" s="1">
        <v>4.0</v>
      </c>
      <c r="I152" s="1">
        <v>0.285714</v>
      </c>
      <c r="J152" s="1">
        <v>2.0</v>
      </c>
      <c r="K152" s="1">
        <v>-0.594912</v>
      </c>
      <c r="L152" s="1">
        <v>100.0</v>
      </c>
      <c r="M152" s="1">
        <v>0.0</v>
      </c>
      <c r="N152" s="1">
        <v>0.0</v>
      </c>
      <c r="O152" s="1">
        <v>95.426502</v>
      </c>
    </row>
    <row r="153">
      <c r="A153" s="1" t="s">
        <v>354</v>
      </c>
      <c r="B153" s="1" t="s">
        <v>355</v>
      </c>
      <c r="C153" s="5"/>
      <c r="D153" s="5"/>
      <c r="E153" s="1" t="str">
        <f>IFERROR(__xludf.DUMMYFUNCTION("IFERROR(REGEXEXTRACT(A153, ""res(269|122)""), ""none"")"),"269")</f>
        <v>269</v>
      </c>
      <c r="F153" s="1">
        <v>-16.551482</v>
      </c>
      <c r="G153" s="1">
        <v>8.0</v>
      </c>
      <c r="H153" s="1">
        <v>3.0</v>
      </c>
      <c r="I153" s="1">
        <v>0.25</v>
      </c>
      <c r="J153" s="1">
        <v>2.0</v>
      </c>
      <c r="K153" s="1">
        <v>-0.695112</v>
      </c>
      <c r="L153" s="1">
        <v>100.0</v>
      </c>
      <c r="M153" s="1">
        <v>0.0</v>
      </c>
      <c r="N153" s="1">
        <v>0.0</v>
      </c>
      <c r="O153" s="1">
        <v>96.003406</v>
      </c>
    </row>
    <row r="154">
      <c r="A154" s="1" t="s">
        <v>356</v>
      </c>
      <c r="B154" s="1" t="s">
        <v>168</v>
      </c>
      <c r="C154" s="5"/>
      <c r="D154" s="5"/>
      <c r="E154" s="1" t="str">
        <f>IFERROR(__xludf.DUMMYFUNCTION("IFERROR(REGEXEXTRACT(A154, ""res(269|122)""), ""none"")"),"269")</f>
        <v>269</v>
      </c>
      <c r="F154" s="1">
        <v>-16.947939</v>
      </c>
      <c r="G154" s="1">
        <v>7.0</v>
      </c>
      <c r="H154" s="1">
        <v>1.0</v>
      </c>
      <c r="I154" s="1">
        <v>0.285714</v>
      </c>
      <c r="J154" s="1">
        <v>2.0</v>
      </c>
      <c r="K154" s="1">
        <v>-1.26662</v>
      </c>
      <c r="L154" s="1">
        <v>100.0</v>
      </c>
      <c r="M154" s="1">
        <v>0.0</v>
      </c>
      <c r="N154" s="1">
        <v>0.0</v>
      </c>
      <c r="O154" s="1">
        <v>92.071155</v>
      </c>
    </row>
    <row r="155">
      <c r="A155" s="1" t="s">
        <v>612</v>
      </c>
      <c r="B155" s="1" t="s">
        <v>613</v>
      </c>
      <c r="C155" s="5"/>
      <c r="D155" s="5"/>
      <c r="E155" s="1" t="str">
        <f>IFERROR(__xludf.DUMMYFUNCTION("IFERROR(REGEXEXTRACT(A155, ""res(269|122)""), ""none"")"),"269")</f>
        <v>269</v>
      </c>
      <c r="F155" s="1">
        <v>-16.985042</v>
      </c>
      <c r="G155" s="1">
        <v>8.0</v>
      </c>
      <c r="H155" s="1">
        <v>4.0</v>
      </c>
      <c r="I155" s="1">
        <v>0.25</v>
      </c>
      <c r="J155" s="1">
        <v>2.0</v>
      </c>
      <c r="K155" s="1">
        <v>-1.067859</v>
      </c>
      <c r="L155" s="1">
        <v>100.0</v>
      </c>
      <c r="M155" s="1">
        <v>0.0</v>
      </c>
      <c r="N155" s="1">
        <v>0.0</v>
      </c>
      <c r="O155" s="1">
        <v>96.197099</v>
      </c>
    </row>
    <row r="156">
      <c r="A156" s="1" t="s">
        <v>614</v>
      </c>
      <c r="B156" s="1" t="s">
        <v>615</v>
      </c>
      <c r="C156" s="5"/>
      <c r="D156" s="5"/>
      <c r="E156" s="1" t="str">
        <f>IFERROR(__xludf.DUMMYFUNCTION("IFERROR(REGEXEXTRACT(A156, ""res(269|122)""), ""none"")"),"269")</f>
        <v>269</v>
      </c>
      <c r="F156" s="1">
        <v>-15.509211</v>
      </c>
      <c r="G156" s="1">
        <v>9.0</v>
      </c>
      <c r="H156" s="1">
        <v>3.0</v>
      </c>
      <c r="I156" s="1">
        <v>0.333333</v>
      </c>
      <c r="J156" s="1">
        <v>2.0</v>
      </c>
      <c r="K156" s="1">
        <v>-0.596599</v>
      </c>
      <c r="L156" s="1">
        <v>100.0</v>
      </c>
      <c r="M156" s="1">
        <v>0.0</v>
      </c>
      <c r="N156" s="1">
        <v>0.0</v>
      </c>
      <c r="O156" s="1">
        <v>98.227523</v>
      </c>
    </row>
    <row r="157">
      <c r="A157" s="1" t="s">
        <v>616</v>
      </c>
      <c r="B157" s="1" t="s">
        <v>617</v>
      </c>
      <c r="C157" s="5"/>
      <c r="D157" s="5"/>
      <c r="E157" s="1" t="str">
        <f>IFERROR(__xludf.DUMMYFUNCTION("IFERROR(REGEXEXTRACT(A157, ""res(269|122)""), ""none"")"),"269")</f>
        <v>269</v>
      </c>
      <c r="F157" s="1">
        <v>-16.224626</v>
      </c>
      <c r="G157" s="1">
        <v>12.0</v>
      </c>
      <c r="H157" s="1">
        <v>3.0</v>
      </c>
      <c r="I157" s="1">
        <v>0.25</v>
      </c>
      <c r="J157" s="1">
        <v>2.0</v>
      </c>
      <c r="K157" s="1">
        <v>-0.717456</v>
      </c>
      <c r="L157" s="1">
        <v>100.0</v>
      </c>
      <c r="M157" s="1">
        <v>0.0</v>
      </c>
      <c r="N157" s="1">
        <v>0.0</v>
      </c>
      <c r="O157" s="1">
        <v>100.307918</v>
      </c>
    </row>
    <row r="158">
      <c r="A158" s="1" t="s">
        <v>618</v>
      </c>
      <c r="B158" s="1" t="s">
        <v>619</v>
      </c>
      <c r="C158" s="5"/>
      <c r="D158" s="5"/>
      <c r="E158" s="1" t="str">
        <f>IFERROR(__xludf.DUMMYFUNCTION("IFERROR(REGEXEXTRACT(A158, ""res(269|122)""), ""none"")"),"269")</f>
        <v>269</v>
      </c>
      <c r="F158" s="1">
        <v>-15.347144</v>
      </c>
      <c r="G158" s="1">
        <v>8.0</v>
      </c>
      <c r="H158" s="1">
        <v>1.0</v>
      </c>
      <c r="I158" s="1">
        <v>0.375</v>
      </c>
      <c r="J158" s="1">
        <v>2.0</v>
      </c>
      <c r="K158" s="1">
        <v>-1.417512</v>
      </c>
      <c r="L158" s="1">
        <v>100.0</v>
      </c>
      <c r="M158" s="1">
        <v>0.0</v>
      </c>
      <c r="N158" s="1">
        <v>0.0</v>
      </c>
      <c r="O158" s="1">
        <v>94.610344</v>
      </c>
    </row>
    <row r="159">
      <c r="A159" s="1" t="s">
        <v>620</v>
      </c>
      <c r="B159" s="1" t="s">
        <v>621</v>
      </c>
      <c r="C159" s="5"/>
      <c r="D159" s="5"/>
      <c r="E159" s="1" t="str">
        <f>IFERROR(__xludf.DUMMYFUNCTION("IFERROR(REGEXEXTRACT(A159, ""res(269|122)""), ""none"")"),"269")</f>
        <v>269</v>
      </c>
      <c r="F159" s="1">
        <v>-15.969661</v>
      </c>
      <c r="G159" s="1">
        <v>10.0</v>
      </c>
      <c r="H159" s="1">
        <v>2.0</v>
      </c>
      <c r="I159" s="1">
        <v>0.5</v>
      </c>
      <c r="J159" s="1">
        <v>2.0</v>
      </c>
      <c r="K159" s="1">
        <v>-0.737468999999999</v>
      </c>
      <c r="L159" s="1">
        <v>100.0</v>
      </c>
      <c r="M159" s="1">
        <v>0.0</v>
      </c>
      <c r="N159" s="1">
        <v>0.0</v>
      </c>
      <c r="O159" s="1">
        <v>97.79287</v>
      </c>
    </row>
    <row r="160">
      <c r="A160" s="1" t="s">
        <v>622</v>
      </c>
      <c r="B160" s="1" t="s">
        <v>623</v>
      </c>
      <c r="C160" s="5"/>
      <c r="D160" s="5"/>
      <c r="E160" s="1" t="str">
        <f>IFERROR(__xludf.DUMMYFUNCTION("IFERROR(REGEXEXTRACT(A160, ""res(269|122)""), ""none"")"),"269")</f>
        <v>269</v>
      </c>
      <c r="F160" s="1">
        <v>-15.981415</v>
      </c>
      <c r="G160" s="1">
        <v>10.0</v>
      </c>
      <c r="H160" s="1">
        <v>3.0</v>
      </c>
      <c r="I160" s="1">
        <v>0.4</v>
      </c>
      <c r="J160" s="1">
        <v>2.0</v>
      </c>
      <c r="K160" s="1">
        <v>-1.45702499999999</v>
      </c>
      <c r="L160" s="1">
        <v>100.0</v>
      </c>
      <c r="M160" s="1">
        <v>0.0</v>
      </c>
      <c r="N160" s="1">
        <v>0.0</v>
      </c>
      <c r="O160" s="1">
        <v>97.96156</v>
      </c>
    </row>
    <row r="161">
      <c r="A161" s="1" t="s">
        <v>624</v>
      </c>
      <c r="B161" s="1" t="s">
        <v>625</v>
      </c>
      <c r="C161" s="5"/>
      <c r="D161" s="5"/>
      <c r="E161" s="1" t="str">
        <f>IFERROR(__xludf.DUMMYFUNCTION("IFERROR(REGEXEXTRACT(A161, ""res(269|122)""), ""none"")"),"269")</f>
        <v>269</v>
      </c>
      <c r="F161" s="1">
        <v>-15.875838</v>
      </c>
      <c r="G161" s="1">
        <v>7.0</v>
      </c>
      <c r="H161" s="1">
        <v>2.0</v>
      </c>
      <c r="I161" s="1">
        <v>0.285714</v>
      </c>
      <c r="J161" s="1">
        <v>2.0</v>
      </c>
      <c r="K161" s="1">
        <v>-0.561351</v>
      </c>
      <c r="L161" s="1">
        <v>100.0</v>
      </c>
      <c r="M161" s="1">
        <v>0.0</v>
      </c>
      <c r="N161" s="1">
        <v>0.0</v>
      </c>
      <c r="O161" s="1">
        <v>94.848525</v>
      </c>
    </row>
    <row r="162">
      <c r="A162" s="1" t="s">
        <v>626</v>
      </c>
      <c r="B162" s="1" t="s">
        <v>627</v>
      </c>
      <c r="C162" s="5"/>
      <c r="D162" s="5"/>
      <c r="E162" s="1" t="str">
        <f>IFERROR(__xludf.DUMMYFUNCTION("IFERROR(REGEXEXTRACT(A162, ""res(269|122)""), ""none"")"),"269")</f>
        <v>269</v>
      </c>
      <c r="F162" s="1">
        <v>-15.397525</v>
      </c>
      <c r="G162" s="1">
        <v>10.0</v>
      </c>
      <c r="H162" s="1">
        <v>3.0</v>
      </c>
      <c r="I162" s="1">
        <v>0.3</v>
      </c>
      <c r="J162" s="1">
        <v>3.0</v>
      </c>
      <c r="K162" s="1">
        <v>-2.80944</v>
      </c>
      <c r="L162" s="1">
        <v>100.0</v>
      </c>
      <c r="M162" s="1">
        <v>0.0</v>
      </c>
      <c r="N162" s="1">
        <v>0.0</v>
      </c>
      <c r="O162" s="1">
        <v>98.093035</v>
      </c>
    </row>
    <row r="163">
      <c r="A163" s="1" t="s">
        <v>628</v>
      </c>
      <c r="B163" s="1" t="s">
        <v>629</v>
      </c>
      <c r="C163" s="5"/>
      <c r="D163" s="5"/>
      <c r="E163" s="1" t="str">
        <f>IFERROR(__xludf.DUMMYFUNCTION("IFERROR(REGEXEXTRACT(A163, ""res(269|122)""), ""none"")"),"269")</f>
        <v>269</v>
      </c>
      <c r="F163" s="1">
        <v>-18.249974</v>
      </c>
      <c r="G163" s="1">
        <v>7.0</v>
      </c>
      <c r="H163" s="1">
        <v>3.0</v>
      </c>
      <c r="I163" s="1">
        <v>0.285714</v>
      </c>
      <c r="J163" s="1">
        <v>2.0</v>
      </c>
      <c r="K163" s="1">
        <v>-0.785149</v>
      </c>
      <c r="L163" s="1">
        <v>100.0</v>
      </c>
      <c r="M163" s="1">
        <v>0.0</v>
      </c>
      <c r="N163" s="1">
        <v>0.0</v>
      </c>
      <c r="O163" s="1">
        <v>93.250591</v>
      </c>
    </row>
    <row r="164">
      <c r="A164" s="1" t="s">
        <v>630</v>
      </c>
      <c r="B164" s="1" t="s">
        <v>631</v>
      </c>
      <c r="C164" s="5"/>
      <c r="D164" s="5"/>
      <c r="E164" s="1" t="str">
        <f>IFERROR(__xludf.DUMMYFUNCTION("IFERROR(REGEXEXTRACT(A164, ""res(269|122)""), ""none"")"),"269")</f>
        <v>269</v>
      </c>
      <c r="F164" s="1">
        <v>-16.682557</v>
      </c>
      <c r="G164" s="1">
        <v>8.0</v>
      </c>
      <c r="H164" s="1">
        <v>2.0</v>
      </c>
      <c r="I164" s="1">
        <v>0.25</v>
      </c>
      <c r="J164" s="1">
        <v>2.0</v>
      </c>
      <c r="K164" s="1">
        <v>-0.664636</v>
      </c>
      <c r="L164" s="1">
        <v>100.0</v>
      </c>
      <c r="M164" s="1">
        <v>0.0</v>
      </c>
      <c r="N164" s="1">
        <v>0.0</v>
      </c>
      <c r="O164" s="1">
        <v>94.902807</v>
      </c>
    </row>
    <row r="165">
      <c r="A165" s="1" t="s">
        <v>632</v>
      </c>
      <c r="B165" s="1" t="s">
        <v>633</v>
      </c>
      <c r="C165" s="5"/>
      <c r="D165" s="5"/>
      <c r="E165" s="1" t="str">
        <f>IFERROR(__xludf.DUMMYFUNCTION("IFERROR(REGEXEXTRACT(A165, ""res(269|122)""), ""none"")"),"269")</f>
        <v>269</v>
      </c>
      <c r="F165" s="1">
        <v>-16.279523</v>
      </c>
      <c r="G165" s="1">
        <v>9.0</v>
      </c>
      <c r="H165" s="1">
        <v>3.0</v>
      </c>
      <c r="I165" s="1">
        <v>0.333333</v>
      </c>
      <c r="J165" s="1">
        <v>2.0</v>
      </c>
      <c r="K165" s="1">
        <v>-1.390816</v>
      </c>
      <c r="L165" s="1">
        <v>100.0</v>
      </c>
      <c r="M165" s="1">
        <v>0.0</v>
      </c>
      <c r="N165" s="1">
        <v>0.0</v>
      </c>
      <c r="O165" s="1">
        <v>96.662994</v>
      </c>
    </row>
    <row r="166">
      <c r="A166" s="1" t="s">
        <v>357</v>
      </c>
      <c r="B166" s="1" t="s">
        <v>358</v>
      </c>
      <c r="C166" s="5"/>
      <c r="D166" s="5"/>
      <c r="E166" s="1" t="str">
        <f>IFERROR(__xludf.DUMMYFUNCTION("IFERROR(REGEXEXTRACT(A166, ""res(269|122)""), ""none"")"),"269")</f>
        <v>269</v>
      </c>
      <c r="F166" s="1">
        <v>-18.499142</v>
      </c>
      <c r="G166" s="1">
        <v>10.0</v>
      </c>
      <c r="H166" s="1">
        <v>1.0</v>
      </c>
      <c r="I166" s="1">
        <v>0.3</v>
      </c>
      <c r="J166" s="1">
        <v>3.0</v>
      </c>
      <c r="K166" s="1">
        <v>-0.362342</v>
      </c>
      <c r="L166" s="1">
        <v>100.0</v>
      </c>
      <c r="M166" s="1">
        <v>0.0</v>
      </c>
      <c r="N166" s="1">
        <v>0.0</v>
      </c>
      <c r="O166" s="1">
        <v>95.438516</v>
      </c>
    </row>
    <row r="167">
      <c r="A167" s="1" t="s">
        <v>634</v>
      </c>
      <c r="B167" s="1" t="s">
        <v>635</v>
      </c>
      <c r="C167" s="5"/>
      <c r="D167" s="5"/>
      <c r="E167" s="1" t="str">
        <f>IFERROR(__xludf.DUMMYFUNCTION("IFERROR(REGEXEXTRACT(A167, ""res(269|122)""), ""none"")"),"269")</f>
        <v>269</v>
      </c>
      <c r="F167" s="1">
        <v>-15.449765</v>
      </c>
      <c r="G167" s="1">
        <v>12.0</v>
      </c>
      <c r="H167" s="1">
        <v>5.0</v>
      </c>
      <c r="I167" s="1">
        <v>0.333333</v>
      </c>
      <c r="J167" s="1">
        <v>2.0</v>
      </c>
      <c r="K167" s="1">
        <v>-1.438979</v>
      </c>
      <c r="L167" s="1">
        <v>100.0</v>
      </c>
      <c r="M167" s="1">
        <v>0.0</v>
      </c>
      <c r="N167" s="1">
        <v>0.0</v>
      </c>
      <c r="O167" s="1">
        <v>102.444589</v>
      </c>
    </row>
    <row r="168">
      <c r="A168" s="1" t="s">
        <v>359</v>
      </c>
      <c r="B168" s="1" t="s">
        <v>360</v>
      </c>
      <c r="C168" s="5"/>
      <c r="D168" s="5"/>
      <c r="E168" s="1" t="str">
        <f>IFERROR(__xludf.DUMMYFUNCTION("IFERROR(REGEXEXTRACT(A168, ""res(269|122)""), ""none"")"),"269")</f>
        <v>269</v>
      </c>
      <c r="F168" s="1">
        <v>-16.983006</v>
      </c>
      <c r="G168" s="1">
        <v>12.0</v>
      </c>
      <c r="H168" s="1">
        <v>5.0</v>
      </c>
      <c r="I168" s="1">
        <v>0.25</v>
      </c>
      <c r="J168" s="1">
        <v>2.0</v>
      </c>
      <c r="K168" s="1">
        <v>-0.69205</v>
      </c>
      <c r="L168" s="1">
        <v>100.0</v>
      </c>
      <c r="M168" s="1">
        <v>0.0</v>
      </c>
      <c r="N168" s="1">
        <v>0.0</v>
      </c>
      <c r="O168" s="1">
        <v>101.574944</v>
      </c>
    </row>
    <row r="169">
      <c r="A169" s="1" t="s">
        <v>636</v>
      </c>
      <c r="B169" s="1" t="s">
        <v>637</v>
      </c>
      <c r="C169" s="5"/>
      <c r="D169" s="5"/>
      <c r="E169" s="1" t="str">
        <f>IFERROR(__xludf.DUMMYFUNCTION("IFERROR(REGEXEXTRACT(A169, ""res(269|122)""), ""none"")"),"269")</f>
        <v>269</v>
      </c>
      <c r="F169" s="1">
        <v>-15.081811</v>
      </c>
      <c r="G169" s="1">
        <v>10.0</v>
      </c>
      <c r="H169" s="1">
        <v>3.0</v>
      </c>
      <c r="I169" s="1">
        <v>0.3</v>
      </c>
      <c r="J169" s="1">
        <v>2.0</v>
      </c>
      <c r="K169" s="1">
        <v>-0.81487</v>
      </c>
      <c r="L169" s="1">
        <v>100.0</v>
      </c>
      <c r="M169" s="1">
        <v>0.0</v>
      </c>
      <c r="N169" s="1">
        <v>0.0</v>
      </c>
      <c r="O169" s="1">
        <v>99.403319</v>
      </c>
    </row>
    <row r="170">
      <c r="A170" s="1" t="s">
        <v>638</v>
      </c>
      <c r="B170" s="1" t="s">
        <v>639</v>
      </c>
      <c r="C170" s="5"/>
      <c r="D170" s="5"/>
      <c r="E170" s="1" t="str">
        <f>IFERROR(__xludf.DUMMYFUNCTION("IFERROR(REGEXEXTRACT(A170, ""res(269|122)""), ""none"")"),"269")</f>
        <v>269</v>
      </c>
      <c r="F170" s="1">
        <v>-15.039533</v>
      </c>
      <c r="G170" s="1">
        <v>11.0</v>
      </c>
      <c r="H170" s="1">
        <v>2.0</v>
      </c>
      <c r="I170" s="1">
        <v>0.272727</v>
      </c>
      <c r="J170" s="1">
        <v>2.0</v>
      </c>
      <c r="K170" s="1">
        <v>-0.298395</v>
      </c>
      <c r="L170" s="1">
        <v>100.0</v>
      </c>
      <c r="M170" s="1">
        <v>0.0</v>
      </c>
      <c r="N170" s="1">
        <v>0.0</v>
      </c>
      <c r="O170" s="1">
        <v>99.934799</v>
      </c>
    </row>
    <row r="171">
      <c r="A171" s="1" t="s">
        <v>640</v>
      </c>
      <c r="B171" s="1" t="s">
        <v>641</v>
      </c>
      <c r="C171" s="5"/>
      <c r="D171" s="5"/>
      <c r="E171" s="1" t="str">
        <f>IFERROR(__xludf.DUMMYFUNCTION("IFERROR(REGEXEXTRACT(A171, ""res(269|122)""), ""none"")"),"269")</f>
        <v>269</v>
      </c>
      <c r="F171" s="1">
        <v>-16.102788</v>
      </c>
      <c r="G171" s="1">
        <v>7.0</v>
      </c>
      <c r="H171" s="1">
        <v>4.0</v>
      </c>
      <c r="I171" s="1">
        <v>0.285714</v>
      </c>
      <c r="J171" s="1">
        <v>2.0</v>
      </c>
      <c r="K171" s="1">
        <v>-0.534735</v>
      </c>
      <c r="L171" s="1">
        <v>100.0</v>
      </c>
      <c r="M171" s="1">
        <v>0.0</v>
      </c>
      <c r="N171" s="1">
        <v>0.0</v>
      </c>
      <c r="O171" s="1">
        <v>96.648191</v>
      </c>
    </row>
    <row r="172">
      <c r="A172" s="1" t="s">
        <v>642</v>
      </c>
      <c r="B172" s="1" t="s">
        <v>643</v>
      </c>
      <c r="C172" s="5"/>
      <c r="D172" s="5"/>
      <c r="E172" s="1" t="str">
        <f>IFERROR(__xludf.DUMMYFUNCTION("IFERROR(REGEXEXTRACT(A172, ""res(269|122)""), ""none"")"),"269")</f>
        <v>269</v>
      </c>
      <c r="F172" s="1">
        <v>-15.730727</v>
      </c>
      <c r="G172" s="1">
        <v>7.0</v>
      </c>
      <c r="H172" s="1">
        <v>3.0</v>
      </c>
      <c r="I172" s="1">
        <v>0.285714</v>
      </c>
      <c r="J172" s="1">
        <v>2.0</v>
      </c>
      <c r="K172" s="1">
        <v>-0.917975</v>
      </c>
      <c r="L172" s="1">
        <v>100.0</v>
      </c>
      <c r="M172" s="1">
        <v>0.0</v>
      </c>
      <c r="N172" s="1">
        <v>0.0</v>
      </c>
      <c r="O172" s="1">
        <v>95.637012</v>
      </c>
    </row>
    <row r="173">
      <c r="A173" s="1" t="s">
        <v>644</v>
      </c>
      <c r="B173" s="1" t="s">
        <v>645</v>
      </c>
      <c r="C173" s="5"/>
      <c r="D173" s="5"/>
      <c r="E173" s="1" t="str">
        <f>IFERROR(__xludf.DUMMYFUNCTION("IFERROR(REGEXEXTRACT(A173, ""res(269|122)""), ""none"")"),"269")</f>
        <v>269</v>
      </c>
      <c r="F173" s="1">
        <v>-18.238756</v>
      </c>
      <c r="G173" s="1">
        <v>11.0</v>
      </c>
      <c r="H173" s="1">
        <v>2.0</v>
      </c>
      <c r="I173" s="1">
        <v>0.363636</v>
      </c>
      <c r="J173" s="1">
        <v>3.0</v>
      </c>
      <c r="K173" s="1">
        <v>-0.437833</v>
      </c>
      <c r="L173" s="1">
        <v>100.0</v>
      </c>
      <c r="M173" s="1">
        <v>0.0</v>
      </c>
      <c r="N173" s="1">
        <v>0.0</v>
      </c>
      <c r="O173" s="1">
        <v>97.687047</v>
      </c>
    </row>
    <row r="174">
      <c r="A174" s="1" t="s">
        <v>361</v>
      </c>
      <c r="B174" s="1" t="s">
        <v>362</v>
      </c>
      <c r="C174" s="5"/>
      <c r="D174" s="5"/>
      <c r="E174" s="1" t="str">
        <f>IFERROR(__xludf.DUMMYFUNCTION("IFERROR(REGEXEXTRACT(A174, ""res(269|122)""), ""none"")"),"269")</f>
        <v>269</v>
      </c>
      <c r="F174" s="1">
        <v>-15.529597</v>
      </c>
      <c r="G174" s="1">
        <v>9.0</v>
      </c>
      <c r="H174" s="1">
        <v>2.0</v>
      </c>
      <c r="I174" s="1">
        <v>0.444444</v>
      </c>
      <c r="J174" s="1">
        <v>2.0</v>
      </c>
      <c r="K174" s="1">
        <v>-0.986909</v>
      </c>
      <c r="L174" s="1">
        <v>100.0</v>
      </c>
      <c r="M174" s="1">
        <v>0.0</v>
      </c>
      <c r="N174" s="1">
        <v>0.0</v>
      </c>
      <c r="O174" s="1">
        <v>96.927938</v>
      </c>
    </row>
    <row r="175">
      <c r="A175" s="1" t="s">
        <v>646</v>
      </c>
      <c r="B175" s="1" t="s">
        <v>647</v>
      </c>
      <c r="C175" s="5"/>
      <c r="D175" s="5"/>
      <c r="E175" s="1" t="str">
        <f>IFERROR(__xludf.DUMMYFUNCTION("IFERROR(REGEXEXTRACT(A175, ""res(269|122)""), ""none"")"),"269")</f>
        <v>269</v>
      </c>
      <c r="F175" s="1">
        <v>-15.250452</v>
      </c>
      <c r="G175" s="1">
        <v>10.0</v>
      </c>
      <c r="H175" s="1">
        <v>5.0</v>
      </c>
      <c r="I175" s="1">
        <v>0.6</v>
      </c>
      <c r="J175" s="1">
        <v>2.0</v>
      </c>
      <c r="K175" s="1">
        <v>-0.981478</v>
      </c>
      <c r="L175" s="1">
        <v>100.0</v>
      </c>
      <c r="M175" s="1">
        <v>0.0</v>
      </c>
      <c r="N175" s="1">
        <v>0.0</v>
      </c>
      <c r="O175" s="1">
        <v>101.36807</v>
      </c>
    </row>
    <row r="176">
      <c r="A176" s="1" t="s">
        <v>363</v>
      </c>
      <c r="B176" s="1" t="s">
        <v>364</v>
      </c>
      <c r="C176" s="5"/>
      <c r="D176" s="5"/>
      <c r="E176" s="1" t="str">
        <f>IFERROR(__xludf.DUMMYFUNCTION("IFERROR(REGEXEXTRACT(A176, ""res(269|122)""), ""none"")"),"269")</f>
        <v>269</v>
      </c>
      <c r="F176" s="1">
        <v>-16.175959</v>
      </c>
      <c r="G176" s="1">
        <v>9.0</v>
      </c>
      <c r="H176" s="1">
        <v>3.0</v>
      </c>
      <c r="I176" s="1">
        <v>0.333333</v>
      </c>
      <c r="J176" s="1">
        <v>2.0</v>
      </c>
      <c r="K176" s="1">
        <v>-0.314357</v>
      </c>
      <c r="L176" s="1">
        <v>100.0</v>
      </c>
      <c r="M176" s="1">
        <v>0.0</v>
      </c>
      <c r="N176" s="1">
        <v>0.0</v>
      </c>
      <c r="O176" s="1">
        <v>97.843017</v>
      </c>
    </row>
    <row r="177">
      <c r="A177" s="1" t="s">
        <v>648</v>
      </c>
      <c r="B177" s="1" t="s">
        <v>649</v>
      </c>
      <c r="C177" s="5"/>
      <c r="D177" s="5"/>
      <c r="E177" s="1" t="str">
        <f>IFERROR(__xludf.DUMMYFUNCTION("IFERROR(REGEXEXTRACT(A177, ""res(269|122)""), ""none"")"),"269")</f>
        <v>269</v>
      </c>
      <c r="F177" s="1">
        <v>-16.232479</v>
      </c>
      <c r="G177" s="1">
        <v>9.0</v>
      </c>
      <c r="H177" s="1">
        <v>2.0</v>
      </c>
      <c r="I177" s="1">
        <v>0.333333</v>
      </c>
      <c r="J177" s="1">
        <v>2.0</v>
      </c>
      <c r="K177" s="1">
        <v>-0.871795</v>
      </c>
      <c r="L177" s="1">
        <v>100.0</v>
      </c>
      <c r="M177" s="1">
        <v>0.0</v>
      </c>
      <c r="N177" s="1">
        <v>0.0</v>
      </c>
      <c r="O177" s="1">
        <v>96.229059</v>
      </c>
    </row>
    <row r="178">
      <c r="A178" s="1" t="s">
        <v>365</v>
      </c>
      <c r="B178" s="1" t="s">
        <v>366</v>
      </c>
      <c r="C178" s="5"/>
      <c r="D178" s="5"/>
      <c r="E178" s="1" t="str">
        <f>IFERROR(__xludf.DUMMYFUNCTION("IFERROR(REGEXEXTRACT(A178, ""res(269|122)""), ""none"")"),"269")</f>
        <v>269</v>
      </c>
      <c r="F178" s="1">
        <v>-17.343073</v>
      </c>
      <c r="G178" s="1">
        <v>7.0</v>
      </c>
      <c r="H178" s="1">
        <v>2.0</v>
      </c>
      <c r="I178" s="1">
        <v>0.285714</v>
      </c>
      <c r="J178" s="1">
        <v>2.0</v>
      </c>
      <c r="K178" s="1">
        <v>-0.812617</v>
      </c>
      <c r="L178" s="1">
        <v>100.0</v>
      </c>
      <c r="M178" s="1">
        <v>0.0</v>
      </c>
      <c r="N178" s="1">
        <v>0.0</v>
      </c>
      <c r="O178" s="1">
        <v>93.130024</v>
      </c>
    </row>
    <row r="179">
      <c r="A179" s="1" t="s">
        <v>650</v>
      </c>
      <c r="B179" s="1" t="s">
        <v>651</v>
      </c>
      <c r="C179" s="5"/>
      <c r="D179" s="5"/>
      <c r="E179" s="1" t="str">
        <f>IFERROR(__xludf.DUMMYFUNCTION("IFERROR(REGEXEXTRACT(A179, ""res(269|122)""), ""none"")"),"269")</f>
        <v>269</v>
      </c>
      <c r="F179" s="1">
        <v>-15.101642</v>
      </c>
      <c r="G179" s="1">
        <v>8.0</v>
      </c>
      <c r="H179" s="1">
        <v>3.0</v>
      </c>
      <c r="I179" s="1">
        <v>0.25</v>
      </c>
      <c r="J179" s="1">
        <v>2.0</v>
      </c>
      <c r="K179" s="1">
        <v>-0.759632</v>
      </c>
      <c r="L179" s="1">
        <v>100.0</v>
      </c>
      <c r="M179" s="1">
        <v>0.0</v>
      </c>
      <c r="N179" s="1">
        <v>0.0</v>
      </c>
      <c r="O179" s="1">
        <v>97.388726</v>
      </c>
    </row>
    <row r="180">
      <c r="A180" s="1" t="s">
        <v>652</v>
      </c>
      <c r="B180" s="1" t="s">
        <v>653</v>
      </c>
      <c r="C180" s="5"/>
      <c r="D180" s="5"/>
      <c r="E180" s="1" t="str">
        <f>IFERROR(__xludf.DUMMYFUNCTION("IFERROR(REGEXEXTRACT(A180, ""res(269|122)""), ""none"")"),"269")</f>
        <v>269</v>
      </c>
      <c r="F180" s="1">
        <v>-17.123586</v>
      </c>
      <c r="G180" s="1">
        <v>8.0</v>
      </c>
      <c r="H180" s="1">
        <v>2.0</v>
      </c>
      <c r="I180" s="1">
        <v>0.375</v>
      </c>
      <c r="J180" s="1">
        <v>2.0</v>
      </c>
      <c r="K180" s="1">
        <v>-1.047168</v>
      </c>
      <c r="L180" s="1">
        <v>100.0</v>
      </c>
      <c r="M180" s="1">
        <v>0.0</v>
      </c>
      <c r="N180" s="1">
        <v>0.0</v>
      </c>
      <c r="O180" s="1">
        <v>94.204246</v>
      </c>
    </row>
    <row r="181">
      <c r="A181" s="1" t="s">
        <v>654</v>
      </c>
      <c r="B181" s="1" t="s">
        <v>655</v>
      </c>
      <c r="C181" s="5"/>
      <c r="D181" s="5"/>
      <c r="E181" s="1" t="str">
        <f>IFERROR(__xludf.DUMMYFUNCTION("IFERROR(REGEXEXTRACT(A181, ""res(269|122)""), ""none"")"),"269")</f>
        <v>269</v>
      </c>
      <c r="F181" s="1">
        <v>-15.116665</v>
      </c>
      <c r="G181" s="1">
        <v>8.0</v>
      </c>
      <c r="H181" s="1">
        <v>2.0</v>
      </c>
      <c r="I181" s="1">
        <v>0.25</v>
      </c>
      <c r="J181" s="1">
        <v>2.0</v>
      </c>
      <c r="K181" s="1">
        <v>-1.150909</v>
      </c>
      <c r="L181" s="1">
        <v>100.0</v>
      </c>
      <c r="M181" s="1">
        <v>0.0</v>
      </c>
      <c r="N181" s="1">
        <v>0.0</v>
      </c>
      <c r="O181" s="1">
        <v>95.982426</v>
      </c>
    </row>
    <row r="182">
      <c r="A182" s="1" t="s">
        <v>656</v>
      </c>
      <c r="B182" s="1" t="s">
        <v>657</v>
      </c>
      <c r="C182" s="5"/>
      <c r="D182" s="5"/>
      <c r="E182" s="1" t="str">
        <f>IFERROR(__xludf.DUMMYFUNCTION("IFERROR(REGEXEXTRACT(A182, ""res(269|122)""), ""none"")"),"269")</f>
        <v>269</v>
      </c>
      <c r="F182" s="1">
        <v>-15.353643</v>
      </c>
      <c r="G182" s="1">
        <v>9.0</v>
      </c>
      <c r="H182" s="1">
        <v>1.0</v>
      </c>
      <c r="I182" s="1">
        <v>0.333333</v>
      </c>
      <c r="J182" s="1">
        <v>2.0</v>
      </c>
      <c r="K182" s="1">
        <v>-1.274051</v>
      </c>
      <c r="L182" s="1">
        <v>100.0</v>
      </c>
      <c r="M182" s="1">
        <v>0.0</v>
      </c>
      <c r="N182" s="1">
        <v>0.0</v>
      </c>
      <c r="O182" s="1">
        <v>95.705639</v>
      </c>
    </row>
    <row r="183">
      <c r="A183" s="1" t="s">
        <v>658</v>
      </c>
      <c r="B183" s="1" t="s">
        <v>659</v>
      </c>
      <c r="C183" s="5"/>
      <c r="D183" s="5"/>
      <c r="E183" s="1" t="str">
        <f>IFERROR(__xludf.DUMMYFUNCTION("IFERROR(REGEXEXTRACT(A183, ""res(269|122)""), ""none"")"),"269")</f>
        <v>269</v>
      </c>
      <c r="F183" s="1">
        <v>-16.125849</v>
      </c>
      <c r="G183" s="1">
        <v>7.0</v>
      </c>
      <c r="H183" s="1">
        <v>4.0</v>
      </c>
      <c r="I183" s="1">
        <v>0.428571</v>
      </c>
      <c r="J183" s="1">
        <v>2.0</v>
      </c>
      <c r="K183" s="1">
        <v>-0.665465</v>
      </c>
      <c r="L183" s="1">
        <v>100.0</v>
      </c>
      <c r="M183" s="1">
        <v>0.0</v>
      </c>
      <c r="N183" s="1">
        <v>0.0</v>
      </c>
      <c r="O183" s="1">
        <v>96.637257</v>
      </c>
    </row>
    <row r="184">
      <c r="A184" s="1" t="s">
        <v>660</v>
      </c>
      <c r="B184" s="1" t="s">
        <v>661</v>
      </c>
      <c r="C184" s="5"/>
      <c r="D184" s="5"/>
      <c r="E184" s="1" t="str">
        <f>IFERROR(__xludf.DUMMYFUNCTION("IFERROR(REGEXEXTRACT(A184, ""res(269|122)""), ""none"")"),"269")</f>
        <v>269</v>
      </c>
      <c r="F184" s="1">
        <v>-16.253947</v>
      </c>
      <c r="G184" s="1">
        <v>7.0</v>
      </c>
      <c r="H184" s="1">
        <v>4.0</v>
      </c>
      <c r="I184" s="1">
        <v>0.285714</v>
      </c>
      <c r="J184" s="1">
        <v>2.0</v>
      </c>
      <c r="K184" s="1">
        <v>-0.635597</v>
      </c>
      <c r="L184" s="1">
        <v>100.0</v>
      </c>
      <c r="M184" s="1">
        <v>0.0</v>
      </c>
      <c r="N184" s="1">
        <v>0.0</v>
      </c>
      <c r="O184" s="1">
        <v>96.39617</v>
      </c>
    </row>
    <row r="185">
      <c r="A185" s="1" t="s">
        <v>662</v>
      </c>
      <c r="B185" s="1" t="s">
        <v>663</v>
      </c>
      <c r="C185" s="5"/>
      <c r="D185" s="5"/>
      <c r="E185" s="1" t="str">
        <f>IFERROR(__xludf.DUMMYFUNCTION("IFERROR(REGEXEXTRACT(A185, ""res(269|122)""), ""none"")"),"269")</f>
        <v>269</v>
      </c>
      <c r="F185" s="1">
        <v>-15.462274</v>
      </c>
      <c r="G185" s="1">
        <v>8.0</v>
      </c>
      <c r="H185" s="1">
        <v>3.0</v>
      </c>
      <c r="I185" s="1">
        <v>0.25</v>
      </c>
      <c r="J185" s="1">
        <v>2.0</v>
      </c>
      <c r="K185" s="1">
        <v>-0.696577</v>
      </c>
      <c r="L185" s="1">
        <v>100.0</v>
      </c>
      <c r="M185" s="1">
        <v>0.0</v>
      </c>
      <c r="N185" s="1">
        <v>0.0</v>
      </c>
      <c r="O185" s="1">
        <v>97.091149</v>
      </c>
    </row>
    <row r="186">
      <c r="A186" s="1" t="s">
        <v>367</v>
      </c>
      <c r="B186" s="1" t="s">
        <v>368</v>
      </c>
      <c r="C186" s="5"/>
      <c r="D186" s="5"/>
      <c r="E186" s="1" t="str">
        <f>IFERROR(__xludf.DUMMYFUNCTION("IFERROR(REGEXEXTRACT(A186, ""res(269|122)""), ""none"")"),"269")</f>
        <v>269</v>
      </c>
      <c r="F186" s="1">
        <v>-15.840535</v>
      </c>
      <c r="G186" s="1">
        <v>8.0</v>
      </c>
      <c r="H186" s="1">
        <v>3.0</v>
      </c>
      <c r="I186" s="1">
        <v>0.25</v>
      </c>
      <c r="J186" s="1">
        <v>2.0</v>
      </c>
      <c r="K186" s="1">
        <v>-1.102898</v>
      </c>
      <c r="L186" s="1">
        <v>100.0</v>
      </c>
      <c r="M186" s="1">
        <v>0.0</v>
      </c>
      <c r="N186" s="1">
        <v>0.0</v>
      </c>
      <c r="O186" s="1">
        <v>96.306567</v>
      </c>
    </row>
    <row r="187">
      <c r="A187" s="1" t="s">
        <v>664</v>
      </c>
      <c r="B187" s="1" t="s">
        <v>665</v>
      </c>
      <c r="C187" s="5"/>
      <c r="D187" s="5"/>
      <c r="E187" s="1" t="str">
        <f>IFERROR(__xludf.DUMMYFUNCTION("IFERROR(REGEXEXTRACT(A187, ""res(269|122)""), ""none"")"),"269")</f>
        <v>269</v>
      </c>
      <c r="F187" s="1">
        <v>-16.40512</v>
      </c>
      <c r="G187" s="1">
        <v>7.0</v>
      </c>
      <c r="H187" s="1">
        <v>3.0</v>
      </c>
      <c r="I187" s="1">
        <v>0.428571</v>
      </c>
      <c r="J187" s="1">
        <v>2.0</v>
      </c>
      <c r="K187" s="1">
        <v>-0.666266999999999</v>
      </c>
      <c r="L187" s="1">
        <v>100.0</v>
      </c>
      <c r="M187" s="1">
        <v>0.0</v>
      </c>
      <c r="N187" s="1">
        <v>0.0</v>
      </c>
      <c r="O187" s="1">
        <v>95.357184</v>
      </c>
    </row>
    <row r="188">
      <c r="A188" s="1" t="s">
        <v>666</v>
      </c>
      <c r="B188" s="1" t="s">
        <v>667</v>
      </c>
      <c r="C188" s="5"/>
      <c r="D188" s="5"/>
      <c r="E188" s="1" t="str">
        <f>IFERROR(__xludf.DUMMYFUNCTION("IFERROR(REGEXEXTRACT(A188, ""res(269|122)""), ""none"")"),"269")</f>
        <v>269</v>
      </c>
      <c r="F188" s="1">
        <v>-17.584245</v>
      </c>
      <c r="G188" s="1">
        <v>9.0</v>
      </c>
      <c r="H188" s="1">
        <v>3.0</v>
      </c>
      <c r="I188" s="1">
        <v>0.333333</v>
      </c>
      <c r="J188" s="1">
        <v>2.0</v>
      </c>
      <c r="K188" s="1">
        <v>-0.939133</v>
      </c>
      <c r="L188" s="1">
        <v>100.0</v>
      </c>
      <c r="M188" s="1">
        <v>0.0</v>
      </c>
      <c r="N188" s="1">
        <v>0.0</v>
      </c>
      <c r="O188" s="1">
        <v>95.809955</v>
      </c>
    </row>
    <row r="189">
      <c r="A189" s="1" t="s">
        <v>668</v>
      </c>
      <c r="B189" s="1" t="s">
        <v>669</v>
      </c>
      <c r="C189" s="5"/>
      <c r="D189" s="5"/>
      <c r="E189" s="1" t="str">
        <f>IFERROR(__xludf.DUMMYFUNCTION("IFERROR(REGEXEXTRACT(A189, ""res(269|122)""), ""none"")"),"269")</f>
        <v>269</v>
      </c>
      <c r="F189" s="1">
        <v>-16.176007</v>
      </c>
      <c r="G189" s="1">
        <v>7.0</v>
      </c>
      <c r="H189" s="1">
        <v>3.0</v>
      </c>
      <c r="I189" s="1">
        <v>0.285714</v>
      </c>
      <c r="J189" s="1">
        <v>2.0</v>
      </c>
      <c r="K189" s="1">
        <v>-1.054648</v>
      </c>
      <c r="L189" s="1">
        <v>100.0</v>
      </c>
      <c r="M189" s="1">
        <v>0.0</v>
      </c>
      <c r="N189" s="1">
        <v>0.0</v>
      </c>
      <c r="O189" s="1">
        <v>95.055059</v>
      </c>
    </row>
    <row r="190">
      <c r="A190" s="1" t="s">
        <v>670</v>
      </c>
      <c r="B190" s="1" t="s">
        <v>671</v>
      </c>
      <c r="C190" s="5"/>
      <c r="D190" s="5"/>
      <c r="E190" s="1" t="str">
        <f>IFERROR(__xludf.DUMMYFUNCTION("IFERROR(REGEXEXTRACT(A190, ""res(269|122)""), ""none"")"),"269")</f>
        <v>269</v>
      </c>
      <c r="F190" s="1">
        <v>-16.225543</v>
      </c>
      <c r="G190" s="1">
        <v>7.0</v>
      </c>
      <c r="H190" s="1">
        <v>2.0</v>
      </c>
      <c r="I190" s="1">
        <v>0.428571</v>
      </c>
      <c r="J190" s="1">
        <v>2.0</v>
      </c>
      <c r="K190" s="1">
        <v>-0.484107</v>
      </c>
      <c r="L190" s="1">
        <v>100.0</v>
      </c>
      <c r="M190" s="1">
        <v>0.0</v>
      </c>
      <c r="N190" s="1">
        <v>0.0</v>
      </c>
      <c r="O190" s="1">
        <v>94.718921</v>
      </c>
    </row>
    <row r="191">
      <c r="A191" s="1" t="s">
        <v>369</v>
      </c>
      <c r="B191" s="1" t="s">
        <v>370</v>
      </c>
      <c r="C191" s="5"/>
      <c r="D191" s="5"/>
      <c r="E191" s="1" t="str">
        <f>IFERROR(__xludf.DUMMYFUNCTION("IFERROR(REGEXEXTRACT(A191, ""res(269|122)""), ""none"")"),"269")</f>
        <v>269</v>
      </c>
      <c r="F191" s="1">
        <v>-15.34511</v>
      </c>
      <c r="G191" s="1">
        <v>6.0</v>
      </c>
      <c r="H191" s="1">
        <v>3.0</v>
      </c>
      <c r="I191" s="1">
        <v>0.333333</v>
      </c>
      <c r="J191" s="1">
        <v>2.0</v>
      </c>
      <c r="K191" s="1">
        <v>-0.649549</v>
      </c>
      <c r="L191" s="1">
        <v>100.0</v>
      </c>
      <c r="M191" s="1">
        <v>0.0</v>
      </c>
      <c r="N191" s="1">
        <v>0.0</v>
      </c>
      <c r="O191" s="1">
        <v>95.338674</v>
      </c>
    </row>
    <row r="192">
      <c r="A192" s="1" t="s">
        <v>672</v>
      </c>
      <c r="B192" s="1" t="s">
        <v>673</v>
      </c>
      <c r="C192" s="5"/>
      <c r="D192" s="5"/>
      <c r="E192" s="1" t="str">
        <f>IFERROR(__xludf.DUMMYFUNCTION("IFERROR(REGEXEXTRACT(A192, ""res(269|122)""), ""none"")"),"269")</f>
        <v>269</v>
      </c>
      <c r="F192" s="1">
        <v>-15.045702</v>
      </c>
      <c r="G192" s="1">
        <v>7.0</v>
      </c>
      <c r="H192" s="1">
        <v>2.0</v>
      </c>
      <c r="I192" s="1">
        <v>0.428571</v>
      </c>
      <c r="J192" s="1">
        <v>2.0</v>
      </c>
      <c r="K192" s="1">
        <v>-0.145764</v>
      </c>
      <c r="L192" s="1">
        <v>100.0</v>
      </c>
      <c r="M192" s="1">
        <v>0.0</v>
      </c>
      <c r="N192" s="1">
        <v>0.0</v>
      </c>
      <c r="O192" s="1">
        <v>96.237105</v>
      </c>
    </row>
    <row r="193">
      <c r="A193" s="1" t="s">
        <v>674</v>
      </c>
      <c r="B193" s="1" t="s">
        <v>675</v>
      </c>
      <c r="C193" s="5"/>
      <c r="D193" s="5"/>
      <c r="E193" s="1" t="str">
        <f>IFERROR(__xludf.DUMMYFUNCTION("IFERROR(REGEXEXTRACT(A193, ""res(269|122)""), ""none"")"),"269")</f>
        <v>269</v>
      </c>
      <c r="F193" s="1">
        <v>-15.974714</v>
      </c>
      <c r="G193" s="1">
        <v>8.0</v>
      </c>
      <c r="H193" s="1">
        <v>3.0</v>
      </c>
      <c r="I193" s="1">
        <v>0.75</v>
      </c>
      <c r="J193" s="1">
        <v>2.0</v>
      </c>
      <c r="K193" s="1">
        <v>-1.016178</v>
      </c>
      <c r="L193" s="1">
        <v>100.0</v>
      </c>
      <c r="M193" s="1">
        <v>0.0</v>
      </c>
      <c r="N193" s="1">
        <v>0.0</v>
      </c>
      <c r="O193" s="1">
        <v>96.759108</v>
      </c>
    </row>
    <row r="194">
      <c r="A194" s="1" t="s">
        <v>676</v>
      </c>
      <c r="B194" s="1" t="s">
        <v>677</v>
      </c>
      <c r="C194" s="5"/>
      <c r="D194" s="5"/>
      <c r="E194" s="1" t="str">
        <f>IFERROR(__xludf.DUMMYFUNCTION("IFERROR(REGEXEXTRACT(A194, ""res(269|122)""), ""none"")"),"269")</f>
        <v>269</v>
      </c>
      <c r="F194" s="1">
        <v>-16.160059</v>
      </c>
      <c r="G194" s="1">
        <v>8.0</v>
      </c>
      <c r="H194" s="1">
        <v>4.0</v>
      </c>
      <c r="I194" s="1">
        <v>0.25</v>
      </c>
      <c r="J194" s="1">
        <v>2.0</v>
      </c>
      <c r="K194" s="1">
        <v>-0.878462</v>
      </c>
      <c r="L194" s="1">
        <v>100.0</v>
      </c>
      <c r="M194" s="1">
        <v>0.0</v>
      </c>
      <c r="N194" s="1">
        <v>0.0</v>
      </c>
      <c r="O194" s="1">
        <v>97.211479</v>
      </c>
    </row>
    <row r="195">
      <c r="A195" s="1" t="s">
        <v>371</v>
      </c>
      <c r="B195" s="1" t="s">
        <v>372</v>
      </c>
      <c r="C195" s="5"/>
      <c r="D195" s="5"/>
      <c r="E195" s="1" t="str">
        <f>IFERROR(__xludf.DUMMYFUNCTION("IFERROR(REGEXEXTRACT(A195, ""res(269|122)""), ""none"")"),"269")</f>
        <v>269</v>
      </c>
      <c r="F195" s="1">
        <v>-15.869256</v>
      </c>
      <c r="G195" s="1">
        <v>7.0</v>
      </c>
      <c r="H195" s="1">
        <v>2.0</v>
      </c>
      <c r="I195" s="1">
        <v>0.428571</v>
      </c>
      <c r="J195" s="1">
        <v>3.0</v>
      </c>
      <c r="K195" s="1">
        <v>-2.176816</v>
      </c>
      <c r="L195" s="1">
        <v>100.0</v>
      </c>
      <c r="M195" s="1">
        <v>0.0</v>
      </c>
      <c r="N195" s="1">
        <v>0.0</v>
      </c>
      <c r="O195" s="1">
        <v>94.382499</v>
      </c>
    </row>
    <row r="196">
      <c r="A196" s="1" t="s">
        <v>678</v>
      </c>
      <c r="B196" s="1" t="s">
        <v>679</v>
      </c>
      <c r="C196" s="5"/>
      <c r="D196" s="5"/>
      <c r="E196" s="1" t="str">
        <f>IFERROR(__xludf.DUMMYFUNCTION("IFERROR(REGEXEXTRACT(A196, ""res(269|122)""), ""none"")"),"269")</f>
        <v>269</v>
      </c>
      <c r="F196" s="1">
        <v>-18.272222</v>
      </c>
      <c r="G196" s="1">
        <v>10.0</v>
      </c>
      <c r="H196" s="1">
        <v>5.0</v>
      </c>
      <c r="I196" s="1">
        <v>0.3</v>
      </c>
      <c r="J196" s="1">
        <v>2.0</v>
      </c>
      <c r="K196" s="1">
        <v>-0.405121</v>
      </c>
      <c r="L196" s="1">
        <v>100.0</v>
      </c>
      <c r="M196" s="1">
        <v>0.0</v>
      </c>
      <c r="N196" s="1">
        <v>0.0</v>
      </c>
      <c r="O196" s="1">
        <v>98.622657</v>
      </c>
    </row>
    <row r="197">
      <c r="A197" s="1" t="s">
        <v>680</v>
      </c>
      <c r="B197" s="1" t="s">
        <v>681</v>
      </c>
      <c r="C197" s="5"/>
      <c r="D197" s="5"/>
      <c r="E197" s="1" t="str">
        <f>IFERROR(__xludf.DUMMYFUNCTION("IFERROR(REGEXEXTRACT(A197, ""res(269|122)""), ""none"")"),"269")</f>
        <v>269</v>
      </c>
      <c r="F197" s="1">
        <v>-15.01485</v>
      </c>
      <c r="G197" s="1">
        <v>10.0</v>
      </c>
      <c r="H197" s="1">
        <v>2.0</v>
      </c>
      <c r="I197" s="1">
        <v>0.3</v>
      </c>
      <c r="J197" s="1">
        <v>2.0</v>
      </c>
      <c r="K197" s="1">
        <v>-1.104749</v>
      </c>
      <c r="L197" s="1">
        <v>100.0</v>
      </c>
      <c r="M197" s="1">
        <v>0.0</v>
      </c>
      <c r="N197" s="1">
        <v>0.0</v>
      </c>
      <c r="O197" s="1">
        <v>98.180401</v>
      </c>
    </row>
    <row r="198">
      <c r="A198" s="1" t="s">
        <v>682</v>
      </c>
      <c r="B198" s="1" t="s">
        <v>683</v>
      </c>
      <c r="C198" s="5"/>
      <c r="D198" s="5"/>
      <c r="E198" s="1" t="str">
        <f>IFERROR(__xludf.DUMMYFUNCTION("IFERROR(REGEXEXTRACT(A198, ""res(269|122)""), ""none"")"),"269")</f>
        <v>269</v>
      </c>
      <c r="F198" s="1">
        <v>-15.989297</v>
      </c>
      <c r="G198" s="1">
        <v>11.0</v>
      </c>
      <c r="H198" s="1">
        <v>5.0</v>
      </c>
      <c r="I198" s="1">
        <v>0.272727</v>
      </c>
      <c r="J198" s="1">
        <v>2.0</v>
      </c>
      <c r="K198" s="1">
        <v>-1.369641</v>
      </c>
      <c r="L198" s="1">
        <v>100.0</v>
      </c>
      <c r="M198" s="1">
        <v>0.0</v>
      </c>
      <c r="N198" s="1">
        <v>0.0</v>
      </c>
      <c r="O198" s="1">
        <v>100.913789</v>
      </c>
    </row>
    <row r="199">
      <c r="A199" s="1" t="s">
        <v>684</v>
      </c>
      <c r="B199" s="1" t="s">
        <v>685</v>
      </c>
      <c r="C199" s="5"/>
      <c r="D199" s="5"/>
      <c r="E199" s="1" t="str">
        <f>IFERROR(__xludf.DUMMYFUNCTION("IFERROR(REGEXEXTRACT(A199, ""res(269|122)""), ""none"")"),"269")</f>
        <v>269</v>
      </c>
      <c r="F199" s="1">
        <v>-15.306522</v>
      </c>
      <c r="G199" s="1">
        <v>6.0</v>
      </c>
      <c r="H199" s="1">
        <v>3.0</v>
      </c>
      <c r="I199" s="1">
        <v>0.333333</v>
      </c>
      <c r="J199" s="1">
        <v>2.0</v>
      </c>
      <c r="K199" s="1">
        <v>-0.742594</v>
      </c>
      <c r="L199" s="1">
        <v>100.0</v>
      </c>
      <c r="M199" s="1">
        <v>0.0</v>
      </c>
      <c r="N199" s="1">
        <v>0.0</v>
      </c>
      <c r="O199" s="1">
        <v>95.284217</v>
      </c>
    </row>
    <row r="200">
      <c r="A200" s="1" t="s">
        <v>686</v>
      </c>
      <c r="B200" s="1" t="s">
        <v>687</v>
      </c>
      <c r="C200" s="5"/>
      <c r="D200" s="5"/>
      <c r="E200" s="1" t="str">
        <f>IFERROR(__xludf.DUMMYFUNCTION("IFERROR(REGEXEXTRACT(A200, ""res(269|122)""), ""none"")"),"269")</f>
        <v>269</v>
      </c>
      <c r="F200" s="1">
        <v>-15.475451</v>
      </c>
      <c r="G200" s="1">
        <v>7.0</v>
      </c>
      <c r="H200" s="1">
        <v>3.0</v>
      </c>
      <c r="I200" s="1">
        <v>0.285714</v>
      </c>
      <c r="J200" s="1">
        <v>2.0</v>
      </c>
      <c r="K200" s="1">
        <v>-0.691715</v>
      </c>
      <c r="L200" s="1">
        <v>100.0</v>
      </c>
      <c r="M200" s="1">
        <v>0.0</v>
      </c>
      <c r="N200" s="1">
        <v>0.0</v>
      </c>
      <c r="O200" s="1">
        <v>96.118548</v>
      </c>
    </row>
    <row r="201">
      <c r="A201" s="1" t="s">
        <v>688</v>
      </c>
      <c r="B201" s="1" t="s">
        <v>689</v>
      </c>
      <c r="C201" s="5"/>
      <c r="D201" s="5"/>
      <c r="E201" s="1" t="str">
        <f>IFERROR(__xludf.DUMMYFUNCTION("IFERROR(REGEXEXTRACT(A201, ""res(269|122)""), ""none"")"),"269")</f>
        <v>269</v>
      </c>
      <c r="F201" s="1">
        <v>-15.264499</v>
      </c>
      <c r="G201" s="1">
        <v>8.0</v>
      </c>
      <c r="H201" s="1">
        <v>4.0</v>
      </c>
      <c r="I201" s="1">
        <v>0.25</v>
      </c>
      <c r="J201" s="1">
        <v>3.0</v>
      </c>
      <c r="K201" s="1">
        <v>-2.824081</v>
      </c>
      <c r="L201" s="1">
        <v>100.0</v>
      </c>
      <c r="M201" s="1">
        <v>0.0</v>
      </c>
      <c r="N201" s="1">
        <v>0.0</v>
      </c>
      <c r="O201" s="1">
        <v>97.16142</v>
      </c>
    </row>
    <row r="202">
      <c r="A202" s="1" t="s">
        <v>690</v>
      </c>
      <c r="B202" s="1" t="s">
        <v>691</v>
      </c>
      <c r="C202" s="5"/>
      <c r="D202" s="5"/>
      <c r="E202" s="1" t="str">
        <f>IFERROR(__xludf.DUMMYFUNCTION("IFERROR(REGEXEXTRACT(A202, ""res(269|122)""), ""none"")"),"269")</f>
        <v>269</v>
      </c>
      <c r="F202" s="1">
        <v>-17.916145</v>
      </c>
      <c r="G202" s="1">
        <v>7.0</v>
      </c>
      <c r="H202" s="1">
        <v>3.0</v>
      </c>
      <c r="I202" s="1">
        <v>0.285714</v>
      </c>
      <c r="J202" s="1">
        <v>2.0</v>
      </c>
      <c r="K202" s="1">
        <v>-0.498345</v>
      </c>
      <c r="L202" s="1">
        <v>100.0</v>
      </c>
      <c r="M202" s="1">
        <v>0.0</v>
      </c>
      <c r="N202" s="1">
        <v>0.0</v>
      </c>
      <c r="O202" s="1">
        <v>93.871224</v>
      </c>
    </row>
    <row r="203">
      <c r="A203" s="1" t="s">
        <v>692</v>
      </c>
      <c r="B203" s="1" t="s">
        <v>693</v>
      </c>
      <c r="C203" s="5"/>
      <c r="D203" s="5"/>
      <c r="E203" s="1" t="str">
        <f>IFERROR(__xludf.DUMMYFUNCTION("IFERROR(REGEXEXTRACT(A203, ""res(269|122)""), ""none"")"),"269")</f>
        <v>269</v>
      </c>
      <c r="F203" s="1">
        <v>-17.862429</v>
      </c>
      <c r="G203" s="1">
        <v>7.0</v>
      </c>
      <c r="H203" s="1">
        <v>2.0</v>
      </c>
      <c r="I203" s="1">
        <v>0.428571</v>
      </c>
      <c r="J203" s="1">
        <v>2.0</v>
      </c>
      <c r="K203" s="1">
        <v>-1.010229</v>
      </c>
      <c r="L203" s="1">
        <v>100.0</v>
      </c>
      <c r="M203" s="1">
        <v>0.0</v>
      </c>
      <c r="N203" s="1">
        <v>0.0</v>
      </c>
      <c r="O203" s="1">
        <v>92.555913</v>
      </c>
    </row>
    <row r="204">
      <c r="A204" s="1" t="s">
        <v>694</v>
      </c>
      <c r="B204" s="1" t="s">
        <v>695</v>
      </c>
      <c r="C204" s="5"/>
      <c r="D204" s="5"/>
      <c r="E204" s="1" t="str">
        <f>IFERROR(__xludf.DUMMYFUNCTION("IFERROR(REGEXEXTRACT(A204, ""res(269|122)""), ""none"")"),"269")</f>
        <v>269</v>
      </c>
      <c r="F204" s="1">
        <v>-17.2393</v>
      </c>
      <c r="G204" s="1">
        <v>10.0</v>
      </c>
      <c r="H204" s="1">
        <v>2.0</v>
      </c>
      <c r="I204" s="1">
        <v>0.4</v>
      </c>
      <c r="J204" s="1">
        <v>2.0</v>
      </c>
      <c r="K204" s="1">
        <v>-0.929713</v>
      </c>
      <c r="L204" s="1">
        <v>100.0</v>
      </c>
      <c r="M204" s="1">
        <v>0.0</v>
      </c>
      <c r="N204" s="1">
        <v>0.0</v>
      </c>
      <c r="O204" s="1">
        <v>96.230987</v>
      </c>
    </row>
    <row r="205">
      <c r="A205" s="1" t="s">
        <v>696</v>
      </c>
      <c r="B205" s="1" t="s">
        <v>697</v>
      </c>
      <c r="C205" s="5"/>
      <c r="D205" s="5"/>
      <c r="E205" s="1" t="str">
        <f>IFERROR(__xludf.DUMMYFUNCTION("IFERROR(REGEXEXTRACT(A205, ""res(269|122)""), ""none"")"),"269")</f>
        <v>269</v>
      </c>
      <c r="F205" s="1">
        <v>-15.670032</v>
      </c>
      <c r="G205" s="1">
        <v>9.0</v>
      </c>
      <c r="H205" s="1">
        <v>2.0</v>
      </c>
      <c r="I205" s="1">
        <v>0.333333</v>
      </c>
      <c r="J205" s="1">
        <v>3.0</v>
      </c>
      <c r="K205" s="1">
        <v>-2.085592</v>
      </c>
      <c r="L205" s="1">
        <v>100.0</v>
      </c>
      <c r="M205" s="1">
        <v>0.0</v>
      </c>
      <c r="N205" s="1">
        <v>0.0</v>
      </c>
      <c r="O205" s="1">
        <v>96.577709</v>
      </c>
    </row>
    <row r="206">
      <c r="A206" s="1" t="s">
        <v>698</v>
      </c>
      <c r="B206" s="1" t="s">
        <v>699</v>
      </c>
      <c r="C206" s="5"/>
      <c r="D206" s="5"/>
      <c r="E206" s="1" t="str">
        <f>IFERROR(__xludf.DUMMYFUNCTION("IFERROR(REGEXEXTRACT(A206, ""res(269|122)""), ""none"")"),"269")</f>
        <v>269</v>
      </c>
      <c r="F206" s="1">
        <v>-16.41529</v>
      </c>
      <c r="G206" s="1">
        <v>11.0</v>
      </c>
      <c r="H206" s="1">
        <v>3.0</v>
      </c>
      <c r="I206" s="1">
        <v>0.272727</v>
      </c>
      <c r="J206" s="1">
        <v>2.0</v>
      </c>
      <c r="K206" s="1">
        <v>-1.249983</v>
      </c>
      <c r="L206" s="1">
        <v>100.0</v>
      </c>
      <c r="M206" s="1">
        <v>0.0</v>
      </c>
      <c r="N206" s="1">
        <v>0.0</v>
      </c>
      <c r="O206" s="1">
        <v>98.607454</v>
      </c>
    </row>
    <row r="207">
      <c r="A207" s="1" t="s">
        <v>700</v>
      </c>
      <c r="B207" s="1" t="s">
        <v>701</v>
      </c>
      <c r="C207" s="5"/>
      <c r="D207" s="5"/>
      <c r="E207" s="1" t="str">
        <f>IFERROR(__xludf.DUMMYFUNCTION("IFERROR(REGEXEXTRACT(A207, ""res(269|122)""), ""none"")"),"269")</f>
        <v>269</v>
      </c>
      <c r="F207" s="1">
        <v>-17.405701</v>
      </c>
      <c r="G207" s="1">
        <v>8.0</v>
      </c>
      <c r="H207" s="1">
        <v>3.0</v>
      </c>
      <c r="I207" s="1">
        <v>0.25</v>
      </c>
      <c r="J207" s="1">
        <v>2.0</v>
      </c>
      <c r="K207" s="1">
        <v>-0.784250999999999</v>
      </c>
      <c r="L207" s="1">
        <v>100.0</v>
      </c>
      <c r="M207" s="1">
        <v>0.0</v>
      </c>
      <c r="N207" s="1">
        <v>0.0</v>
      </c>
      <c r="O207" s="1">
        <v>95.060048</v>
      </c>
    </row>
    <row r="208">
      <c r="A208" s="1" t="s">
        <v>702</v>
      </c>
      <c r="B208" s="1" t="s">
        <v>703</v>
      </c>
      <c r="C208" s="5"/>
      <c r="D208" s="5"/>
      <c r="E208" s="1" t="str">
        <f>IFERROR(__xludf.DUMMYFUNCTION("IFERROR(REGEXEXTRACT(A208, ""res(269|122)""), ""none"")"),"269")</f>
        <v>269</v>
      </c>
      <c r="F208" s="1">
        <v>-15.051101</v>
      </c>
      <c r="G208" s="1">
        <v>7.0</v>
      </c>
      <c r="H208" s="1">
        <v>1.0</v>
      </c>
      <c r="I208" s="1">
        <v>0.285714</v>
      </c>
      <c r="J208" s="1">
        <v>2.0</v>
      </c>
      <c r="K208" s="1">
        <v>-1.221512</v>
      </c>
      <c r="L208" s="1">
        <v>100.0</v>
      </c>
      <c r="M208" s="1">
        <v>0.0</v>
      </c>
      <c r="N208" s="1">
        <v>0.0</v>
      </c>
      <c r="O208" s="1">
        <v>94.013101</v>
      </c>
    </row>
    <row r="209">
      <c r="A209" s="1" t="s">
        <v>373</v>
      </c>
      <c r="B209" s="1" t="s">
        <v>171</v>
      </c>
      <c r="C209" s="5"/>
      <c r="D209" s="5"/>
      <c r="E209" s="1" t="str">
        <f>IFERROR(__xludf.DUMMYFUNCTION("IFERROR(REGEXEXTRACT(A209, ""res(269|122)""), ""none"")"),"269")</f>
        <v>269</v>
      </c>
      <c r="F209" s="1">
        <v>-16.284917</v>
      </c>
      <c r="G209" s="1">
        <v>8.0</v>
      </c>
      <c r="H209" s="1">
        <v>5.0</v>
      </c>
      <c r="I209" s="1">
        <v>0.25</v>
      </c>
      <c r="J209" s="1">
        <v>2.0</v>
      </c>
      <c r="K209" s="1">
        <v>-1.566179</v>
      </c>
      <c r="L209" s="1">
        <v>100.0</v>
      </c>
      <c r="M209" s="1">
        <v>0.0</v>
      </c>
      <c r="N209" s="1">
        <v>0.0</v>
      </c>
      <c r="O209" s="1">
        <v>97.398904</v>
      </c>
    </row>
    <row r="210">
      <c r="A210" s="1" t="s">
        <v>704</v>
      </c>
      <c r="B210" s="1" t="s">
        <v>705</v>
      </c>
      <c r="C210" s="5"/>
      <c r="D210" s="5"/>
      <c r="E210" s="1" t="str">
        <f>IFERROR(__xludf.DUMMYFUNCTION("IFERROR(REGEXEXTRACT(A210, ""res(269|122)""), ""none"")"),"269")</f>
        <v>269</v>
      </c>
      <c r="F210" s="1">
        <v>-15.372243</v>
      </c>
      <c r="G210" s="1">
        <v>9.0</v>
      </c>
      <c r="H210" s="1">
        <v>3.0</v>
      </c>
      <c r="I210" s="1">
        <v>0.444444</v>
      </c>
      <c r="J210" s="1">
        <v>2.0</v>
      </c>
      <c r="K210" s="1">
        <v>-0.654994</v>
      </c>
      <c r="L210" s="1">
        <v>100.0</v>
      </c>
      <c r="M210" s="1">
        <v>0.0</v>
      </c>
      <c r="N210" s="1">
        <v>0.0</v>
      </c>
      <c r="O210" s="1">
        <v>98.417207</v>
      </c>
    </row>
    <row r="211">
      <c r="A211" s="1" t="s">
        <v>706</v>
      </c>
      <c r="B211" s="1" t="s">
        <v>707</v>
      </c>
      <c r="C211" s="5"/>
      <c r="D211" s="5"/>
      <c r="E211" s="1" t="str">
        <f>IFERROR(__xludf.DUMMYFUNCTION("IFERROR(REGEXEXTRACT(A211, ""res(269|122)""), ""none"")"),"269")</f>
        <v>269</v>
      </c>
      <c r="F211" s="1">
        <v>-15.595989</v>
      </c>
      <c r="G211" s="1">
        <v>6.0</v>
      </c>
      <c r="H211" s="1">
        <v>2.0</v>
      </c>
      <c r="I211" s="1">
        <v>0.333333</v>
      </c>
      <c r="J211" s="1">
        <v>2.0</v>
      </c>
      <c r="K211" s="1">
        <v>-1.006767</v>
      </c>
      <c r="L211" s="1">
        <v>100.0</v>
      </c>
      <c r="M211" s="1">
        <v>0.0</v>
      </c>
      <c r="N211" s="1">
        <v>0.0</v>
      </c>
      <c r="O211" s="1">
        <v>93.730577</v>
      </c>
    </row>
    <row r="212">
      <c r="A212" s="1" t="s">
        <v>708</v>
      </c>
      <c r="B212" s="1" t="s">
        <v>709</v>
      </c>
      <c r="C212" s="5"/>
      <c r="D212" s="5"/>
      <c r="E212" s="1" t="str">
        <f>IFERROR(__xludf.DUMMYFUNCTION("IFERROR(REGEXEXTRACT(A212, ""res(269|122)""), ""none"")"),"269")</f>
        <v>269</v>
      </c>
      <c r="F212" s="1">
        <v>-15.472997</v>
      </c>
      <c r="G212" s="1">
        <v>12.0</v>
      </c>
      <c r="H212" s="1">
        <v>3.0</v>
      </c>
      <c r="I212" s="1">
        <v>0.25</v>
      </c>
      <c r="J212" s="1">
        <v>2.0</v>
      </c>
      <c r="K212" s="1">
        <v>-1.558156</v>
      </c>
      <c r="L212" s="1">
        <v>100.0</v>
      </c>
      <c r="M212" s="1">
        <v>0.0</v>
      </c>
      <c r="N212" s="1">
        <v>0.0</v>
      </c>
      <c r="O212" s="1">
        <v>100.218847</v>
      </c>
    </row>
    <row r="213">
      <c r="A213" s="1" t="s">
        <v>710</v>
      </c>
      <c r="B213" s="1" t="s">
        <v>711</v>
      </c>
      <c r="C213" s="5"/>
      <c r="D213" s="5"/>
      <c r="E213" s="1" t="str">
        <f>IFERROR(__xludf.DUMMYFUNCTION("IFERROR(REGEXEXTRACT(A213, ""res(269|122)""), ""none"")"),"269")</f>
        <v>269</v>
      </c>
      <c r="F213" s="1">
        <v>-15.848889</v>
      </c>
      <c r="G213" s="1">
        <v>9.0</v>
      </c>
      <c r="H213" s="1">
        <v>2.0</v>
      </c>
      <c r="I213" s="1">
        <v>0.444444</v>
      </c>
      <c r="J213" s="1">
        <v>2.0</v>
      </c>
      <c r="K213" s="1">
        <v>-0.821315</v>
      </c>
      <c r="L213" s="1">
        <v>100.0</v>
      </c>
      <c r="M213" s="1">
        <v>0.0</v>
      </c>
      <c r="N213" s="1">
        <v>0.0</v>
      </c>
      <c r="O213" s="1">
        <v>96.77424</v>
      </c>
    </row>
    <row r="214">
      <c r="A214" s="1" t="s">
        <v>712</v>
      </c>
      <c r="B214" s="1" t="s">
        <v>713</v>
      </c>
      <c r="C214" s="5"/>
      <c r="D214" s="5"/>
      <c r="E214" s="1" t="str">
        <f>IFERROR(__xludf.DUMMYFUNCTION("IFERROR(REGEXEXTRACT(A214, ""res(269|122)""), ""none"")"),"269")</f>
        <v>269</v>
      </c>
      <c r="F214" s="1">
        <v>-15.465539</v>
      </c>
      <c r="G214" s="1">
        <v>10.0</v>
      </c>
      <c r="H214" s="1">
        <v>2.0</v>
      </c>
      <c r="I214" s="1">
        <v>0.3</v>
      </c>
      <c r="J214" s="1">
        <v>2.0</v>
      </c>
      <c r="K214" s="1">
        <v>-0.744564999999999</v>
      </c>
      <c r="L214" s="1">
        <v>100.0</v>
      </c>
      <c r="M214" s="1">
        <v>0.0</v>
      </c>
      <c r="N214" s="1">
        <v>0.0</v>
      </c>
      <c r="O214" s="1">
        <v>98.089896</v>
      </c>
    </row>
    <row r="215">
      <c r="A215" s="1" t="s">
        <v>714</v>
      </c>
      <c r="B215" s="1" t="s">
        <v>715</v>
      </c>
      <c r="C215" s="5"/>
      <c r="D215" s="5"/>
      <c r="E215" s="1" t="str">
        <f>IFERROR(__xludf.DUMMYFUNCTION("IFERROR(REGEXEXTRACT(A215, ""res(269|122)""), ""none"")"),"269")</f>
        <v>269</v>
      </c>
      <c r="F215" s="1">
        <v>-15.548246</v>
      </c>
      <c r="G215" s="1">
        <v>7.0</v>
      </c>
      <c r="H215" s="1">
        <v>3.0</v>
      </c>
      <c r="I215" s="1">
        <v>0.285714</v>
      </c>
      <c r="J215" s="1">
        <v>2.0</v>
      </c>
      <c r="K215" s="1">
        <v>-0.82711</v>
      </c>
      <c r="L215" s="1">
        <v>100.0</v>
      </c>
      <c r="M215" s="1">
        <v>0.0</v>
      </c>
      <c r="N215" s="1">
        <v>0.0</v>
      </c>
      <c r="O215" s="1">
        <v>95.910358</v>
      </c>
    </row>
    <row r="216">
      <c r="A216" s="1" t="s">
        <v>716</v>
      </c>
      <c r="B216" s="1" t="s">
        <v>717</v>
      </c>
      <c r="C216" s="5"/>
      <c r="D216" s="5"/>
      <c r="E216" s="1" t="str">
        <f>IFERROR(__xludf.DUMMYFUNCTION("IFERROR(REGEXEXTRACT(A216, ""res(269|122)""), ""none"")"),"269")</f>
        <v>269</v>
      </c>
      <c r="F216" s="1">
        <v>-15.47809</v>
      </c>
      <c r="G216" s="1">
        <v>7.0</v>
      </c>
      <c r="H216" s="1">
        <v>2.0</v>
      </c>
      <c r="I216" s="1">
        <v>0.285714</v>
      </c>
      <c r="J216" s="1">
        <v>2.0</v>
      </c>
      <c r="K216" s="1">
        <v>-1.032518</v>
      </c>
      <c r="L216" s="1">
        <v>100.0</v>
      </c>
      <c r="M216" s="1">
        <v>0.0</v>
      </c>
      <c r="N216" s="1">
        <v>0.0</v>
      </c>
      <c r="O216" s="1">
        <v>94.775106</v>
      </c>
    </row>
    <row r="217">
      <c r="A217" s="1" t="s">
        <v>718</v>
      </c>
      <c r="B217" s="1" t="s">
        <v>719</v>
      </c>
      <c r="C217" s="5"/>
      <c r="D217" s="5"/>
      <c r="E217" s="1" t="str">
        <f>IFERROR(__xludf.DUMMYFUNCTION("IFERROR(REGEXEXTRACT(A217, ""res(269|122)""), ""none"")"),"269")</f>
        <v>269</v>
      </c>
      <c r="F217" s="1">
        <v>-16.063302</v>
      </c>
      <c r="G217" s="1">
        <v>7.0</v>
      </c>
      <c r="H217" s="1">
        <v>3.0</v>
      </c>
      <c r="I217" s="1">
        <v>0.428571</v>
      </c>
      <c r="J217" s="1">
        <v>2.0</v>
      </c>
      <c r="K217" s="1">
        <v>-0.987857</v>
      </c>
      <c r="L217" s="1">
        <v>100.0</v>
      </c>
      <c r="M217" s="1">
        <v>0.0</v>
      </c>
      <c r="N217" s="1">
        <v>0.0</v>
      </c>
      <c r="O217" s="1">
        <v>95.377412</v>
      </c>
    </row>
    <row r="218">
      <c r="A218" s="1" t="s">
        <v>720</v>
      </c>
      <c r="B218" s="1" t="s">
        <v>721</v>
      </c>
      <c r="C218" s="5"/>
      <c r="D218" s="5"/>
      <c r="E218" s="1" t="str">
        <f>IFERROR(__xludf.DUMMYFUNCTION("IFERROR(REGEXEXTRACT(A218, ""res(269|122)""), ""none"")"),"269")</f>
        <v>269</v>
      </c>
      <c r="F218" s="1">
        <v>-16.896992</v>
      </c>
      <c r="G218" s="1">
        <v>8.0</v>
      </c>
      <c r="H218" s="1">
        <v>3.0</v>
      </c>
      <c r="I218" s="1">
        <v>0.25</v>
      </c>
      <c r="J218" s="1">
        <v>2.0</v>
      </c>
      <c r="K218" s="1">
        <v>-0.288931</v>
      </c>
      <c r="L218" s="1">
        <v>100.0</v>
      </c>
      <c r="M218" s="1">
        <v>0.0</v>
      </c>
      <c r="N218" s="1">
        <v>0.0</v>
      </c>
      <c r="O218" s="1">
        <v>96.064077</v>
      </c>
    </row>
    <row r="219">
      <c r="A219" s="1" t="s">
        <v>722</v>
      </c>
      <c r="B219" s="1" t="s">
        <v>723</v>
      </c>
      <c r="C219" s="5"/>
      <c r="D219" s="5"/>
      <c r="E219" s="1" t="str">
        <f>IFERROR(__xludf.DUMMYFUNCTION("IFERROR(REGEXEXTRACT(A219, ""res(269|122)""), ""none"")"),"269")</f>
        <v>269</v>
      </c>
      <c r="F219" s="1">
        <v>-15.57465</v>
      </c>
      <c r="G219" s="1">
        <v>10.0</v>
      </c>
      <c r="H219" s="1">
        <v>5.0</v>
      </c>
      <c r="I219" s="1">
        <v>0.4</v>
      </c>
      <c r="J219" s="1">
        <v>2.0</v>
      </c>
      <c r="K219" s="1">
        <v>-0.60161</v>
      </c>
      <c r="L219" s="1">
        <v>100.0</v>
      </c>
      <c r="M219" s="1">
        <v>0.0</v>
      </c>
      <c r="N219" s="1">
        <v>0.0</v>
      </c>
      <c r="O219" s="1">
        <v>101.22374</v>
      </c>
    </row>
    <row r="220">
      <c r="A220" s="1" t="s">
        <v>724</v>
      </c>
      <c r="B220" s="1" t="s">
        <v>725</v>
      </c>
      <c r="C220" s="5"/>
      <c r="D220" s="5"/>
      <c r="E220" s="1" t="str">
        <f>IFERROR(__xludf.DUMMYFUNCTION("IFERROR(REGEXEXTRACT(A220, ""res(269|122)""), ""none"")"),"269")</f>
        <v>269</v>
      </c>
      <c r="F220" s="1">
        <v>-15.170379</v>
      </c>
      <c r="G220" s="1">
        <v>7.0</v>
      </c>
      <c r="H220" s="1">
        <v>2.0</v>
      </c>
      <c r="I220" s="1">
        <v>0.285714</v>
      </c>
      <c r="J220" s="1">
        <v>2.0</v>
      </c>
      <c r="K220" s="1">
        <v>-0.667648999999999</v>
      </c>
      <c r="L220" s="1">
        <v>100.0</v>
      </c>
      <c r="M220" s="1">
        <v>0.0</v>
      </c>
      <c r="N220" s="1">
        <v>0.0</v>
      </c>
      <c r="O220" s="1">
        <v>95.447686</v>
      </c>
    </row>
    <row r="221">
      <c r="A221" s="1" t="s">
        <v>726</v>
      </c>
      <c r="B221" s="1" t="s">
        <v>727</v>
      </c>
      <c r="C221" s="5"/>
      <c r="D221" s="5"/>
      <c r="E221" s="1" t="str">
        <f>IFERROR(__xludf.DUMMYFUNCTION("IFERROR(REGEXEXTRACT(A221, ""res(269|122)""), ""none"")"),"269")</f>
        <v>269</v>
      </c>
      <c r="F221" s="1">
        <v>-16.876109</v>
      </c>
      <c r="G221" s="1">
        <v>7.0</v>
      </c>
      <c r="H221" s="1">
        <v>3.0</v>
      </c>
      <c r="I221" s="1">
        <v>0.285714</v>
      </c>
      <c r="J221" s="1">
        <v>2.0</v>
      </c>
      <c r="K221" s="1">
        <v>-0.125013</v>
      </c>
      <c r="L221" s="1">
        <v>100.0</v>
      </c>
      <c r="M221" s="1">
        <v>0.0</v>
      </c>
      <c r="N221" s="1">
        <v>0.0</v>
      </c>
      <c r="O221" s="1">
        <v>95.284592</v>
      </c>
    </row>
    <row r="222">
      <c r="A222" s="1" t="s">
        <v>728</v>
      </c>
      <c r="B222" s="1" t="s">
        <v>729</v>
      </c>
      <c r="C222" s="5"/>
      <c r="D222" s="5"/>
      <c r="E222" s="1" t="str">
        <f>IFERROR(__xludf.DUMMYFUNCTION("IFERROR(REGEXEXTRACT(A222, ""res(269|122)""), ""none"")"),"269")</f>
        <v>269</v>
      </c>
      <c r="F222" s="1">
        <v>-15.669627</v>
      </c>
      <c r="G222" s="1">
        <v>8.0</v>
      </c>
      <c r="H222" s="1">
        <v>3.0</v>
      </c>
      <c r="I222" s="1">
        <v>0.5</v>
      </c>
      <c r="J222" s="1">
        <v>2.0</v>
      </c>
      <c r="K222" s="1">
        <v>-1.095518</v>
      </c>
      <c r="L222" s="1">
        <v>100.0</v>
      </c>
      <c r="M222" s="1">
        <v>0.0</v>
      </c>
      <c r="N222" s="1">
        <v>0.0</v>
      </c>
      <c r="O222" s="1">
        <v>96.734855</v>
      </c>
    </row>
    <row r="223">
      <c r="A223" s="1" t="s">
        <v>730</v>
      </c>
      <c r="B223" s="1" t="s">
        <v>731</v>
      </c>
      <c r="C223" s="5"/>
      <c r="D223" s="5"/>
      <c r="E223" s="1" t="str">
        <f>IFERROR(__xludf.DUMMYFUNCTION("IFERROR(REGEXEXTRACT(A223, ""res(269|122)""), ""none"")"),"269")</f>
        <v>269</v>
      </c>
      <c r="F223" s="1">
        <v>-16.538591</v>
      </c>
      <c r="G223" s="1">
        <v>11.0</v>
      </c>
      <c r="H223" s="1">
        <v>2.0</v>
      </c>
      <c r="I223" s="1">
        <v>0.454545</v>
      </c>
      <c r="J223" s="1">
        <v>2.0</v>
      </c>
      <c r="K223" s="1">
        <v>-0.672628</v>
      </c>
      <c r="L223" s="1">
        <v>100.0</v>
      </c>
      <c r="M223" s="1">
        <v>0.0</v>
      </c>
      <c r="N223" s="1">
        <v>0.0</v>
      </c>
      <c r="O223" s="1">
        <v>98.243326</v>
      </c>
    </row>
    <row r="224">
      <c r="A224" s="1" t="s">
        <v>732</v>
      </c>
      <c r="B224" s="1" t="s">
        <v>733</v>
      </c>
      <c r="C224" s="5"/>
      <c r="D224" s="5"/>
      <c r="E224" s="1" t="str">
        <f>IFERROR(__xludf.DUMMYFUNCTION("IFERROR(REGEXEXTRACT(A224, ""res(269|122)""), ""none"")"),"269")</f>
        <v>269</v>
      </c>
      <c r="F224" s="1">
        <v>-15.518271</v>
      </c>
      <c r="G224" s="1">
        <v>7.0</v>
      </c>
      <c r="H224" s="1">
        <v>2.0</v>
      </c>
      <c r="I224" s="1">
        <v>0.285714</v>
      </c>
      <c r="J224" s="1">
        <v>2.0</v>
      </c>
      <c r="K224" s="1">
        <v>-0.704432</v>
      </c>
      <c r="L224" s="1">
        <v>100.0</v>
      </c>
      <c r="M224" s="1">
        <v>0.0</v>
      </c>
      <c r="N224" s="1">
        <v>0.0</v>
      </c>
      <c r="O224" s="1">
        <v>95.063011</v>
      </c>
    </row>
    <row r="225">
      <c r="A225" s="1" t="s">
        <v>734</v>
      </c>
      <c r="B225" s="1" t="s">
        <v>735</v>
      </c>
      <c r="C225" s="5"/>
      <c r="D225" s="5"/>
      <c r="E225" s="1" t="str">
        <f>IFERROR(__xludf.DUMMYFUNCTION("IFERROR(REGEXEXTRACT(A225, ""res(269|122)""), ""none"")"),"269")</f>
        <v>269</v>
      </c>
      <c r="F225" s="1">
        <v>-16.273007</v>
      </c>
      <c r="G225" s="1">
        <v>10.0</v>
      </c>
      <c r="H225" s="1">
        <v>5.0</v>
      </c>
      <c r="I225" s="1">
        <v>0.5</v>
      </c>
      <c r="J225" s="1">
        <v>2.0</v>
      </c>
      <c r="K225" s="1">
        <v>-1.336251</v>
      </c>
      <c r="L225" s="1">
        <v>100.0</v>
      </c>
      <c r="M225" s="1">
        <v>0.0</v>
      </c>
      <c r="N225" s="1">
        <v>0.0</v>
      </c>
      <c r="O225" s="1">
        <v>99.890742</v>
      </c>
    </row>
    <row r="226">
      <c r="A226" s="1" t="s">
        <v>736</v>
      </c>
      <c r="B226" s="1" t="s">
        <v>737</v>
      </c>
      <c r="C226" s="5"/>
      <c r="D226" s="5"/>
      <c r="E226" s="1" t="str">
        <f>IFERROR(__xludf.DUMMYFUNCTION("IFERROR(REGEXEXTRACT(A226, ""res(269|122)""), ""none"")"),"269")</f>
        <v>269</v>
      </c>
      <c r="F226" s="1">
        <v>-15.21474</v>
      </c>
      <c r="G226" s="1">
        <v>9.0</v>
      </c>
      <c r="H226" s="1">
        <v>1.0</v>
      </c>
      <c r="I226" s="1">
        <v>0.333333</v>
      </c>
      <c r="J226" s="1">
        <v>2.0</v>
      </c>
      <c r="K226" s="1">
        <v>-1.192772</v>
      </c>
      <c r="L226" s="1">
        <v>100.0</v>
      </c>
      <c r="M226" s="1">
        <v>0.0</v>
      </c>
      <c r="N226" s="1">
        <v>0.0</v>
      </c>
      <c r="O226" s="1">
        <v>95.925821</v>
      </c>
    </row>
    <row r="227">
      <c r="A227" s="1" t="s">
        <v>738</v>
      </c>
      <c r="B227" s="1" t="s">
        <v>739</v>
      </c>
      <c r="C227" s="5"/>
      <c r="D227" s="5"/>
      <c r="E227" s="1" t="str">
        <f>IFERROR(__xludf.DUMMYFUNCTION("IFERROR(REGEXEXTRACT(A227, ""res(269|122)""), ""none"")"),"269")</f>
        <v>269</v>
      </c>
      <c r="F227" s="1">
        <v>-15.689275</v>
      </c>
      <c r="G227" s="1">
        <v>6.0</v>
      </c>
      <c r="H227" s="1">
        <v>1.0</v>
      </c>
      <c r="I227" s="1">
        <v>0.333333</v>
      </c>
      <c r="J227" s="1">
        <v>2.0</v>
      </c>
      <c r="K227" s="1">
        <v>-0.283942</v>
      </c>
      <c r="L227" s="1">
        <v>100.0</v>
      </c>
      <c r="M227" s="1">
        <v>0.0</v>
      </c>
      <c r="N227" s="1">
        <v>0.0</v>
      </c>
      <c r="O227" s="1">
        <v>93.360116</v>
      </c>
    </row>
    <row r="228">
      <c r="A228" s="1" t="s">
        <v>740</v>
      </c>
      <c r="B228" s="1" t="s">
        <v>741</v>
      </c>
      <c r="C228" s="5"/>
      <c r="D228" s="5"/>
      <c r="E228" s="1" t="str">
        <f>IFERROR(__xludf.DUMMYFUNCTION("IFERROR(REGEXEXTRACT(A228, ""res(269|122)""), ""none"")"),"269")</f>
        <v>269</v>
      </c>
      <c r="F228" s="1">
        <v>-19.0248</v>
      </c>
      <c r="G228" s="1">
        <v>10.0</v>
      </c>
      <c r="H228" s="1">
        <v>1.0</v>
      </c>
      <c r="I228" s="1">
        <v>0.3</v>
      </c>
      <c r="J228" s="1">
        <v>2.0</v>
      </c>
      <c r="K228" s="1">
        <v>-0.194124</v>
      </c>
      <c r="L228" s="1">
        <v>100.0</v>
      </c>
      <c r="M228" s="1">
        <v>0.0</v>
      </c>
      <c r="N228" s="1">
        <v>0.0</v>
      </c>
      <c r="O228" s="1">
        <v>94.081076</v>
      </c>
    </row>
    <row r="229">
      <c r="A229" s="1" t="s">
        <v>742</v>
      </c>
      <c r="B229" s="1" t="s">
        <v>743</v>
      </c>
      <c r="C229" s="5"/>
      <c r="D229" s="5"/>
      <c r="E229" s="1" t="str">
        <f>IFERROR(__xludf.DUMMYFUNCTION("IFERROR(REGEXEXTRACT(A229, ""res(269|122)""), ""none"")"),"269")</f>
        <v>269</v>
      </c>
      <c r="F229" s="1">
        <v>-16.168018</v>
      </c>
      <c r="G229" s="1">
        <v>7.0</v>
      </c>
      <c r="H229" s="1">
        <v>4.0</v>
      </c>
      <c r="I229" s="1">
        <v>0.428571</v>
      </c>
      <c r="J229" s="1">
        <v>2.0</v>
      </c>
      <c r="K229" s="1">
        <v>-1.027591</v>
      </c>
      <c r="L229" s="1">
        <v>100.0</v>
      </c>
      <c r="M229" s="1">
        <v>0.0</v>
      </c>
      <c r="N229" s="1">
        <v>0.0</v>
      </c>
      <c r="O229" s="1">
        <v>96.232962</v>
      </c>
    </row>
    <row r="230">
      <c r="A230" s="1" t="s">
        <v>744</v>
      </c>
      <c r="B230" s="1" t="s">
        <v>745</v>
      </c>
      <c r="C230" s="5"/>
      <c r="D230" s="5"/>
      <c r="E230" s="1" t="str">
        <f>IFERROR(__xludf.DUMMYFUNCTION("IFERROR(REGEXEXTRACT(A230, ""res(269|122)""), ""none"")"),"269")</f>
        <v>269</v>
      </c>
      <c r="F230" s="1">
        <v>-17.880646</v>
      </c>
      <c r="G230" s="1">
        <v>7.0</v>
      </c>
      <c r="H230" s="1">
        <v>3.0</v>
      </c>
      <c r="I230" s="1">
        <v>0.285714</v>
      </c>
      <c r="J230" s="1">
        <v>2.0</v>
      </c>
      <c r="K230" s="1">
        <v>-0.782756</v>
      </c>
      <c r="L230" s="1">
        <v>100.0</v>
      </c>
      <c r="M230" s="1">
        <v>0.0</v>
      </c>
      <c r="N230" s="1">
        <v>0.0</v>
      </c>
      <c r="O230" s="1">
        <v>93.622312</v>
      </c>
    </row>
    <row r="231">
      <c r="A231" s="1" t="s">
        <v>746</v>
      </c>
      <c r="B231" s="1" t="s">
        <v>747</v>
      </c>
      <c r="C231" s="5"/>
      <c r="D231" s="5"/>
      <c r="E231" s="1" t="str">
        <f>IFERROR(__xludf.DUMMYFUNCTION("IFERROR(REGEXEXTRACT(A231, ""res(269|122)""), ""none"")"),"269")</f>
        <v>269</v>
      </c>
      <c r="F231" s="1">
        <v>-15.808583</v>
      </c>
      <c r="G231" s="1">
        <v>8.0</v>
      </c>
      <c r="H231" s="1">
        <v>3.0</v>
      </c>
      <c r="I231" s="1">
        <v>0.25</v>
      </c>
      <c r="J231" s="1">
        <v>2.0</v>
      </c>
      <c r="K231" s="1">
        <v>-0.274418999999999</v>
      </c>
      <c r="L231" s="1">
        <v>100.0</v>
      </c>
      <c r="M231" s="1">
        <v>0.0</v>
      </c>
      <c r="N231" s="1">
        <v>0.0</v>
      </c>
      <c r="O231" s="1">
        <v>97.166998</v>
      </c>
    </row>
    <row r="232">
      <c r="A232" s="1" t="s">
        <v>748</v>
      </c>
      <c r="B232" s="1" t="s">
        <v>749</v>
      </c>
      <c r="C232" s="5"/>
      <c r="D232" s="5"/>
      <c r="E232" s="1" t="str">
        <f>IFERROR(__xludf.DUMMYFUNCTION("IFERROR(REGEXEXTRACT(A232, ""res(269|122)""), ""none"")"),"269")</f>
        <v>269</v>
      </c>
      <c r="F232" s="1">
        <v>-15.922666</v>
      </c>
      <c r="G232" s="1">
        <v>11.0</v>
      </c>
      <c r="H232" s="1">
        <v>4.0</v>
      </c>
      <c r="I232" s="1">
        <v>0.272727</v>
      </c>
      <c r="J232" s="1">
        <v>2.0</v>
      </c>
      <c r="K232" s="1">
        <v>-1.281239</v>
      </c>
      <c r="L232" s="1">
        <v>100.0</v>
      </c>
      <c r="M232" s="1">
        <v>0.0</v>
      </c>
      <c r="N232" s="1">
        <v>0.0</v>
      </c>
      <c r="O232" s="1">
        <v>100.068822</v>
      </c>
    </row>
    <row r="233">
      <c r="A233" s="1" t="s">
        <v>750</v>
      </c>
      <c r="B233" s="1" t="s">
        <v>751</v>
      </c>
      <c r="C233" s="5"/>
      <c r="D233" s="5"/>
      <c r="E233" s="1" t="str">
        <f>IFERROR(__xludf.DUMMYFUNCTION("IFERROR(REGEXEXTRACT(A233, ""res(269|122)""), ""none"")"),"269")</f>
        <v>269</v>
      </c>
      <c r="F233" s="1">
        <v>-16.054057</v>
      </c>
      <c r="G233" s="1">
        <v>8.0</v>
      </c>
      <c r="H233" s="1">
        <v>3.0</v>
      </c>
      <c r="I233" s="1">
        <v>0.25</v>
      </c>
      <c r="J233" s="1">
        <v>3.0</v>
      </c>
      <c r="K233" s="1">
        <v>-2.086385</v>
      </c>
      <c r="L233" s="1">
        <v>100.0</v>
      </c>
      <c r="M233" s="1">
        <v>0.0</v>
      </c>
      <c r="N233" s="1">
        <v>0.0</v>
      </c>
      <c r="O233" s="1">
        <v>96.109558</v>
      </c>
    </row>
    <row r="234">
      <c r="A234" s="1" t="s">
        <v>752</v>
      </c>
      <c r="B234" s="1" t="s">
        <v>753</v>
      </c>
      <c r="C234" s="5"/>
      <c r="D234" s="5"/>
      <c r="E234" s="1" t="str">
        <f>IFERROR(__xludf.DUMMYFUNCTION("IFERROR(REGEXEXTRACT(A234, ""res(269|122)""), ""none"")"),"269")</f>
        <v>269</v>
      </c>
      <c r="F234" s="1">
        <v>-15.254939</v>
      </c>
      <c r="G234" s="1">
        <v>10.0</v>
      </c>
      <c r="H234" s="1">
        <v>2.0</v>
      </c>
      <c r="I234" s="1">
        <v>0.3</v>
      </c>
      <c r="J234" s="1">
        <v>3.0</v>
      </c>
      <c r="K234" s="1">
        <v>-1.268036</v>
      </c>
      <c r="L234" s="1">
        <v>100.0</v>
      </c>
      <c r="M234" s="1">
        <v>0.0</v>
      </c>
      <c r="N234" s="1">
        <v>0.0</v>
      </c>
      <c r="O234" s="1">
        <v>98.777025</v>
      </c>
    </row>
    <row r="235">
      <c r="A235" s="1" t="s">
        <v>754</v>
      </c>
      <c r="B235" s="1" t="s">
        <v>755</v>
      </c>
      <c r="C235" s="5"/>
      <c r="D235" s="5"/>
      <c r="E235" s="1" t="str">
        <f>IFERROR(__xludf.DUMMYFUNCTION("IFERROR(REGEXEXTRACT(A235, ""res(269|122)""), ""none"")"),"269")</f>
        <v>269</v>
      </c>
      <c r="F235" s="1">
        <v>-15.154038</v>
      </c>
      <c r="G235" s="1">
        <v>9.0</v>
      </c>
      <c r="H235" s="1">
        <v>2.0</v>
      </c>
      <c r="I235" s="1">
        <v>0.333333</v>
      </c>
      <c r="J235" s="1">
        <v>2.0</v>
      </c>
      <c r="K235" s="1">
        <v>-0.848837</v>
      </c>
      <c r="L235" s="1">
        <v>100.0</v>
      </c>
      <c r="M235" s="1">
        <v>0.0</v>
      </c>
      <c r="N235" s="1">
        <v>0.0</v>
      </c>
      <c r="O235" s="1">
        <v>97.330458</v>
      </c>
    </row>
    <row r="236">
      <c r="A236" s="1" t="s">
        <v>756</v>
      </c>
      <c r="B236" s="1" t="s">
        <v>757</v>
      </c>
      <c r="C236" s="5"/>
      <c r="D236" s="5"/>
      <c r="E236" s="1" t="str">
        <f>IFERROR(__xludf.DUMMYFUNCTION("IFERROR(REGEXEXTRACT(A236, ""res(269|122)""), ""none"")"),"269")</f>
        <v>269</v>
      </c>
      <c r="F236" s="1">
        <v>-15.837791</v>
      </c>
      <c r="G236" s="1">
        <v>7.0</v>
      </c>
      <c r="H236" s="1">
        <v>2.0</v>
      </c>
      <c r="I236" s="1">
        <v>0.285714</v>
      </c>
      <c r="J236" s="1">
        <v>2.0</v>
      </c>
      <c r="K236" s="1">
        <v>-1.071572</v>
      </c>
      <c r="L236" s="1">
        <v>100.0</v>
      </c>
      <c r="M236" s="1">
        <v>0.0</v>
      </c>
      <c r="N236" s="1">
        <v>0.0</v>
      </c>
      <c r="O236" s="1">
        <v>94.376351</v>
      </c>
    </row>
    <row r="237">
      <c r="A237" s="1" t="s">
        <v>758</v>
      </c>
      <c r="B237" s="1" t="s">
        <v>759</v>
      </c>
      <c r="C237" s="5"/>
      <c r="D237" s="5"/>
      <c r="E237" s="1" t="str">
        <f>IFERROR(__xludf.DUMMYFUNCTION("IFERROR(REGEXEXTRACT(A237, ""res(269|122)""), ""none"")"),"269")</f>
        <v>269</v>
      </c>
      <c r="F237" s="1">
        <v>-15.397445</v>
      </c>
      <c r="G237" s="1">
        <v>8.0</v>
      </c>
      <c r="H237" s="1">
        <v>5.0</v>
      </c>
      <c r="I237" s="1">
        <v>0.5</v>
      </c>
      <c r="J237" s="1">
        <v>2.0</v>
      </c>
      <c r="K237" s="1">
        <v>-1.534955</v>
      </c>
      <c r="L237" s="1">
        <v>100.0</v>
      </c>
      <c r="M237" s="1">
        <v>0.0</v>
      </c>
      <c r="N237" s="1">
        <v>0.0</v>
      </c>
      <c r="O237" s="1">
        <v>98.5676</v>
      </c>
    </row>
    <row r="238">
      <c r="A238" s="1" t="s">
        <v>760</v>
      </c>
      <c r="B238" s="1" t="s">
        <v>761</v>
      </c>
      <c r="C238" s="5"/>
      <c r="D238" s="5"/>
      <c r="E238" s="1" t="str">
        <f>IFERROR(__xludf.DUMMYFUNCTION("IFERROR(REGEXEXTRACT(A238, ""res(269|122)""), ""none"")"),"269")</f>
        <v>269</v>
      </c>
      <c r="F238" s="1">
        <v>-15.876867</v>
      </c>
      <c r="G238" s="1">
        <v>9.0</v>
      </c>
      <c r="H238" s="1">
        <v>5.0</v>
      </c>
      <c r="I238" s="1">
        <v>0.444444</v>
      </c>
      <c r="J238" s="1">
        <v>2.0</v>
      </c>
      <c r="K238" s="1">
        <v>-0.548546</v>
      </c>
      <c r="L238" s="1">
        <v>100.0</v>
      </c>
      <c r="M238" s="1">
        <v>0.0</v>
      </c>
      <c r="N238" s="1">
        <v>0.0</v>
      </c>
      <c r="O238" s="1">
        <v>100.019031</v>
      </c>
    </row>
    <row r="239">
      <c r="A239" s="1" t="s">
        <v>762</v>
      </c>
      <c r="B239" s="1" t="s">
        <v>763</v>
      </c>
      <c r="C239" s="5"/>
      <c r="D239" s="5"/>
      <c r="E239" s="1" t="str">
        <f>IFERROR(__xludf.DUMMYFUNCTION("IFERROR(REGEXEXTRACT(A239, ""res(269|122)""), ""none"")"),"269")</f>
        <v>269</v>
      </c>
      <c r="F239" s="1">
        <v>-15.298627</v>
      </c>
      <c r="G239" s="1">
        <v>8.0</v>
      </c>
      <c r="H239" s="1">
        <v>2.0</v>
      </c>
      <c r="I239" s="1">
        <v>0.25</v>
      </c>
      <c r="J239" s="1">
        <v>2.0</v>
      </c>
      <c r="K239" s="1">
        <v>-0.483175</v>
      </c>
      <c r="L239" s="1">
        <v>100.0</v>
      </c>
      <c r="M239" s="1">
        <v>0.0</v>
      </c>
      <c r="N239" s="1">
        <v>0.0</v>
      </c>
      <c r="O239" s="1">
        <v>96.468198</v>
      </c>
    </row>
    <row r="240">
      <c r="A240" s="1" t="s">
        <v>764</v>
      </c>
      <c r="B240" s="1" t="s">
        <v>765</v>
      </c>
      <c r="C240" s="5"/>
      <c r="D240" s="5"/>
      <c r="E240" s="1" t="str">
        <f>IFERROR(__xludf.DUMMYFUNCTION("IFERROR(REGEXEXTRACT(A240, ""res(269|122)""), ""none"")"),"269")</f>
        <v>269</v>
      </c>
      <c r="F240" s="1">
        <v>-18.469678</v>
      </c>
      <c r="G240" s="1">
        <v>10.0</v>
      </c>
      <c r="H240" s="1">
        <v>4.0</v>
      </c>
      <c r="I240" s="1">
        <v>0.4</v>
      </c>
      <c r="J240" s="1">
        <v>2.0</v>
      </c>
      <c r="K240" s="1">
        <v>-1.363106</v>
      </c>
      <c r="L240" s="1">
        <v>100.0</v>
      </c>
      <c r="M240" s="1">
        <v>0.0</v>
      </c>
      <c r="N240" s="1">
        <v>0.0</v>
      </c>
      <c r="O240" s="1">
        <v>96.567216</v>
      </c>
    </row>
    <row r="241">
      <c r="A241" s="1" t="s">
        <v>766</v>
      </c>
      <c r="B241" s="1" t="s">
        <v>767</v>
      </c>
      <c r="C241" s="5"/>
      <c r="D241" s="5"/>
      <c r="E241" s="1" t="str">
        <f>IFERROR(__xludf.DUMMYFUNCTION("IFERROR(REGEXEXTRACT(A241, ""res(269|122)""), ""none"")"),"269")</f>
        <v>269</v>
      </c>
      <c r="F241" s="1">
        <v>-16.667832</v>
      </c>
      <c r="G241" s="1">
        <v>6.0</v>
      </c>
      <c r="H241" s="1">
        <v>2.0</v>
      </c>
      <c r="I241" s="1">
        <v>0.333333</v>
      </c>
      <c r="J241" s="1">
        <v>2.0</v>
      </c>
      <c r="K241" s="1">
        <v>-1.030818</v>
      </c>
      <c r="L241" s="1">
        <v>100.0</v>
      </c>
      <c r="M241" s="1">
        <v>0.0</v>
      </c>
      <c r="N241" s="1">
        <v>0.0</v>
      </c>
      <c r="O241" s="1">
        <v>92.634683</v>
      </c>
    </row>
    <row r="242">
      <c r="A242" s="1" t="s">
        <v>374</v>
      </c>
      <c r="B242" s="1" t="s">
        <v>174</v>
      </c>
      <c r="C242" s="5"/>
      <c r="D242" s="5"/>
      <c r="E242" s="1" t="str">
        <f>IFERROR(__xludf.DUMMYFUNCTION("IFERROR(REGEXEXTRACT(A242, ""res(269|122)""), ""none"")"),"269")</f>
        <v>269</v>
      </c>
      <c r="F242" s="1">
        <v>-16.118663</v>
      </c>
      <c r="G242" s="1">
        <v>9.0</v>
      </c>
      <c r="H242" s="1">
        <v>1.0</v>
      </c>
      <c r="I242" s="1">
        <v>0.333333</v>
      </c>
      <c r="J242" s="1">
        <v>2.0</v>
      </c>
      <c r="K242" s="1">
        <v>-0.368431</v>
      </c>
      <c r="L242" s="1">
        <v>100.0</v>
      </c>
      <c r="M242" s="1">
        <v>0.0</v>
      </c>
      <c r="N242" s="1">
        <v>0.0</v>
      </c>
      <c r="O242" s="1">
        <v>95.846239</v>
      </c>
    </row>
    <row r="243">
      <c r="A243" s="1" t="s">
        <v>768</v>
      </c>
      <c r="B243" s="1" t="s">
        <v>769</v>
      </c>
      <c r="C243" s="5"/>
      <c r="D243" s="5"/>
      <c r="E243" s="1" t="str">
        <f>IFERROR(__xludf.DUMMYFUNCTION("IFERROR(REGEXEXTRACT(A243, ""res(269|122)""), ""none"")"),"269")</f>
        <v>269</v>
      </c>
      <c r="F243" s="1">
        <v>-15.215774</v>
      </c>
      <c r="G243" s="1">
        <v>7.0</v>
      </c>
      <c r="H243" s="1">
        <v>3.0</v>
      </c>
      <c r="I243" s="1">
        <v>0.285714</v>
      </c>
      <c r="J243" s="1">
        <v>2.0</v>
      </c>
      <c r="K243" s="1">
        <v>-0.616062</v>
      </c>
      <c r="L243" s="1">
        <v>100.0</v>
      </c>
      <c r="M243" s="1">
        <v>0.0</v>
      </c>
      <c r="N243" s="1">
        <v>0.0</v>
      </c>
      <c r="O243" s="1">
        <v>96.453878</v>
      </c>
    </row>
    <row r="244">
      <c r="A244" s="1" t="s">
        <v>770</v>
      </c>
      <c r="B244" s="1" t="s">
        <v>771</v>
      </c>
      <c r="C244" s="5"/>
      <c r="D244" s="5"/>
      <c r="E244" s="1" t="str">
        <f>IFERROR(__xludf.DUMMYFUNCTION("IFERROR(REGEXEXTRACT(A244, ""res(269|122)""), ""none"")"),"269")</f>
        <v>269</v>
      </c>
      <c r="F244" s="1">
        <v>-15.561513</v>
      </c>
      <c r="G244" s="1">
        <v>7.0</v>
      </c>
      <c r="H244" s="1">
        <v>2.0</v>
      </c>
      <c r="I244" s="1">
        <v>0.285714</v>
      </c>
      <c r="J244" s="1">
        <v>2.0</v>
      </c>
      <c r="K244" s="1">
        <v>-0.958047</v>
      </c>
      <c r="L244" s="1">
        <v>100.0</v>
      </c>
      <c r="M244" s="1">
        <v>0.0</v>
      </c>
      <c r="N244" s="1">
        <v>0.0</v>
      </c>
      <c r="O244" s="1">
        <v>94.766154</v>
      </c>
    </row>
    <row r="245">
      <c r="A245" s="1" t="s">
        <v>772</v>
      </c>
      <c r="B245" s="1" t="s">
        <v>773</v>
      </c>
      <c r="C245" s="5"/>
      <c r="D245" s="5"/>
      <c r="E245" s="1" t="str">
        <f>IFERROR(__xludf.DUMMYFUNCTION("IFERROR(REGEXEXTRACT(A245, ""res(269|122)""), ""none"")"),"269")</f>
        <v>269</v>
      </c>
      <c r="F245" s="1">
        <v>-15.089943</v>
      </c>
      <c r="G245" s="1">
        <v>9.0</v>
      </c>
      <c r="H245" s="1">
        <v>3.0</v>
      </c>
      <c r="I245" s="1">
        <v>0.444444</v>
      </c>
      <c r="J245" s="1">
        <v>2.0</v>
      </c>
      <c r="K245" s="1">
        <v>-0.893755</v>
      </c>
      <c r="L245" s="1">
        <v>100.0</v>
      </c>
      <c r="M245" s="1">
        <v>0.0</v>
      </c>
      <c r="N245" s="1">
        <v>0.0</v>
      </c>
      <c r="O245" s="1">
        <v>98.460746</v>
      </c>
    </row>
    <row r="246">
      <c r="A246" s="1" t="s">
        <v>774</v>
      </c>
      <c r="B246" s="1" t="s">
        <v>775</v>
      </c>
      <c r="C246" s="5"/>
      <c r="D246" s="5"/>
      <c r="E246" s="1" t="str">
        <f>IFERROR(__xludf.DUMMYFUNCTION("IFERROR(REGEXEXTRACT(A246, ""res(269|122)""), ""none"")"),"269")</f>
        <v>269</v>
      </c>
      <c r="F246" s="1">
        <v>-15.129961</v>
      </c>
      <c r="G246" s="1">
        <v>9.0</v>
      </c>
      <c r="H246" s="1">
        <v>1.0</v>
      </c>
      <c r="I246" s="1">
        <v>0.333333</v>
      </c>
      <c r="J246" s="1">
        <v>2.0</v>
      </c>
      <c r="K246" s="1">
        <v>-1.424951</v>
      </c>
      <c r="L246" s="1">
        <v>100.0</v>
      </c>
      <c r="M246" s="1">
        <v>0.0</v>
      </c>
      <c r="N246" s="1">
        <v>0.0</v>
      </c>
      <c r="O246" s="1">
        <v>95.778421</v>
      </c>
    </row>
    <row r="247">
      <c r="A247" s="1" t="s">
        <v>776</v>
      </c>
      <c r="B247" s="1" t="s">
        <v>777</v>
      </c>
      <c r="C247" s="5"/>
      <c r="D247" s="5"/>
      <c r="E247" s="1" t="str">
        <f>IFERROR(__xludf.DUMMYFUNCTION("IFERROR(REGEXEXTRACT(A247, ""res(269|122)""), ""none"")"),"269")</f>
        <v>269</v>
      </c>
      <c r="F247" s="1">
        <v>-15.779634</v>
      </c>
      <c r="G247" s="1">
        <v>10.0</v>
      </c>
      <c r="H247" s="1">
        <v>5.0</v>
      </c>
      <c r="I247" s="1">
        <v>0.3</v>
      </c>
      <c r="J247" s="1">
        <v>2.0</v>
      </c>
      <c r="K247" s="1">
        <v>-0.855369</v>
      </c>
      <c r="L247" s="1">
        <v>100.0</v>
      </c>
      <c r="M247" s="1">
        <v>0.0</v>
      </c>
      <c r="N247" s="1">
        <v>0.0</v>
      </c>
      <c r="O247" s="1">
        <v>100.664997</v>
      </c>
    </row>
    <row r="248">
      <c r="A248" s="1" t="s">
        <v>778</v>
      </c>
      <c r="B248" s="1" t="s">
        <v>779</v>
      </c>
      <c r="C248" s="5"/>
      <c r="D248" s="5"/>
      <c r="E248" s="1" t="str">
        <f>IFERROR(__xludf.DUMMYFUNCTION("IFERROR(REGEXEXTRACT(A248, ""res(269|122)""), ""none"")"),"269")</f>
        <v>269</v>
      </c>
      <c r="F248" s="1">
        <v>-15.06211</v>
      </c>
      <c r="G248" s="1">
        <v>7.0</v>
      </c>
      <c r="H248" s="1">
        <v>3.0</v>
      </c>
      <c r="I248" s="1">
        <v>0.285714</v>
      </c>
      <c r="J248" s="1">
        <v>2.0</v>
      </c>
      <c r="K248" s="1">
        <v>-0.778561</v>
      </c>
      <c r="L248" s="1">
        <v>100.0</v>
      </c>
      <c r="M248" s="1">
        <v>0.0</v>
      </c>
      <c r="N248" s="1">
        <v>0.0</v>
      </c>
      <c r="O248" s="1">
        <v>96.445043</v>
      </c>
    </row>
    <row r="249">
      <c r="A249" s="1" t="s">
        <v>780</v>
      </c>
      <c r="B249" s="1" t="s">
        <v>781</v>
      </c>
      <c r="C249" s="5"/>
      <c r="D249" s="5"/>
      <c r="E249" s="1" t="str">
        <f>IFERROR(__xludf.DUMMYFUNCTION("IFERROR(REGEXEXTRACT(A249, ""res(269|122)""), ""none"")"),"269")</f>
        <v>269</v>
      </c>
      <c r="F249" s="1">
        <v>-15.228987</v>
      </c>
      <c r="G249" s="1">
        <v>7.0</v>
      </c>
      <c r="H249" s="1">
        <v>1.0</v>
      </c>
      <c r="I249" s="1">
        <v>0.285714</v>
      </c>
      <c r="J249" s="1">
        <v>2.0</v>
      </c>
      <c r="K249" s="1">
        <v>-0.497766</v>
      </c>
      <c r="L249" s="1">
        <v>100.0</v>
      </c>
      <c r="M249" s="1">
        <v>0.0</v>
      </c>
      <c r="N249" s="1">
        <v>0.0</v>
      </c>
      <c r="O249" s="1">
        <v>94.558961</v>
      </c>
    </row>
    <row r="250">
      <c r="A250" s="1" t="s">
        <v>782</v>
      </c>
      <c r="B250" s="1" t="s">
        <v>783</v>
      </c>
      <c r="C250" s="5"/>
      <c r="D250" s="5"/>
      <c r="E250" s="1" t="str">
        <f>IFERROR(__xludf.DUMMYFUNCTION("IFERROR(REGEXEXTRACT(A250, ""res(269|122)""), ""none"")"),"269")</f>
        <v>269</v>
      </c>
      <c r="F250" s="1">
        <v>-16.62153</v>
      </c>
      <c r="G250" s="1">
        <v>7.0</v>
      </c>
      <c r="H250" s="1">
        <v>3.0</v>
      </c>
      <c r="I250" s="1">
        <v>0.285714</v>
      </c>
      <c r="J250" s="1">
        <v>2.0</v>
      </c>
      <c r="K250" s="1">
        <v>-0.582049</v>
      </c>
      <c r="L250" s="1">
        <v>100.0</v>
      </c>
      <c r="M250" s="1">
        <v>0.0</v>
      </c>
      <c r="N250" s="1">
        <v>0.0</v>
      </c>
      <c r="O250" s="1">
        <v>95.082135</v>
      </c>
    </row>
    <row r="251">
      <c r="A251" s="1" t="s">
        <v>375</v>
      </c>
      <c r="B251" s="1" t="s">
        <v>376</v>
      </c>
      <c r="C251" s="5"/>
      <c r="D251" s="5"/>
      <c r="E251" s="1" t="str">
        <f>IFERROR(__xludf.DUMMYFUNCTION("IFERROR(REGEXEXTRACT(A251, ""res(269|122)""), ""none"")"),"269")</f>
        <v>269</v>
      </c>
      <c r="F251" s="1">
        <v>-15.441678</v>
      </c>
      <c r="G251" s="1">
        <v>7.0</v>
      </c>
      <c r="H251" s="1">
        <v>3.0</v>
      </c>
      <c r="I251" s="1">
        <v>0.571429</v>
      </c>
      <c r="J251" s="1">
        <v>2.0</v>
      </c>
      <c r="K251" s="1">
        <v>-0.383116</v>
      </c>
      <c r="L251" s="1">
        <v>100.0</v>
      </c>
      <c r="M251" s="1">
        <v>0.0</v>
      </c>
      <c r="N251" s="1">
        <v>0.0</v>
      </c>
      <c r="O251" s="1">
        <v>96.746635</v>
      </c>
    </row>
    <row r="252">
      <c r="A252" s="1" t="s">
        <v>784</v>
      </c>
      <c r="B252" s="1" t="s">
        <v>785</v>
      </c>
      <c r="C252" s="5"/>
      <c r="D252" s="5"/>
      <c r="E252" s="1" t="str">
        <f>IFERROR(__xludf.DUMMYFUNCTION("IFERROR(REGEXEXTRACT(A252, ""res(269|122)""), ""none"")"),"269")</f>
        <v>269</v>
      </c>
      <c r="F252" s="1">
        <v>-16.853684</v>
      </c>
      <c r="G252" s="1">
        <v>8.0</v>
      </c>
      <c r="H252" s="1">
        <v>2.0</v>
      </c>
      <c r="I252" s="1">
        <v>0.25</v>
      </c>
      <c r="J252" s="1">
        <v>2.0</v>
      </c>
      <c r="K252" s="1">
        <v>-0.61432</v>
      </c>
      <c r="L252" s="1">
        <v>100.0</v>
      </c>
      <c r="M252" s="1">
        <v>0.0</v>
      </c>
      <c r="N252" s="1">
        <v>0.0</v>
      </c>
      <c r="O252" s="1">
        <v>94.781996</v>
      </c>
    </row>
    <row r="253">
      <c r="A253" s="1" t="s">
        <v>786</v>
      </c>
      <c r="B253" s="1" t="s">
        <v>787</v>
      </c>
      <c r="C253" s="5"/>
      <c r="D253" s="5"/>
      <c r="E253" s="1" t="str">
        <f>IFERROR(__xludf.DUMMYFUNCTION("IFERROR(REGEXEXTRACT(A253, ""res(269|122)""), ""none"")"),"269")</f>
        <v>269</v>
      </c>
      <c r="F253" s="1">
        <v>-16.043158</v>
      </c>
      <c r="G253" s="1">
        <v>11.0</v>
      </c>
      <c r="H253" s="1">
        <v>4.0</v>
      </c>
      <c r="I253" s="1">
        <v>0.272727</v>
      </c>
      <c r="J253" s="1">
        <v>2.0</v>
      </c>
      <c r="K253" s="1">
        <v>-0.622452999999999</v>
      </c>
      <c r="L253" s="1">
        <v>100.0</v>
      </c>
      <c r="M253" s="1">
        <v>0.0</v>
      </c>
      <c r="N253" s="1">
        <v>0.0</v>
      </c>
      <c r="O253" s="1">
        <v>100.607116</v>
      </c>
    </row>
    <row r="254">
      <c r="A254" s="1" t="s">
        <v>788</v>
      </c>
      <c r="B254" s="1" t="s">
        <v>789</v>
      </c>
      <c r="C254" s="5"/>
      <c r="D254" s="5"/>
      <c r="E254" s="1" t="str">
        <f>IFERROR(__xludf.DUMMYFUNCTION("IFERROR(REGEXEXTRACT(A254, ""res(269|122)""), ""none"")"),"269")</f>
        <v>269</v>
      </c>
      <c r="F254" s="1">
        <v>-17.026364</v>
      </c>
      <c r="G254" s="1">
        <v>9.0</v>
      </c>
      <c r="H254" s="1">
        <v>3.0</v>
      </c>
      <c r="I254" s="1">
        <v>0.333333</v>
      </c>
      <c r="J254" s="1">
        <v>2.0</v>
      </c>
      <c r="K254" s="1">
        <v>-1.021611</v>
      </c>
      <c r="L254" s="1">
        <v>100.0</v>
      </c>
      <c r="M254" s="1">
        <v>0.0</v>
      </c>
      <c r="N254" s="1">
        <v>0.0</v>
      </c>
      <c r="O254" s="1">
        <v>96.285358</v>
      </c>
    </row>
    <row r="255">
      <c r="A255" s="1" t="s">
        <v>790</v>
      </c>
      <c r="B255" s="1" t="s">
        <v>791</v>
      </c>
      <c r="C255" s="5"/>
      <c r="D255" s="5"/>
      <c r="E255" s="1" t="str">
        <f>IFERROR(__xludf.DUMMYFUNCTION("IFERROR(REGEXEXTRACT(A255, ""res(269|122)""), ""none"")"),"269")</f>
        <v>269</v>
      </c>
      <c r="F255" s="1">
        <v>-15.968585</v>
      </c>
      <c r="G255" s="1">
        <v>7.0</v>
      </c>
      <c r="H255" s="1">
        <v>2.0</v>
      </c>
      <c r="I255" s="1">
        <v>0.285714</v>
      </c>
      <c r="J255" s="1">
        <v>2.0</v>
      </c>
      <c r="K255" s="1">
        <v>-1.25003</v>
      </c>
      <c r="L255" s="1">
        <v>100.0</v>
      </c>
      <c r="M255" s="1">
        <v>0.0</v>
      </c>
      <c r="N255" s="1">
        <v>0.0</v>
      </c>
      <c r="O255" s="1">
        <v>94.067099</v>
      </c>
    </row>
    <row r="256">
      <c r="A256" s="1" t="s">
        <v>792</v>
      </c>
      <c r="B256" s="1" t="s">
        <v>793</v>
      </c>
      <c r="C256" s="5"/>
      <c r="D256" s="5"/>
      <c r="E256" s="1" t="str">
        <f>IFERROR(__xludf.DUMMYFUNCTION("IFERROR(REGEXEXTRACT(A256, ""res(269|122)""), ""none"")"),"269")</f>
        <v>269</v>
      </c>
      <c r="F256" s="1">
        <v>-15.701944</v>
      </c>
      <c r="G256" s="1">
        <v>7.0</v>
      </c>
      <c r="H256" s="1">
        <v>3.0</v>
      </c>
      <c r="I256" s="1">
        <v>0.285714</v>
      </c>
      <c r="J256" s="1">
        <v>2.0</v>
      </c>
      <c r="K256" s="1">
        <v>-0.189779</v>
      </c>
      <c r="L256" s="1">
        <v>100.0</v>
      </c>
      <c r="M256" s="1">
        <v>0.0</v>
      </c>
      <c r="N256" s="1">
        <v>0.0</v>
      </c>
      <c r="O256" s="1">
        <v>96.393991</v>
      </c>
    </row>
    <row r="257">
      <c r="A257" s="1" t="s">
        <v>794</v>
      </c>
      <c r="B257" s="1" t="s">
        <v>795</v>
      </c>
      <c r="C257" s="5"/>
      <c r="D257" s="5"/>
      <c r="E257" s="1" t="str">
        <f>IFERROR(__xludf.DUMMYFUNCTION("IFERROR(REGEXEXTRACT(A257, ""res(269|122)""), ""none"")"),"269")</f>
        <v>269</v>
      </c>
      <c r="F257" s="1">
        <v>-15.795906</v>
      </c>
      <c r="G257" s="1">
        <v>11.0</v>
      </c>
      <c r="H257" s="1">
        <v>4.0</v>
      </c>
      <c r="I257" s="1">
        <v>0.363636</v>
      </c>
      <c r="J257" s="1">
        <v>2.0</v>
      </c>
      <c r="K257" s="1">
        <v>-1.368672</v>
      </c>
      <c r="L257" s="1">
        <v>100.0</v>
      </c>
      <c r="M257" s="1">
        <v>0.0</v>
      </c>
      <c r="N257" s="1">
        <v>0.0</v>
      </c>
      <c r="O257" s="1">
        <v>100.199058</v>
      </c>
    </row>
    <row r="258">
      <c r="A258" s="1" t="s">
        <v>796</v>
      </c>
      <c r="B258" s="1" t="s">
        <v>797</v>
      </c>
      <c r="C258" s="5"/>
      <c r="D258" s="5"/>
      <c r="E258" s="1" t="str">
        <f>IFERROR(__xludf.DUMMYFUNCTION("IFERROR(REGEXEXTRACT(A258, ""res(269|122)""), ""none"")"),"269")</f>
        <v>269</v>
      </c>
      <c r="F258" s="1">
        <v>-16.171652</v>
      </c>
      <c r="G258" s="1">
        <v>11.0</v>
      </c>
      <c r="H258" s="1">
        <v>4.0</v>
      </c>
      <c r="I258" s="1">
        <v>0.272727</v>
      </c>
      <c r="J258" s="1">
        <v>2.0</v>
      </c>
      <c r="K258" s="1">
        <v>-0.585379</v>
      </c>
      <c r="L258" s="1">
        <v>100.0</v>
      </c>
      <c r="M258" s="1">
        <v>0.0</v>
      </c>
      <c r="N258" s="1">
        <v>0.0</v>
      </c>
      <c r="O258" s="1">
        <v>100.515696</v>
      </c>
    </row>
    <row r="259">
      <c r="A259" s="1" t="s">
        <v>798</v>
      </c>
      <c r="B259" s="1" t="s">
        <v>799</v>
      </c>
      <c r="C259" s="5"/>
      <c r="D259" s="5"/>
      <c r="E259" s="1" t="str">
        <f>IFERROR(__xludf.DUMMYFUNCTION("IFERROR(REGEXEXTRACT(A259, ""res(269|122)""), ""none"")"),"269")</f>
        <v>269</v>
      </c>
      <c r="F259" s="1">
        <v>-16.782024</v>
      </c>
      <c r="G259" s="1">
        <v>12.0</v>
      </c>
      <c r="H259" s="1">
        <v>4.0</v>
      </c>
      <c r="I259" s="1">
        <v>0.583333</v>
      </c>
      <c r="J259" s="1">
        <v>2.0</v>
      </c>
      <c r="K259" s="1">
        <v>-1.036546</v>
      </c>
      <c r="L259" s="1">
        <v>100.0</v>
      </c>
      <c r="M259" s="1">
        <v>0.0</v>
      </c>
      <c r="N259" s="1">
        <v>0.0</v>
      </c>
      <c r="O259" s="1">
        <v>100.764763</v>
      </c>
    </row>
    <row r="260">
      <c r="A260" s="1" t="s">
        <v>800</v>
      </c>
      <c r="B260" s="1" t="s">
        <v>801</v>
      </c>
      <c r="C260" s="5"/>
      <c r="D260" s="5"/>
      <c r="E260" s="1" t="str">
        <f>IFERROR(__xludf.DUMMYFUNCTION("IFERROR(REGEXEXTRACT(A260, ""res(269|122)""), ""none"")"),"269")</f>
        <v>269</v>
      </c>
      <c r="F260" s="1">
        <v>-16.864079</v>
      </c>
      <c r="G260" s="1">
        <v>8.0</v>
      </c>
      <c r="H260" s="1">
        <v>3.0</v>
      </c>
      <c r="I260" s="1">
        <v>0.375</v>
      </c>
      <c r="J260" s="1">
        <v>2.0</v>
      </c>
      <c r="K260" s="1">
        <v>-0.61508</v>
      </c>
      <c r="L260" s="1">
        <v>100.0</v>
      </c>
      <c r="M260" s="1">
        <v>0.0</v>
      </c>
      <c r="N260" s="1">
        <v>0.0</v>
      </c>
      <c r="O260" s="1">
        <v>95.895841</v>
      </c>
    </row>
    <row r="261">
      <c r="A261" s="1" t="s">
        <v>802</v>
      </c>
      <c r="B261" s="1" t="s">
        <v>803</v>
      </c>
      <c r="C261" s="5"/>
      <c r="D261" s="5"/>
      <c r="E261" s="1" t="str">
        <f>IFERROR(__xludf.DUMMYFUNCTION("IFERROR(REGEXEXTRACT(A261, ""res(269|122)""), ""none"")"),"269")</f>
        <v>269</v>
      </c>
      <c r="F261" s="1">
        <v>-15.073154</v>
      </c>
      <c r="G261" s="1">
        <v>10.0</v>
      </c>
      <c r="H261" s="1">
        <v>2.0</v>
      </c>
      <c r="I261" s="1">
        <v>0.4</v>
      </c>
      <c r="J261" s="1">
        <v>2.0</v>
      </c>
      <c r="K261" s="1">
        <v>-1.488286</v>
      </c>
      <c r="L261" s="1">
        <v>100.0</v>
      </c>
      <c r="M261" s="1">
        <v>0.0</v>
      </c>
      <c r="N261" s="1">
        <v>0.0</v>
      </c>
      <c r="O261" s="1">
        <v>97.83856</v>
      </c>
    </row>
    <row r="262">
      <c r="A262" s="1" t="s">
        <v>804</v>
      </c>
      <c r="B262" s="1" t="s">
        <v>805</v>
      </c>
      <c r="C262" s="5"/>
      <c r="D262" s="5"/>
      <c r="E262" s="1" t="str">
        <f>IFERROR(__xludf.DUMMYFUNCTION("IFERROR(REGEXEXTRACT(A262, ""res(269|122)""), ""none"")"),"269")</f>
        <v>269</v>
      </c>
      <c r="F262" s="1">
        <v>-16.216069</v>
      </c>
      <c r="G262" s="1">
        <v>7.0</v>
      </c>
      <c r="H262" s="1">
        <v>2.0</v>
      </c>
      <c r="I262" s="1">
        <v>0.285714</v>
      </c>
      <c r="J262" s="1">
        <v>2.0</v>
      </c>
      <c r="K262" s="1">
        <v>-0.390856</v>
      </c>
      <c r="L262" s="1">
        <v>100.0</v>
      </c>
      <c r="M262" s="1">
        <v>0.0</v>
      </c>
      <c r="N262" s="1">
        <v>0.0</v>
      </c>
      <c r="O262" s="1">
        <v>94.678789</v>
      </c>
    </row>
    <row r="263">
      <c r="A263" s="1" t="s">
        <v>806</v>
      </c>
      <c r="B263" s="1" t="s">
        <v>807</v>
      </c>
      <c r="C263" s="5"/>
      <c r="D263" s="5"/>
      <c r="E263" s="1" t="str">
        <f>IFERROR(__xludf.DUMMYFUNCTION("IFERROR(REGEXEXTRACT(A263, ""res(269|122)""), ""none"")"),"269")</f>
        <v>269</v>
      </c>
      <c r="F263" s="1">
        <v>-17.639319</v>
      </c>
      <c r="G263" s="1">
        <v>12.0</v>
      </c>
      <c r="H263" s="1">
        <v>3.0</v>
      </c>
      <c r="I263" s="1">
        <v>0.25</v>
      </c>
      <c r="J263" s="1">
        <v>2.0</v>
      </c>
      <c r="K263" s="1">
        <v>-0.813736</v>
      </c>
      <c r="L263" s="1">
        <v>100.0</v>
      </c>
      <c r="M263" s="1">
        <v>0.0</v>
      </c>
      <c r="N263" s="1">
        <v>0.0</v>
      </c>
      <c r="O263" s="1">
        <v>98.796945</v>
      </c>
    </row>
    <row r="264">
      <c r="A264" s="1" t="s">
        <v>808</v>
      </c>
      <c r="B264" s="1" t="s">
        <v>809</v>
      </c>
      <c r="C264" s="5"/>
      <c r="D264" s="5"/>
      <c r="E264" s="1" t="str">
        <f>IFERROR(__xludf.DUMMYFUNCTION("IFERROR(REGEXEXTRACT(A264, ""res(269|122)""), ""none"")"),"269")</f>
        <v>269</v>
      </c>
      <c r="F264" s="1">
        <v>-15.326067</v>
      </c>
      <c r="G264" s="1">
        <v>6.0</v>
      </c>
      <c r="H264" s="1">
        <v>1.0</v>
      </c>
      <c r="I264" s="1">
        <v>0.333333</v>
      </c>
      <c r="J264" s="1">
        <v>2.0</v>
      </c>
      <c r="K264" s="1">
        <v>-1.450523</v>
      </c>
      <c r="L264" s="1">
        <v>100.0</v>
      </c>
      <c r="M264" s="1">
        <v>0.0</v>
      </c>
      <c r="N264" s="1">
        <v>0.0</v>
      </c>
      <c r="O264" s="1">
        <v>92.556743</v>
      </c>
    </row>
    <row r="265">
      <c r="A265" s="1" t="s">
        <v>810</v>
      </c>
      <c r="B265" s="1" t="s">
        <v>811</v>
      </c>
      <c r="C265" s="5"/>
      <c r="D265" s="5"/>
      <c r="E265" s="1" t="str">
        <f>IFERROR(__xludf.DUMMYFUNCTION("IFERROR(REGEXEXTRACT(A265, ""res(269|122)""), ""none"")"),"269")</f>
        <v>269</v>
      </c>
      <c r="F265" s="1">
        <v>-16.419687</v>
      </c>
      <c r="G265" s="1">
        <v>11.0</v>
      </c>
      <c r="H265" s="1">
        <v>4.0</v>
      </c>
      <c r="I265" s="1">
        <v>0.272727</v>
      </c>
      <c r="J265" s="1">
        <v>2.0</v>
      </c>
      <c r="K265" s="1">
        <v>-0.954938</v>
      </c>
      <c r="L265" s="1">
        <v>100.0</v>
      </c>
      <c r="M265" s="1">
        <v>0.0</v>
      </c>
      <c r="N265" s="1">
        <v>0.0</v>
      </c>
      <c r="O265" s="1">
        <v>99.898102</v>
      </c>
    </row>
    <row r="266">
      <c r="A266" s="1" t="s">
        <v>812</v>
      </c>
      <c r="B266" s="1" t="s">
        <v>813</v>
      </c>
      <c r="C266" s="5"/>
      <c r="D266" s="5"/>
      <c r="E266" s="1" t="str">
        <f>IFERROR(__xludf.DUMMYFUNCTION("IFERROR(REGEXEXTRACT(A266, ""res(269|122)""), ""none"")"),"269")</f>
        <v>269</v>
      </c>
      <c r="F266" s="1">
        <v>-15.739191</v>
      </c>
      <c r="G266" s="1">
        <v>8.0</v>
      </c>
      <c r="H266" s="1">
        <v>3.0</v>
      </c>
      <c r="I266" s="1">
        <v>0.625</v>
      </c>
      <c r="J266" s="1">
        <v>2.0</v>
      </c>
      <c r="K266" s="1">
        <v>-0.299369999999999</v>
      </c>
      <c r="L266" s="1">
        <v>100.0</v>
      </c>
      <c r="M266" s="1">
        <v>0.0</v>
      </c>
      <c r="N266" s="1">
        <v>0.0</v>
      </c>
      <c r="O266" s="1">
        <v>97.586439</v>
      </c>
    </row>
    <row r="267">
      <c r="A267" s="1" t="s">
        <v>377</v>
      </c>
      <c r="B267" s="1" t="s">
        <v>378</v>
      </c>
      <c r="C267" s="5"/>
      <c r="D267" s="5"/>
      <c r="E267" s="1" t="str">
        <f>IFERROR(__xludf.DUMMYFUNCTION("IFERROR(REGEXEXTRACT(A267, ""res(269|122)""), ""none"")"),"269")</f>
        <v>269</v>
      </c>
      <c r="F267" s="1">
        <v>-15.43829</v>
      </c>
      <c r="G267" s="1">
        <v>8.0</v>
      </c>
      <c r="H267" s="1">
        <v>3.0</v>
      </c>
      <c r="I267" s="1">
        <v>0.375</v>
      </c>
      <c r="J267" s="1">
        <v>2.0</v>
      </c>
      <c r="K267" s="1">
        <v>-1.14393</v>
      </c>
      <c r="L267" s="1">
        <v>100.0</v>
      </c>
      <c r="M267" s="1">
        <v>0.0</v>
      </c>
      <c r="N267" s="1">
        <v>0.0</v>
      </c>
      <c r="O267" s="1">
        <v>96.79278</v>
      </c>
    </row>
    <row r="268">
      <c r="A268" s="1" t="s">
        <v>814</v>
      </c>
      <c r="B268" s="1" t="s">
        <v>815</v>
      </c>
      <c r="C268" s="5"/>
      <c r="D268" s="5"/>
      <c r="E268" s="1" t="str">
        <f>IFERROR(__xludf.DUMMYFUNCTION("IFERROR(REGEXEXTRACT(A268, ""res(269|122)""), ""none"")"),"269")</f>
        <v>269</v>
      </c>
      <c r="F268" s="1">
        <v>-15.995072</v>
      </c>
      <c r="G268" s="1">
        <v>11.0</v>
      </c>
      <c r="H268" s="1">
        <v>3.0</v>
      </c>
      <c r="I268" s="1">
        <v>0.363636</v>
      </c>
      <c r="J268" s="1">
        <v>2.0</v>
      </c>
      <c r="K268" s="1">
        <v>-1.313084</v>
      </c>
      <c r="L268" s="1">
        <v>100.0</v>
      </c>
      <c r="M268" s="1">
        <v>0.0</v>
      </c>
      <c r="N268" s="1">
        <v>0.0</v>
      </c>
      <c r="O268" s="1">
        <v>99.05548</v>
      </c>
    </row>
    <row r="269">
      <c r="A269" s="1" t="s">
        <v>816</v>
      </c>
      <c r="B269" s="1" t="s">
        <v>817</v>
      </c>
      <c r="C269" s="5"/>
      <c r="D269" s="5"/>
      <c r="E269" s="1" t="str">
        <f>IFERROR(__xludf.DUMMYFUNCTION("IFERROR(REGEXEXTRACT(A269, ""res(269|122)""), ""none"")"),"269")</f>
        <v>269</v>
      </c>
      <c r="F269" s="1">
        <v>-15.888689</v>
      </c>
      <c r="G269" s="1">
        <v>10.0</v>
      </c>
      <c r="H269" s="1">
        <v>2.0</v>
      </c>
      <c r="I269" s="1">
        <v>0.3</v>
      </c>
      <c r="J269" s="1">
        <v>2.0</v>
      </c>
      <c r="K269" s="1">
        <v>-0.501779</v>
      </c>
      <c r="L269" s="1">
        <v>100.0</v>
      </c>
      <c r="M269" s="1">
        <v>0.0</v>
      </c>
      <c r="N269" s="1">
        <v>0.0</v>
      </c>
      <c r="O269" s="1">
        <v>97.909532</v>
      </c>
    </row>
    <row r="270">
      <c r="A270" s="1" t="s">
        <v>818</v>
      </c>
      <c r="B270" s="1" t="s">
        <v>819</v>
      </c>
      <c r="C270" s="5"/>
      <c r="D270" s="5"/>
      <c r="E270" s="1" t="str">
        <f>IFERROR(__xludf.DUMMYFUNCTION("IFERROR(REGEXEXTRACT(A270, ""res(269|122)""), ""none"")"),"269")</f>
        <v>269</v>
      </c>
      <c r="F270" s="1">
        <v>-15.155713</v>
      </c>
      <c r="G270" s="1">
        <v>7.0</v>
      </c>
      <c r="H270" s="1">
        <v>2.0</v>
      </c>
      <c r="I270" s="1">
        <v>0.428571</v>
      </c>
      <c r="J270" s="1">
        <v>2.0</v>
      </c>
      <c r="K270" s="1">
        <v>-1.146592</v>
      </c>
      <c r="L270" s="1">
        <v>100.0</v>
      </c>
      <c r="M270" s="1">
        <v>0.0</v>
      </c>
      <c r="N270" s="1">
        <v>0.0</v>
      </c>
      <c r="O270" s="1">
        <v>95.126266</v>
      </c>
    </row>
    <row r="271">
      <c r="A271" s="1" t="s">
        <v>379</v>
      </c>
      <c r="B271" s="1" t="s">
        <v>380</v>
      </c>
      <c r="C271" s="5"/>
      <c r="D271" s="5"/>
      <c r="E271" s="1" t="str">
        <f>IFERROR(__xludf.DUMMYFUNCTION("IFERROR(REGEXEXTRACT(A271, ""res(269|122)""), ""none"")"),"269")</f>
        <v>269</v>
      </c>
      <c r="F271" s="1">
        <v>-16.179464</v>
      </c>
      <c r="G271" s="1">
        <v>11.0</v>
      </c>
      <c r="H271" s="1">
        <v>5.0</v>
      </c>
      <c r="I271" s="1">
        <v>0.454545</v>
      </c>
      <c r="J271" s="1">
        <v>2.0</v>
      </c>
      <c r="K271" s="1">
        <v>-0.328299</v>
      </c>
      <c r="L271" s="1">
        <v>100.0</v>
      </c>
      <c r="M271" s="1">
        <v>0.0</v>
      </c>
      <c r="N271" s="1">
        <v>0.0</v>
      </c>
      <c r="O271" s="1">
        <v>101.946782</v>
      </c>
    </row>
    <row r="272">
      <c r="A272" s="1" t="s">
        <v>820</v>
      </c>
      <c r="B272" s="1" t="s">
        <v>821</v>
      </c>
      <c r="C272" s="5"/>
      <c r="D272" s="5"/>
      <c r="E272" s="1" t="str">
        <f>IFERROR(__xludf.DUMMYFUNCTION("IFERROR(REGEXEXTRACT(A272, ""res(269|122)""), ""none"")"),"269")</f>
        <v>269</v>
      </c>
      <c r="F272" s="1">
        <v>-15.633367</v>
      </c>
      <c r="G272" s="1">
        <v>7.0</v>
      </c>
      <c r="H272" s="1">
        <v>1.0</v>
      </c>
      <c r="I272" s="1">
        <v>0.285714</v>
      </c>
      <c r="J272" s="1">
        <v>2.0</v>
      </c>
      <c r="K272" s="1">
        <v>-1.709096</v>
      </c>
      <c r="L272" s="1">
        <v>100.0</v>
      </c>
      <c r="M272" s="1">
        <v>0.0</v>
      </c>
      <c r="N272" s="1">
        <v>0.0</v>
      </c>
      <c r="O272" s="1">
        <v>92.943251</v>
      </c>
    </row>
    <row r="273">
      <c r="A273" s="1" t="s">
        <v>822</v>
      </c>
      <c r="B273" s="1" t="s">
        <v>823</v>
      </c>
      <c r="C273" s="5"/>
      <c r="D273" s="5"/>
      <c r="E273" s="1" t="str">
        <f>IFERROR(__xludf.DUMMYFUNCTION("IFERROR(REGEXEXTRACT(A273, ""res(269|122)""), ""none"")"),"269")</f>
        <v>269</v>
      </c>
      <c r="F273" s="1">
        <v>-15.42158</v>
      </c>
      <c r="G273" s="1">
        <v>11.0</v>
      </c>
      <c r="H273" s="1">
        <v>4.0</v>
      </c>
      <c r="I273" s="1">
        <v>0.272727</v>
      </c>
      <c r="J273" s="1">
        <v>3.0</v>
      </c>
      <c r="K273" s="1">
        <v>-1.893395</v>
      </c>
      <c r="L273" s="1">
        <v>100.0</v>
      </c>
      <c r="M273" s="1">
        <v>0.0</v>
      </c>
      <c r="N273" s="1">
        <v>0.0</v>
      </c>
      <c r="O273" s="1">
        <v>100.957752</v>
      </c>
    </row>
    <row r="274">
      <c r="A274" s="1" t="s">
        <v>381</v>
      </c>
      <c r="B274" s="1" t="s">
        <v>177</v>
      </c>
      <c r="C274" s="5"/>
      <c r="D274" s="5"/>
      <c r="E274" s="1" t="str">
        <f>IFERROR(__xludf.DUMMYFUNCTION("IFERROR(REGEXEXTRACT(A274, ""res(269|122)""), ""none"")"),"269")</f>
        <v>269</v>
      </c>
      <c r="F274" s="1">
        <v>-15.935374</v>
      </c>
      <c r="G274" s="1">
        <v>10.0</v>
      </c>
      <c r="H274" s="1">
        <v>2.0</v>
      </c>
      <c r="I274" s="1">
        <v>0.3</v>
      </c>
      <c r="J274" s="1">
        <v>3.0</v>
      </c>
      <c r="K274" s="1">
        <v>-1.849118</v>
      </c>
      <c r="L274" s="1">
        <v>100.0</v>
      </c>
      <c r="M274" s="1">
        <v>0.0</v>
      </c>
      <c r="N274" s="1">
        <v>0.0</v>
      </c>
      <c r="O274" s="1">
        <v>97.515508</v>
      </c>
    </row>
    <row r="275">
      <c r="A275" s="1" t="s">
        <v>824</v>
      </c>
      <c r="B275" s="1" t="s">
        <v>825</v>
      </c>
      <c r="C275" s="5"/>
      <c r="D275" s="5"/>
      <c r="E275" s="1" t="str">
        <f>IFERROR(__xludf.DUMMYFUNCTION("IFERROR(REGEXEXTRACT(A275, ""res(269|122)""), ""none"")"),"269")</f>
        <v>269</v>
      </c>
      <c r="F275" s="1">
        <v>-15.008357</v>
      </c>
      <c r="G275" s="1">
        <v>8.0</v>
      </c>
      <c r="H275" s="1">
        <v>2.0</v>
      </c>
      <c r="I275" s="1">
        <v>0.25</v>
      </c>
      <c r="J275" s="1">
        <v>2.0</v>
      </c>
      <c r="K275" s="1">
        <v>-0.295051</v>
      </c>
      <c r="L275" s="1">
        <v>100.0</v>
      </c>
      <c r="M275" s="1">
        <v>0.0</v>
      </c>
      <c r="N275" s="1">
        <v>0.0</v>
      </c>
      <c r="O275" s="1">
        <v>96.946592</v>
      </c>
    </row>
    <row r="276">
      <c r="A276" s="1" t="s">
        <v>826</v>
      </c>
      <c r="B276" s="1" t="s">
        <v>827</v>
      </c>
      <c r="C276" s="5"/>
      <c r="D276" s="5"/>
      <c r="E276" s="1" t="str">
        <f>IFERROR(__xludf.DUMMYFUNCTION("IFERROR(REGEXEXTRACT(A276, ""res(269|122)""), ""none"")"),"269")</f>
        <v>269</v>
      </c>
      <c r="F276" s="1">
        <v>-16.467141</v>
      </c>
      <c r="G276" s="1">
        <v>9.0</v>
      </c>
      <c r="H276" s="1">
        <v>1.0</v>
      </c>
      <c r="I276" s="1">
        <v>0.333333</v>
      </c>
      <c r="J276" s="1">
        <v>2.0</v>
      </c>
      <c r="K276" s="1">
        <v>-0.424315999999999</v>
      </c>
      <c r="L276" s="1">
        <v>100.0</v>
      </c>
      <c r="M276" s="1">
        <v>0.0</v>
      </c>
      <c r="N276" s="1">
        <v>0.0</v>
      </c>
      <c r="O276" s="1">
        <v>95.441876</v>
      </c>
    </row>
    <row r="277">
      <c r="A277" s="1" t="s">
        <v>828</v>
      </c>
      <c r="B277" s="1" t="s">
        <v>829</v>
      </c>
      <c r="C277" s="5"/>
      <c r="D277" s="5"/>
      <c r="E277" s="1" t="str">
        <f>IFERROR(__xludf.DUMMYFUNCTION("IFERROR(REGEXEXTRACT(A277, ""res(269|122)""), ""none"")"),"269")</f>
        <v>269</v>
      </c>
      <c r="F277" s="1">
        <v>-15.535685</v>
      </c>
      <c r="G277" s="1">
        <v>8.0</v>
      </c>
      <c r="H277" s="1">
        <v>2.0</v>
      </c>
      <c r="I277" s="1">
        <v>0.25</v>
      </c>
      <c r="J277" s="1">
        <v>2.0</v>
      </c>
      <c r="K277" s="1">
        <v>-0.527892</v>
      </c>
      <c r="L277" s="1">
        <v>100.0</v>
      </c>
      <c r="M277" s="1">
        <v>0.0</v>
      </c>
      <c r="N277" s="1">
        <v>0.0</v>
      </c>
      <c r="O277" s="1">
        <v>96.186423</v>
      </c>
    </row>
    <row r="278">
      <c r="A278" s="1" t="s">
        <v>830</v>
      </c>
      <c r="B278" s="1" t="s">
        <v>831</v>
      </c>
      <c r="C278" s="5"/>
      <c r="D278" s="5"/>
      <c r="E278" s="1" t="str">
        <f>IFERROR(__xludf.DUMMYFUNCTION("IFERROR(REGEXEXTRACT(A278, ""res(269|122)""), ""none"")"),"269")</f>
        <v>269</v>
      </c>
      <c r="F278" s="1">
        <v>-15.839717</v>
      </c>
      <c r="G278" s="1">
        <v>6.0</v>
      </c>
      <c r="H278" s="1">
        <v>1.0</v>
      </c>
      <c r="I278" s="1">
        <v>0.5</v>
      </c>
      <c r="J278" s="1">
        <v>2.0</v>
      </c>
      <c r="K278" s="1">
        <v>-0.508068</v>
      </c>
      <c r="L278" s="1">
        <v>100.0</v>
      </c>
      <c r="M278" s="1">
        <v>0.0</v>
      </c>
      <c r="N278" s="1">
        <v>0.0</v>
      </c>
      <c r="O278" s="1">
        <v>93.152215</v>
      </c>
    </row>
    <row r="279">
      <c r="A279" s="1" t="s">
        <v>832</v>
      </c>
      <c r="B279" s="1" t="s">
        <v>833</v>
      </c>
      <c r="C279" s="5"/>
      <c r="D279" s="5"/>
      <c r="E279" s="1" t="str">
        <f>IFERROR(__xludf.DUMMYFUNCTION("IFERROR(REGEXEXTRACT(A279, ""res(269|122)""), ""none"")"),"269")</f>
        <v>269</v>
      </c>
      <c r="F279" s="1">
        <v>-15.836233</v>
      </c>
      <c r="G279" s="1">
        <v>7.0</v>
      </c>
      <c r="H279" s="1">
        <v>3.0</v>
      </c>
      <c r="I279" s="1">
        <v>0.428571</v>
      </c>
      <c r="J279" s="1">
        <v>2.0</v>
      </c>
      <c r="K279" s="1">
        <v>-0.436698</v>
      </c>
      <c r="L279" s="1">
        <v>100.0</v>
      </c>
      <c r="M279" s="1">
        <v>0.0</v>
      </c>
      <c r="N279" s="1">
        <v>0.0</v>
      </c>
      <c r="O279" s="1">
        <v>96.15564</v>
      </c>
    </row>
    <row r="280">
      <c r="A280" s="1" t="s">
        <v>382</v>
      </c>
      <c r="B280" s="1" t="s">
        <v>180</v>
      </c>
      <c r="C280" s="5"/>
      <c r="D280" s="5"/>
      <c r="E280" s="1" t="str">
        <f>IFERROR(__xludf.DUMMYFUNCTION("IFERROR(REGEXEXTRACT(A280, ""res(269|122)""), ""none"")"),"269")</f>
        <v>269</v>
      </c>
      <c r="F280" s="1">
        <v>-15.953649</v>
      </c>
      <c r="G280" s="1">
        <v>12.0</v>
      </c>
      <c r="H280" s="1">
        <v>5.0</v>
      </c>
      <c r="I280" s="1">
        <v>0.416667</v>
      </c>
      <c r="J280" s="1">
        <v>3.0</v>
      </c>
      <c r="K280" s="1">
        <v>-0.584621</v>
      </c>
      <c r="L280" s="1">
        <v>100.0</v>
      </c>
      <c r="M280" s="1">
        <v>0.0</v>
      </c>
      <c r="N280" s="1">
        <v>0.0</v>
      </c>
      <c r="O280" s="1">
        <v>103.878397</v>
      </c>
    </row>
    <row r="281">
      <c r="A281" s="1" t="s">
        <v>383</v>
      </c>
      <c r="B281" s="1" t="s">
        <v>183</v>
      </c>
      <c r="C281" s="5"/>
      <c r="D281" s="5"/>
      <c r="E281" s="1" t="str">
        <f>IFERROR(__xludf.DUMMYFUNCTION("IFERROR(REGEXEXTRACT(A281, ""res(269|122)""), ""none"")"),"269")</f>
        <v>269</v>
      </c>
      <c r="F281" s="1">
        <v>-15.953649</v>
      </c>
      <c r="G281" s="1">
        <v>12.0</v>
      </c>
      <c r="H281" s="1">
        <v>5.0</v>
      </c>
      <c r="I281" s="1">
        <v>0.416667</v>
      </c>
      <c r="J281" s="1">
        <v>3.0</v>
      </c>
      <c r="K281" s="1">
        <v>-0.584621</v>
      </c>
      <c r="L281" s="1">
        <v>100.0</v>
      </c>
      <c r="M281" s="1">
        <v>0.0</v>
      </c>
      <c r="N281" s="1">
        <v>0.0</v>
      </c>
      <c r="O281" s="1">
        <v>103.878397</v>
      </c>
    </row>
    <row r="282">
      <c r="A282" s="1" t="s">
        <v>834</v>
      </c>
      <c r="B282" s="1" t="s">
        <v>835</v>
      </c>
      <c r="C282" s="5"/>
      <c r="D282" s="5"/>
      <c r="E282" s="1" t="str">
        <f>IFERROR(__xludf.DUMMYFUNCTION("IFERROR(REGEXEXTRACT(A282, ""res(269|122)""), ""none"")"),"269")</f>
        <v>269</v>
      </c>
      <c r="F282" s="1">
        <v>-16.225663</v>
      </c>
      <c r="G282" s="1">
        <v>8.0</v>
      </c>
      <c r="H282" s="1">
        <v>2.0</v>
      </c>
      <c r="I282" s="1">
        <v>0.375</v>
      </c>
      <c r="J282" s="1">
        <v>2.0</v>
      </c>
      <c r="K282" s="1">
        <v>-0.720027</v>
      </c>
      <c r="L282" s="1">
        <v>100.0</v>
      </c>
      <c r="M282" s="1">
        <v>0.0</v>
      </c>
      <c r="N282" s="1">
        <v>0.0</v>
      </c>
      <c r="O282" s="1">
        <v>95.42931</v>
      </c>
    </row>
    <row r="283">
      <c r="A283" s="1" t="s">
        <v>836</v>
      </c>
      <c r="B283" s="1" t="s">
        <v>837</v>
      </c>
      <c r="C283" s="5"/>
      <c r="D283" s="5"/>
      <c r="E283" s="1" t="str">
        <f>IFERROR(__xludf.DUMMYFUNCTION("IFERROR(REGEXEXTRACT(A283, ""res(269|122)""), ""none"")"),"269")</f>
        <v>269</v>
      </c>
      <c r="F283" s="1">
        <v>-15.207792</v>
      </c>
      <c r="G283" s="1">
        <v>10.0</v>
      </c>
      <c r="H283" s="1">
        <v>5.0</v>
      </c>
      <c r="I283" s="1">
        <v>0.5</v>
      </c>
      <c r="J283" s="1">
        <v>2.0</v>
      </c>
      <c r="K283" s="1">
        <v>-0.487261</v>
      </c>
      <c r="L283" s="1">
        <v>100.0</v>
      </c>
      <c r="M283" s="1">
        <v>0.0</v>
      </c>
      <c r="N283" s="1">
        <v>0.0</v>
      </c>
      <c r="O283" s="1">
        <v>101.804947</v>
      </c>
    </row>
    <row r="284">
      <c r="A284" s="1" t="s">
        <v>384</v>
      </c>
      <c r="B284" s="1" t="s">
        <v>385</v>
      </c>
      <c r="C284" s="5"/>
      <c r="D284" s="5"/>
      <c r="E284" s="1" t="str">
        <f>IFERROR(__xludf.DUMMYFUNCTION("IFERROR(REGEXEXTRACT(A284, ""res(269|122)""), ""none"")"),"269")</f>
        <v>269</v>
      </c>
      <c r="F284" s="1">
        <v>-15.47128</v>
      </c>
      <c r="G284" s="1">
        <v>8.0</v>
      </c>
      <c r="H284" s="1">
        <v>5.0</v>
      </c>
      <c r="I284" s="1">
        <v>0.5</v>
      </c>
      <c r="J284" s="1">
        <v>2.0</v>
      </c>
      <c r="K284" s="1">
        <v>-0.38008</v>
      </c>
      <c r="L284" s="1">
        <v>100.0</v>
      </c>
      <c r="M284" s="1">
        <v>0.0</v>
      </c>
      <c r="N284" s="1">
        <v>0.0</v>
      </c>
      <c r="O284" s="1">
        <v>99.64864</v>
      </c>
    </row>
    <row r="285">
      <c r="A285" s="1" t="s">
        <v>386</v>
      </c>
      <c r="B285" s="1" t="s">
        <v>185</v>
      </c>
      <c r="C285" s="5"/>
      <c r="D285" s="5"/>
      <c r="E285" s="1" t="str">
        <f>IFERROR(__xludf.DUMMYFUNCTION("IFERROR(REGEXEXTRACT(A285, ""res(269|122)""), ""none"")"),"269")</f>
        <v>269</v>
      </c>
      <c r="F285" s="1">
        <v>-15.47128</v>
      </c>
      <c r="G285" s="1">
        <v>8.0</v>
      </c>
      <c r="H285" s="1">
        <v>5.0</v>
      </c>
      <c r="I285" s="1">
        <v>0.5</v>
      </c>
      <c r="J285" s="1">
        <v>2.0</v>
      </c>
      <c r="K285" s="1">
        <v>-0.38008</v>
      </c>
      <c r="L285" s="1">
        <v>100.0</v>
      </c>
      <c r="M285" s="1">
        <v>0.0</v>
      </c>
      <c r="N285" s="1">
        <v>0.0</v>
      </c>
      <c r="O285" s="1">
        <v>99.64864</v>
      </c>
    </row>
    <row r="286">
      <c r="A286" s="1" t="s">
        <v>387</v>
      </c>
      <c r="B286" s="1" t="s">
        <v>388</v>
      </c>
      <c r="C286" s="5"/>
      <c r="D286" s="5"/>
      <c r="E286" s="1" t="str">
        <f>IFERROR(__xludf.DUMMYFUNCTION("IFERROR(REGEXEXTRACT(A286, ""res(269|122)""), ""none"")"),"269")</f>
        <v>269</v>
      </c>
      <c r="F286" s="1">
        <v>-15.350062</v>
      </c>
      <c r="G286" s="1">
        <v>8.0</v>
      </c>
      <c r="H286" s="1">
        <v>3.0</v>
      </c>
      <c r="I286" s="1">
        <v>0.375</v>
      </c>
      <c r="J286" s="1">
        <v>2.0</v>
      </c>
      <c r="K286" s="1">
        <v>-1.00126</v>
      </c>
      <c r="L286" s="1">
        <v>100.0</v>
      </c>
      <c r="M286" s="1">
        <v>0.0</v>
      </c>
      <c r="N286" s="1">
        <v>0.0</v>
      </c>
      <c r="O286" s="1">
        <v>97.023678</v>
      </c>
    </row>
    <row r="287">
      <c r="A287" s="1" t="s">
        <v>838</v>
      </c>
      <c r="B287" s="1" t="s">
        <v>839</v>
      </c>
      <c r="C287" s="5"/>
      <c r="D287" s="5"/>
      <c r="E287" s="1" t="str">
        <f>IFERROR(__xludf.DUMMYFUNCTION("IFERROR(REGEXEXTRACT(A287, ""res(269|122)""), ""none"")"),"269")</f>
        <v>269</v>
      </c>
      <c r="F287" s="1">
        <v>-15.388725</v>
      </c>
      <c r="G287" s="1">
        <v>8.0</v>
      </c>
      <c r="H287" s="1">
        <v>2.0</v>
      </c>
      <c r="I287" s="1">
        <v>0.25</v>
      </c>
      <c r="J287" s="1">
        <v>2.0</v>
      </c>
      <c r="K287" s="1">
        <v>-0.538614</v>
      </c>
      <c r="L287" s="1">
        <v>100.0</v>
      </c>
      <c r="M287" s="1">
        <v>0.0</v>
      </c>
      <c r="N287" s="1">
        <v>0.0</v>
      </c>
      <c r="O287" s="1">
        <v>96.322661</v>
      </c>
    </row>
    <row r="288">
      <c r="A288" s="1" t="s">
        <v>840</v>
      </c>
      <c r="B288" s="1" t="s">
        <v>841</v>
      </c>
      <c r="C288" s="5"/>
      <c r="D288" s="5"/>
      <c r="E288" s="1" t="str">
        <f>IFERROR(__xludf.DUMMYFUNCTION("IFERROR(REGEXEXTRACT(A288, ""res(269|122)""), ""none"")"),"269")</f>
        <v>269</v>
      </c>
      <c r="F288" s="1">
        <v>-15.208228</v>
      </c>
      <c r="G288" s="1">
        <v>7.0</v>
      </c>
      <c r="H288" s="1">
        <v>1.0</v>
      </c>
      <c r="I288" s="1">
        <v>0.285714</v>
      </c>
      <c r="J288" s="1">
        <v>2.0</v>
      </c>
      <c r="K288" s="1">
        <v>-0.319762</v>
      </c>
      <c r="L288" s="1">
        <v>100.0</v>
      </c>
      <c r="M288" s="1">
        <v>0.0</v>
      </c>
      <c r="N288" s="1">
        <v>0.0</v>
      </c>
      <c r="O288" s="1">
        <v>94.757724</v>
      </c>
    </row>
    <row r="289">
      <c r="A289" s="1" t="s">
        <v>842</v>
      </c>
      <c r="B289" s="1" t="s">
        <v>843</v>
      </c>
      <c r="C289" s="5"/>
      <c r="D289" s="5"/>
      <c r="E289" s="1" t="str">
        <f>IFERROR(__xludf.DUMMYFUNCTION("IFERROR(REGEXEXTRACT(A289, ""res(269|122)""), ""none"")"),"269")</f>
        <v>269</v>
      </c>
      <c r="F289" s="1">
        <v>-15.313395</v>
      </c>
      <c r="G289" s="1">
        <v>8.0</v>
      </c>
      <c r="H289" s="1">
        <v>3.0</v>
      </c>
      <c r="I289" s="1">
        <v>0.25</v>
      </c>
      <c r="J289" s="1">
        <v>2.0</v>
      </c>
      <c r="K289" s="1">
        <v>-0.692413</v>
      </c>
      <c r="L289" s="1">
        <v>100.0</v>
      </c>
      <c r="M289" s="1">
        <v>0.0</v>
      </c>
      <c r="N289" s="1">
        <v>0.0</v>
      </c>
      <c r="O289" s="1">
        <v>97.244192</v>
      </c>
    </row>
    <row r="290">
      <c r="A290" s="1" t="s">
        <v>844</v>
      </c>
      <c r="B290" s="1" t="s">
        <v>845</v>
      </c>
      <c r="C290" s="5"/>
      <c r="D290" s="5"/>
      <c r="E290" s="1" t="str">
        <f>IFERROR(__xludf.DUMMYFUNCTION("IFERROR(REGEXEXTRACT(A290, ""res(269|122)""), ""none"")"),"269")</f>
        <v>269</v>
      </c>
      <c r="F290" s="1">
        <v>-15.721708</v>
      </c>
      <c r="G290" s="1">
        <v>8.0</v>
      </c>
      <c r="H290" s="1">
        <v>2.0</v>
      </c>
      <c r="I290" s="1">
        <v>0.25</v>
      </c>
      <c r="J290" s="1">
        <v>2.0</v>
      </c>
      <c r="K290" s="1">
        <v>-0.627078</v>
      </c>
      <c r="L290" s="1">
        <v>100.0</v>
      </c>
      <c r="M290" s="1">
        <v>0.0</v>
      </c>
      <c r="N290" s="1">
        <v>0.0</v>
      </c>
      <c r="O290" s="1">
        <v>95.901214</v>
      </c>
    </row>
    <row r="291">
      <c r="A291" s="1" t="s">
        <v>389</v>
      </c>
      <c r="B291" s="1" t="s">
        <v>390</v>
      </c>
      <c r="C291" s="5"/>
      <c r="D291" s="5"/>
      <c r="E291" s="1" t="str">
        <f>IFERROR(__xludf.DUMMYFUNCTION("IFERROR(REGEXEXTRACT(A291, ""res(269|122)""), ""none"")"),"269")</f>
        <v>269</v>
      </c>
      <c r="F291" s="1">
        <v>-17.013166</v>
      </c>
      <c r="G291" s="1">
        <v>10.0</v>
      </c>
      <c r="H291" s="1">
        <v>3.0</v>
      </c>
      <c r="I291" s="1">
        <v>0.4</v>
      </c>
      <c r="J291" s="1">
        <v>2.0</v>
      </c>
      <c r="K291" s="1">
        <v>-0.429581</v>
      </c>
      <c r="L291" s="1">
        <v>100.0</v>
      </c>
      <c r="M291" s="1">
        <v>0.0</v>
      </c>
      <c r="N291" s="1">
        <v>0.0</v>
      </c>
      <c r="O291" s="1">
        <v>97.957253</v>
      </c>
    </row>
    <row r="292">
      <c r="A292" s="1" t="s">
        <v>846</v>
      </c>
      <c r="B292" s="1" t="s">
        <v>847</v>
      </c>
      <c r="C292" s="5"/>
      <c r="D292" s="5"/>
      <c r="E292" s="1" t="str">
        <f>IFERROR(__xludf.DUMMYFUNCTION("IFERROR(REGEXEXTRACT(A292, ""res(269|122)""), ""none"")"),"269")</f>
        <v>269</v>
      </c>
      <c r="F292" s="1">
        <v>-15.366705</v>
      </c>
      <c r="G292" s="1">
        <v>8.0</v>
      </c>
      <c r="H292" s="1">
        <v>5.0</v>
      </c>
      <c r="I292" s="1">
        <v>0.375</v>
      </c>
      <c r="J292" s="1">
        <v>2.0</v>
      </c>
      <c r="K292" s="1">
        <v>-1.175689</v>
      </c>
      <c r="L292" s="1">
        <v>100.0</v>
      </c>
      <c r="M292" s="1">
        <v>0.0</v>
      </c>
      <c r="N292" s="1">
        <v>0.0</v>
      </c>
      <c r="O292" s="1">
        <v>98.832606</v>
      </c>
    </row>
    <row r="293">
      <c r="A293" s="1" t="s">
        <v>848</v>
      </c>
      <c r="B293" s="1" t="s">
        <v>849</v>
      </c>
      <c r="C293" s="5"/>
      <c r="D293" s="5"/>
      <c r="E293" s="1" t="str">
        <f>IFERROR(__xludf.DUMMYFUNCTION("IFERROR(REGEXEXTRACT(A293, ""res(269|122)""), ""none"")"),"269")</f>
        <v>269</v>
      </c>
      <c r="F293" s="1">
        <v>-16.609541</v>
      </c>
      <c r="G293" s="1">
        <v>13.0</v>
      </c>
      <c r="H293" s="1">
        <v>3.0</v>
      </c>
      <c r="I293" s="1">
        <v>0.307692</v>
      </c>
      <c r="J293" s="1">
        <v>2.0</v>
      </c>
      <c r="K293" s="1">
        <v>-0.78753</v>
      </c>
      <c r="L293" s="1">
        <v>100.0</v>
      </c>
      <c r="M293" s="1">
        <v>0.0</v>
      </c>
      <c r="N293" s="1">
        <v>0.0</v>
      </c>
      <c r="O293" s="1">
        <v>100.910621</v>
      </c>
    </row>
    <row r="294">
      <c r="A294" s="1" t="s">
        <v>391</v>
      </c>
      <c r="B294" s="1" t="s">
        <v>392</v>
      </c>
      <c r="C294" s="5"/>
      <c r="D294" s="5"/>
      <c r="E294" s="1" t="str">
        <f>IFERROR(__xludf.DUMMYFUNCTION("IFERROR(REGEXEXTRACT(A294, ""res(269|122)""), ""none"")"),"269")</f>
        <v>269</v>
      </c>
      <c r="F294" s="1">
        <v>-17.033126</v>
      </c>
      <c r="G294" s="1">
        <v>11.0</v>
      </c>
      <c r="H294" s="1">
        <v>5.0</v>
      </c>
      <c r="I294" s="1">
        <v>0.363636</v>
      </c>
      <c r="J294" s="1">
        <v>2.0</v>
      </c>
      <c r="K294" s="1">
        <v>-1.0082</v>
      </c>
      <c r="L294" s="1">
        <v>100.0</v>
      </c>
      <c r="M294" s="1">
        <v>0.0</v>
      </c>
      <c r="N294" s="1">
        <v>0.0</v>
      </c>
      <c r="O294" s="1">
        <v>100.32231</v>
      </c>
    </row>
    <row r="295">
      <c r="A295" s="1" t="s">
        <v>850</v>
      </c>
      <c r="B295" s="1" t="s">
        <v>851</v>
      </c>
      <c r="C295" s="5"/>
      <c r="D295" s="5"/>
      <c r="E295" s="1" t="str">
        <f>IFERROR(__xludf.DUMMYFUNCTION("IFERROR(REGEXEXTRACT(A295, ""res(269|122)""), ""none"")"),"269")</f>
        <v>269</v>
      </c>
      <c r="F295" s="1">
        <v>-17.462623</v>
      </c>
      <c r="G295" s="1">
        <v>7.0</v>
      </c>
      <c r="H295" s="1">
        <v>3.0</v>
      </c>
      <c r="I295" s="1">
        <v>0.571429</v>
      </c>
      <c r="J295" s="1">
        <v>2.0</v>
      </c>
      <c r="K295" s="1">
        <v>-0.909463</v>
      </c>
      <c r="L295" s="1">
        <v>100.0</v>
      </c>
      <c r="M295" s="1">
        <v>0.0</v>
      </c>
      <c r="N295" s="1">
        <v>0.0</v>
      </c>
      <c r="O295" s="1">
        <v>94.199343</v>
      </c>
    </row>
    <row r="296">
      <c r="A296" s="1" t="s">
        <v>852</v>
      </c>
      <c r="B296" s="1" t="s">
        <v>853</v>
      </c>
      <c r="C296" s="5"/>
      <c r="D296" s="5"/>
      <c r="E296" s="1" t="str">
        <f>IFERROR(__xludf.DUMMYFUNCTION("IFERROR(REGEXEXTRACT(A296, ""res(269|122)""), ""none"")"),"269")</f>
        <v>269</v>
      </c>
      <c r="F296" s="1">
        <v>-16.083759</v>
      </c>
      <c r="G296" s="1">
        <v>8.0</v>
      </c>
      <c r="H296" s="1">
        <v>3.0</v>
      </c>
      <c r="I296" s="1">
        <v>0.25</v>
      </c>
      <c r="J296" s="1">
        <v>3.0</v>
      </c>
      <c r="K296" s="1">
        <v>-1.577405</v>
      </c>
      <c r="L296" s="1">
        <v>100.0</v>
      </c>
      <c r="M296" s="1">
        <v>0.0</v>
      </c>
      <c r="N296" s="1">
        <v>0.0</v>
      </c>
      <c r="O296" s="1">
        <v>96.588836</v>
      </c>
    </row>
    <row r="297">
      <c r="A297" s="1" t="s">
        <v>854</v>
      </c>
      <c r="B297" s="1" t="s">
        <v>855</v>
      </c>
      <c r="C297" s="5"/>
      <c r="D297" s="5"/>
      <c r="E297" s="1" t="str">
        <f>IFERROR(__xludf.DUMMYFUNCTION("IFERROR(REGEXEXTRACT(A297, ""res(269|122)""), ""none"")"),"269")</f>
        <v>269</v>
      </c>
      <c r="F297" s="1">
        <v>-15.73636</v>
      </c>
      <c r="G297" s="1">
        <v>6.0</v>
      </c>
      <c r="H297" s="1">
        <v>3.0</v>
      </c>
      <c r="I297" s="1">
        <v>0.5</v>
      </c>
      <c r="J297" s="1">
        <v>2.0</v>
      </c>
      <c r="K297" s="1">
        <v>-0.341348999999999</v>
      </c>
      <c r="L297" s="1">
        <v>100.0</v>
      </c>
      <c r="M297" s="1">
        <v>0.0</v>
      </c>
      <c r="N297" s="1">
        <v>0.0</v>
      </c>
      <c r="O297" s="1">
        <v>95.422291</v>
      </c>
    </row>
    <row r="298">
      <c r="A298" s="1" t="s">
        <v>856</v>
      </c>
      <c r="B298" s="1" t="s">
        <v>857</v>
      </c>
      <c r="C298" s="5"/>
      <c r="D298" s="5"/>
      <c r="E298" s="1" t="str">
        <f>IFERROR(__xludf.DUMMYFUNCTION("IFERROR(REGEXEXTRACT(A298, ""res(269|122)""), ""none"")"),"269")</f>
        <v>269</v>
      </c>
      <c r="F298" s="1">
        <v>-15.16839</v>
      </c>
      <c r="G298" s="1">
        <v>10.0</v>
      </c>
      <c r="H298" s="1">
        <v>3.0</v>
      </c>
      <c r="I298" s="1">
        <v>0.4</v>
      </c>
      <c r="J298" s="1">
        <v>2.0</v>
      </c>
      <c r="K298" s="1">
        <v>-1.293499</v>
      </c>
      <c r="L298" s="1">
        <v>100.0</v>
      </c>
      <c r="M298" s="1">
        <v>0.0</v>
      </c>
      <c r="N298" s="1">
        <v>0.0</v>
      </c>
      <c r="O298" s="1">
        <v>98.938111</v>
      </c>
    </row>
    <row r="299">
      <c r="A299" s="1" t="s">
        <v>858</v>
      </c>
      <c r="B299" s="1" t="s">
        <v>859</v>
      </c>
      <c r="C299" s="5"/>
      <c r="D299" s="5"/>
      <c r="E299" s="1" t="str">
        <f>IFERROR(__xludf.DUMMYFUNCTION("IFERROR(REGEXEXTRACT(A299, ""res(269|122)""), ""none"")"),"269")</f>
        <v>269</v>
      </c>
      <c r="F299" s="1">
        <v>-15.267258</v>
      </c>
      <c r="G299" s="1">
        <v>10.0</v>
      </c>
      <c r="H299" s="1">
        <v>3.0</v>
      </c>
      <c r="I299" s="1">
        <v>0.4</v>
      </c>
      <c r="J299" s="1">
        <v>2.0</v>
      </c>
      <c r="K299" s="1">
        <v>-0.752593</v>
      </c>
      <c r="L299" s="1">
        <v>100.0</v>
      </c>
      <c r="M299" s="1">
        <v>0.0</v>
      </c>
      <c r="N299" s="1">
        <v>0.0</v>
      </c>
      <c r="O299" s="1">
        <v>99.380149</v>
      </c>
    </row>
    <row r="300">
      <c r="A300" s="1" t="s">
        <v>860</v>
      </c>
      <c r="B300" s="1" t="s">
        <v>861</v>
      </c>
      <c r="C300" s="5"/>
      <c r="D300" s="5"/>
      <c r="E300" s="1" t="str">
        <f>IFERROR(__xludf.DUMMYFUNCTION("IFERROR(REGEXEXTRACT(A300, ""res(269|122)""), ""none"")"),"269")</f>
        <v>269</v>
      </c>
      <c r="F300" s="1">
        <v>-15.466833</v>
      </c>
      <c r="G300" s="1">
        <v>8.0</v>
      </c>
      <c r="H300" s="1">
        <v>3.0</v>
      </c>
      <c r="I300" s="1">
        <v>0.5</v>
      </c>
      <c r="J300" s="1">
        <v>2.0</v>
      </c>
      <c r="K300" s="1">
        <v>-0.908309</v>
      </c>
      <c r="L300" s="1">
        <v>100.0</v>
      </c>
      <c r="M300" s="1">
        <v>0.0</v>
      </c>
      <c r="N300" s="1">
        <v>0.0</v>
      </c>
      <c r="O300" s="1">
        <v>97.124858</v>
      </c>
    </row>
    <row r="301">
      <c r="A301" s="1" t="s">
        <v>862</v>
      </c>
      <c r="B301" s="1" t="s">
        <v>863</v>
      </c>
      <c r="C301" s="5"/>
      <c r="D301" s="5"/>
      <c r="E301" s="1" t="str">
        <f>IFERROR(__xludf.DUMMYFUNCTION("IFERROR(REGEXEXTRACT(A301, ""res(269|122)""), ""none"")"),"269")</f>
        <v>269</v>
      </c>
      <c r="F301" s="1">
        <v>-15.440269</v>
      </c>
      <c r="G301" s="1">
        <v>9.0</v>
      </c>
      <c r="H301" s="1">
        <v>2.0</v>
      </c>
      <c r="I301" s="1">
        <v>0.333333</v>
      </c>
      <c r="J301" s="1">
        <v>2.0</v>
      </c>
      <c r="K301" s="1">
        <v>-0.877261</v>
      </c>
      <c r="L301" s="1">
        <v>100.0</v>
      </c>
      <c r="M301" s="1">
        <v>0.0</v>
      </c>
      <c r="N301" s="1">
        <v>0.0</v>
      </c>
      <c r="O301" s="1">
        <v>97.015803</v>
      </c>
    </row>
    <row r="302">
      <c r="A302" s="1" t="s">
        <v>864</v>
      </c>
      <c r="B302" s="1" t="s">
        <v>865</v>
      </c>
      <c r="C302" s="5"/>
      <c r="D302" s="5"/>
      <c r="E302" s="1" t="str">
        <f>IFERROR(__xludf.DUMMYFUNCTION("IFERROR(REGEXEXTRACT(A302, ""res(269|122)""), ""none"")"),"269")</f>
        <v>269</v>
      </c>
      <c r="F302" s="1">
        <v>-15.95213</v>
      </c>
      <c r="G302" s="1">
        <v>10.0</v>
      </c>
      <c r="H302" s="1">
        <v>2.0</v>
      </c>
      <c r="I302" s="1">
        <v>0.3</v>
      </c>
      <c r="J302" s="1">
        <v>3.0</v>
      </c>
      <c r="K302" s="1">
        <v>-0.719791</v>
      </c>
      <c r="L302" s="1">
        <v>100.0</v>
      </c>
      <c r="M302" s="1">
        <v>0.0</v>
      </c>
      <c r="N302" s="1">
        <v>0.0</v>
      </c>
      <c r="O302" s="1">
        <v>98.628079</v>
      </c>
    </row>
    <row r="303">
      <c r="A303" s="1" t="s">
        <v>866</v>
      </c>
      <c r="B303" s="1" t="s">
        <v>867</v>
      </c>
      <c r="C303" s="5"/>
      <c r="D303" s="5"/>
      <c r="E303" s="1" t="str">
        <f>IFERROR(__xludf.DUMMYFUNCTION("IFERROR(REGEXEXTRACT(A303, ""res(269|122)""), ""none"")"),"269")</f>
        <v>269</v>
      </c>
      <c r="F303" s="1">
        <v>-15.017663</v>
      </c>
      <c r="G303" s="1">
        <v>9.0</v>
      </c>
      <c r="H303" s="1">
        <v>2.0</v>
      </c>
      <c r="I303" s="1">
        <v>0.333333</v>
      </c>
      <c r="J303" s="1">
        <v>2.0</v>
      </c>
      <c r="K303" s="1">
        <v>-0.893776999999999</v>
      </c>
      <c r="L303" s="1">
        <v>100.0</v>
      </c>
      <c r="M303" s="1">
        <v>0.0</v>
      </c>
      <c r="N303" s="1">
        <v>0.0</v>
      </c>
      <c r="O303" s="1">
        <v>97.421893</v>
      </c>
    </row>
    <row r="304">
      <c r="A304" s="1" t="s">
        <v>393</v>
      </c>
      <c r="B304" s="1" t="s">
        <v>394</v>
      </c>
      <c r="C304" s="5"/>
      <c r="D304" s="5"/>
      <c r="E304" s="1" t="str">
        <f>IFERROR(__xludf.DUMMYFUNCTION("IFERROR(REGEXEXTRACT(A304, ""res(269|122)""), ""none"")"),"269")</f>
        <v>269</v>
      </c>
      <c r="F304" s="1">
        <v>-15.889195</v>
      </c>
      <c r="G304" s="1">
        <v>10.0</v>
      </c>
      <c r="H304" s="1">
        <v>4.0</v>
      </c>
      <c r="I304" s="1">
        <v>0.3</v>
      </c>
      <c r="J304" s="1">
        <v>2.0</v>
      </c>
      <c r="K304" s="1">
        <v>-1.177871</v>
      </c>
      <c r="L304" s="1">
        <v>100.0</v>
      </c>
      <c r="M304" s="1">
        <v>0.0</v>
      </c>
      <c r="N304" s="1">
        <v>0.0</v>
      </c>
      <c r="O304" s="1">
        <v>99.232934</v>
      </c>
    </row>
    <row r="305">
      <c r="A305" s="1" t="s">
        <v>868</v>
      </c>
      <c r="B305" s="1" t="s">
        <v>869</v>
      </c>
      <c r="C305" s="5"/>
      <c r="D305" s="5"/>
      <c r="E305" s="1" t="str">
        <f>IFERROR(__xludf.DUMMYFUNCTION("IFERROR(REGEXEXTRACT(A305, ""res(269|122)""), ""none"")"),"269")</f>
        <v>269</v>
      </c>
      <c r="F305" s="1">
        <v>-15.798237</v>
      </c>
      <c r="G305" s="1">
        <v>10.0</v>
      </c>
      <c r="H305" s="1">
        <v>5.0</v>
      </c>
      <c r="I305" s="1">
        <v>0.3</v>
      </c>
      <c r="J305" s="1">
        <v>2.0</v>
      </c>
      <c r="K305" s="1">
        <v>-0.411076</v>
      </c>
      <c r="L305" s="1">
        <v>100.0</v>
      </c>
      <c r="M305" s="1">
        <v>0.0</v>
      </c>
      <c r="N305" s="1">
        <v>0.0</v>
      </c>
      <c r="O305" s="1">
        <v>101.090687</v>
      </c>
    </row>
    <row r="306">
      <c r="A306" s="1" t="s">
        <v>870</v>
      </c>
      <c r="B306" s="1" t="s">
        <v>871</v>
      </c>
      <c r="C306" s="5"/>
      <c r="D306" s="5"/>
      <c r="E306" s="1" t="str">
        <f>IFERROR(__xludf.DUMMYFUNCTION("IFERROR(REGEXEXTRACT(A306, ""res(269|122)""), ""none"")"),"269")</f>
        <v>269</v>
      </c>
      <c r="F306" s="1">
        <v>-16.621533</v>
      </c>
      <c r="G306" s="1">
        <v>7.0</v>
      </c>
      <c r="H306" s="1">
        <v>4.0</v>
      </c>
      <c r="I306" s="1">
        <v>0.285714</v>
      </c>
      <c r="J306" s="1">
        <v>2.0</v>
      </c>
      <c r="K306" s="1">
        <v>-0.270832</v>
      </c>
      <c r="L306" s="1">
        <v>100.0</v>
      </c>
      <c r="M306" s="1">
        <v>0.0</v>
      </c>
      <c r="N306" s="1">
        <v>0.0</v>
      </c>
      <c r="O306" s="1">
        <v>96.393349</v>
      </c>
    </row>
    <row r="307">
      <c r="A307" s="1" t="s">
        <v>872</v>
      </c>
      <c r="B307" s="1" t="s">
        <v>873</v>
      </c>
      <c r="C307" s="5"/>
      <c r="D307" s="5"/>
      <c r="E307" s="1" t="str">
        <f>IFERROR(__xludf.DUMMYFUNCTION("IFERROR(REGEXEXTRACT(A307, ""res(269|122)""), ""none"")"),"269")</f>
        <v>269</v>
      </c>
      <c r="F307" s="1">
        <v>-16.35205</v>
      </c>
      <c r="G307" s="1">
        <v>8.0</v>
      </c>
      <c r="H307" s="1">
        <v>2.0</v>
      </c>
      <c r="I307" s="1">
        <v>0.25</v>
      </c>
      <c r="J307" s="1">
        <v>2.0</v>
      </c>
      <c r="K307" s="1">
        <v>-0.15387</v>
      </c>
      <c r="L307" s="1">
        <v>100.0</v>
      </c>
      <c r="M307" s="1">
        <v>0.0</v>
      </c>
      <c r="N307" s="1">
        <v>0.0</v>
      </c>
      <c r="O307" s="1">
        <v>95.74408</v>
      </c>
    </row>
    <row r="308">
      <c r="A308" s="1" t="s">
        <v>874</v>
      </c>
      <c r="B308" s="1" t="s">
        <v>875</v>
      </c>
      <c r="C308" s="5"/>
      <c r="D308" s="5"/>
      <c r="E308" s="1" t="str">
        <f>IFERROR(__xludf.DUMMYFUNCTION("IFERROR(REGEXEXTRACT(A308, ""res(269|122)""), ""none"")"),"269")</f>
        <v>269</v>
      </c>
      <c r="F308" s="1">
        <v>-15.406217</v>
      </c>
      <c r="G308" s="1">
        <v>8.0</v>
      </c>
      <c r="H308" s="1">
        <v>5.0</v>
      </c>
      <c r="I308" s="1">
        <v>0.25</v>
      </c>
      <c r="J308" s="1">
        <v>2.0</v>
      </c>
      <c r="K308" s="1">
        <v>-0.966931</v>
      </c>
      <c r="L308" s="1">
        <v>100.0</v>
      </c>
      <c r="M308" s="1">
        <v>0.0</v>
      </c>
      <c r="N308" s="1">
        <v>0.0</v>
      </c>
      <c r="O308" s="1">
        <v>98.876852</v>
      </c>
    </row>
    <row r="309">
      <c r="A309" s="1" t="s">
        <v>876</v>
      </c>
      <c r="B309" s="1" t="s">
        <v>877</v>
      </c>
      <c r="C309" s="5"/>
      <c r="D309" s="5"/>
      <c r="E309" s="1" t="str">
        <f>IFERROR(__xludf.DUMMYFUNCTION("IFERROR(REGEXEXTRACT(A309, ""res(269|122)""), ""none"")"),"269")</f>
        <v>269</v>
      </c>
      <c r="F309" s="1">
        <v>-17.556171</v>
      </c>
      <c r="G309" s="1">
        <v>8.0</v>
      </c>
      <c r="H309" s="1">
        <v>3.0</v>
      </c>
      <c r="I309" s="1">
        <v>0.25</v>
      </c>
      <c r="J309" s="1">
        <v>2.0</v>
      </c>
      <c r="K309" s="1">
        <v>-1.35943</v>
      </c>
      <c r="L309" s="1">
        <v>100.0</v>
      </c>
      <c r="M309" s="1">
        <v>0.0</v>
      </c>
      <c r="N309" s="1">
        <v>0.0</v>
      </c>
      <c r="O309" s="1">
        <v>94.334399</v>
      </c>
    </row>
    <row r="310">
      <c r="A310" s="1" t="s">
        <v>878</v>
      </c>
      <c r="B310" s="1" t="s">
        <v>879</v>
      </c>
      <c r="C310" s="5"/>
      <c r="D310" s="5"/>
      <c r="E310" s="1" t="str">
        <f>IFERROR(__xludf.DUMMYFUNCTION("IFERROR(REGEXEXTRACT(A310, ""res(269|122)""), ""none"")"),"269")</f>
        <v>269</v>
      </c>
      <c r="F310" s="1">
        <v>-15.508555</v>
      </c>
      <c r="G310" s="1">
        <v>11.0</v>
      </c>
      <c r="H310" s="1">
        <v>1.0</v>
      </c>
      <c r="I310" s="1">
        <v>0.272727</v>
      </c>
      <c r="J310" s="1">
        <v>2.0</v>
      </c>
      <c r="K310" s="1">
        <v>-0.8107</v>
      </c>
      <c r="L310" s="1">
        <v>100.0</v>
      </c>
      <c r="M310" s="1">
        <v>0.0</v>
      </c>
      <c r="N310" s="1">
        <v>0.0</v>
      </c>
      <c r="O310" s="1">
        <v>97.953472</v>
      </c>
    </row>
    <row r="311">
      <c r="A311" s="1" t="s">
        <v>880</v>
      </c>
      <c r="B311" s="1" t="s">
        <v>881</v>
      </c>
      <c r="C311" s="5"/>
      <c r="D311" s="5"/>
      <c r="E311" s="1" t="str">
        <f>IFERROR(__xludf.DUMMYFUNCTION("IFERROR(REGEXEXTRACT(A311, ""res(269|122)""), ""none"")"),"269")</f>
        <v>269</v>
      </c>
      <c r="F311" s="1">
        <v>-16.108989</v>
      </c>
      <c r="G311" s="1">
        <v>9.0</v>
      </c>
      <c r="H311" s="1">
        <v>4.0</v>
      </c>
      <c r="I311" s="1">
        <v>0.333333</v>
      </c>
      <c r="J311" s="1">
        <v>2.0</v>
      </c>
      <c r="K311" s="1">
        <v>-0.91906</v>
      </c>
      <c r="L311" s="1">
        <v>100.0</v>
      </c>
      <c r="M311" s="1">
        <v>0.0</v>
      </c>
      <c r="N311" s="1">
        <v>0.0</v>
      </c>
      <c r="O311" s="1">
        <v>98.305284</v>
      </c>
    </row>
    <row r="312">
      <c r="C312" s="5"/>
      <c r="D312" s="5"/>
    </row>
    <row r="313">
      <c r="C313" s="5"/>
      <c r="D313" s="5"/>
    </row>
    <row r="314">
      <c r="C314" s="5"/>
      <c r="D314" s="5"/>
    </row>
    <row r="315">
      <c r="C315" s="5"/>
      <c r="D315" s="5"/>
    </row>
    <row r="316">
      <c r="C316" s="5"/>
      <c r="D316" s="5"/>
    </row>
    <row r="317">
      <c r="C317" s="5"/>
      <c r="D317" s="5"/>
    </row>
    <row r="318">
      <c r="C318" s="5"/>
      <c r="D318" s="5"/>
    </row>
    <row r="319">
      <c r="C319" s="5"/>
      <c r="D319" s="5"/>
    </row>
    <row r="320">
      <c r="C320" s="5"/>
      <c r="D320" s="5"/>
    </row>
    <row r="321">
      <c r="C321" s="5"/>
      <c r="D321" s="5"/>
    </row>
    <row r="322">
      <c r="C322" s="5"/>
      <c r="D322" s="5"/>
    </row>
    <row r="323">
      <c r="C323" s="5"/>
      <c r="D323" s="5"/>
    </row>
    <row r="324">
      <c r="C324" s="5"/>
      <c r="D324" s="5"/>
    </row>
    <row r="325">
      <c r="C325" s="5"/>
      <c r="D325" s="5"/>
    </row>
    <row r="326">
      <c r="C326" s="5"/>
      <c r="D326" s="5"/>
    </row>
    <row r="327">
      <c r="C327" s="5"/>
      <c r="D327" s="5"/>
    </row>
    <row r="328">
      <c r="C328" s="5"/>
      <c r="D328" s="5"/>
    </row>
    <row r="329">
      <c r="C329" s="5"/>
      <c r="D329" s="5"/>
    </row>
    <row r="330">
      <c r="C330" s="5"/>
      <c r="D330" s="5"/>
    </row>
    <row r="331">
      <c r="C331" s="5"/>
      <c r="D331" s="5"/>
    </row>
    <row r="332">
      <c r="C332" s="5"/>
      <c r="D332" s="5"/>
    </row>
    <row r="333">
      <c r="C333" s="5"/>
      <c r="D333" s="5"/>
    </row>
    <row r="334">
      <c r="C334" s="5"/>
      <c r="D334" s="5"/>
    </row>
    <row r="335">
      <c r="C335" s="5"/>
      <c r="D335" s="5"/>
    </row>
    <row r="336">
      <c r="C336" s="5"/>
      <c r="D336" s="5"/>
    </row>
    <row r="337">
      <c r="C337" s="5"/>
      <c r="D337" s="5"/>
    </row>
    <row r="338">
      <c r="C338" s="5"/>
      <c r="D338" s="5"/>
    </row>
    <row r="339">
      <c r="C339" s="5"/>
      <c r="D339" s="5"/>
    </row>
    <row r="340">
      <c r="C340" s="5"/>
      <c r="D340" s="5"/>
    </row>
    <row r="341">
      <c r="C341" s="5"/>
      <c r="D341" s="5"/>
    </row>
    <row r="342">
      <c r="C342" s="5"/>
      <c r="D342" s="5"/>
    </row>
    <row r="343">
      <c r="C343" s="5"/>
      <c r="D343" s="5"/>
    </row>
    <row r="344">
      <c r="C344" s="5"/>
      <c r="D344" s="5"/>
    </row>
    <row r="345">
      <c r="C345" s="5"/>
      <c r="D345" s="5"/>
    </row>
    <row r="346">
      <c r="C346" s="5"/>
      <c r="D346" s="5"/>
    </row>
    <row r="347">
      <c r="C347" s="5"/>
      <c r="D347" s="5"/>
    </row>
    <row r="348">
      <c r="C348" s="5"/>
      <c r="D348" s="5"/>
    </row>
    <row r="349">
      <c r="C349" s="5"/>
      <c r="D349" s="5"/>
    </row>
    <row r="350">
      <c r="C350" s="5"/>
      <c r="D350" s="5"/>
    </row>
    <row r="351">
      <c r="C351" s="5"/>
      <c r="D351" s="5"/>
    </row>
    <row r="352">
      <c r="C352" s="5"/>
      <c r="D352" s="5"/>
    </row>
    <row r="353">
      <c r="C353" s="5"/>
      <c r="D353" s="5"/>
    </row>
    <row r="354">
      <c r="C354" s="5"/>
      <c r="D354" s="5"/>
    </row>
    <row r="355">
      <c r="C355" s="5"/>
      <c r="D355" s="5"/>
    </row>
    <row r="356">
      <c r="C356" s="5"/>
      <c r="D356" s="5"/>
    </row>
    <row r="357">
      <c r="C357" s="5"/>
      <c r="D357" s="5"/>
    </row>
    <row r="358">
      <c r="C358" s="5"/>
      <c r="D358" s="5"/>
    </row>
    <row r="359">
      <c r="C359" s="5"/>
      <c r="D359" s="5"/>
    </row>
    <row r="360">
      <c r="C360" s="5"/>
      <c r="D360" s="5"/>
    </row>
    <row r="361">
      <c r="C361" s="5"/>
      <c r="D361" s="5"/>
    </row>
    <row r="362">
      <c r="C362" s="5"/>
      <c r="D362" s="5"/>
    </row>
    <row r="363">
      <c r="C363" s="5"/>
      <c r="D363" s="5"/>
    </row>
    <row r="364">
      <c r="C364" s="5"/>
      <c r="D364" s="5"/>
    </row>
    <row r="365">
      <c r="C365" s="5"/>
      <c r="D365" s="5"/>
    </row>
    <row r="366">
      <c r="C366" s="5"/>
      <c r="D366" s="5"/>
    </row>
    <row r="367">
      <c r="C367" s="5"/>
      <c r="D367" s="5"/>
    </row>
    <row r="368">
      <c r="C368" s="5"/>
      <c r="D368" s="5"/>
    </row>
    <row r="369">
      <c r="C369" s="5"/>
      <c r="D369" s="5"/>
    </row>
    <row r="370">
      <c r="C370" s="5"/>
      <c r="D370" s="5"/>
    </row>
    <row r="371">
      <c r="C371" s="5"/>
      <c r="D371" s="5"/>
    </row>
    <row r="372">
      <c r="C372" s="5"/>
      <c r="D372" s="5"/>
    </row>
    <row r="373">
      <c r="C373" s="5"/>
      <c r="D373" s="5"/>
    </row>
    <row r="374">
      <c r="C374" s="5"/>
      <c r="D374" s="5"/>
    </row>
    <row r="375">
      <c r="C375" s="5"/>
      <c r="D375" s="5"/>
    </row>
    <row r="376">
      <c r="C376" s="5"/>
      <c r="D376" s="5"/>
    </row>
    <row r="377">
      <c r="C377" s="5"/>
      <c r="D377" s="5"/>
    </row>
    <row r="378">
      <c r="C378" s="5"/>
      <c r="D378" s="5"/>
    </row>
    <row r="379">
      <c r="C379" s="5"/>
      <c r="D379" s="5"/>
    </row>
    <row r="380">
      <c r="C380" s="5"/>
      <c r="D380" s="5"/>
    </row>
    <row r="381">
      <c r="C381" s="5"/>
      <c r="D381" s="5"/>
    </row>
    <row r="382">
      <c r="C382" s="5"/>
      <c r="D382" s="5"/>
    </row>
    <row r="383">
      <c r="C383" s="5"/>
      <c r="D383" s="5"/>
    </row>
    <row r="384">
      <c r="C384" s="5"/>
      <c r="D384" s="5"/>
    </row>
    <row r="385">
      <c r="C385" s="5"/>
      <c r="D385" s="5"/>
    </row>
    <row r="386">
      <c r="C386" s="5"/>
      <c r="D386" s="5"/>
    </row>
    <row r="387">
      <c r="C387" s="5"/>
      <c r="D387" s="5"/>
    </row>
    <row r="388">
      <c r="C388" s="5"/>
      <c r="D388" s="5"/>
    </row>
    <row r="389">
      <c r="C389" s="5"/>
      <c r="D389" s="5"/>
    </row>
    <row r="390">
      <c r="C390" s="5"/>
      <c r="D390" s="5"/>
    </row>
    <row r="391">
      <c r="C391" s="5"/>
      <c r="D391" s="5"/>
    </row>
    <row r="392">
      <c r="C392" s="5"/>
      <c r="D392" s="5"/>
    </row>
    <row r="393">
      <c r="C393" s="5"/>
      <c r="D393" s="5"/>
    </row>
    <row r="394">
      <c r="C394" s="5"/>
      <c r="D394" s="5"/>
    </row>
    <row r="395">
      <c r="C395" s="5"/>
      <c r="D395" s="5"/>
    </row>
    <row r="396">
      <c r="C396" s="5"/>
      <c r="D396" s="5"/>
    </row>
    <row r="397">
      <c r="C397" s="5"/>
      <c r="D397" s="5"/>
    </row>
    <row r="398">
      <c r="C398" s="5"/>
      <c r="D398" s="5"/>
    </row>
    <row r="399">
      <c r="C399" s="5"/>
      <c r="D399" s="5"/>
    </row>
    <row r="400">
      <c r="C400" s="5"/>
      <c r="D400" s="5"/>
    </row>
    <row r="401">
      <c r="C401" s="5"/>
      <c r="D401" s="5"/>
    </row>
    <row r="402">
      <c r="C402" s="5"/>
      <c r="D402" s="5"/>
    </row>
    <row r="403">
      <c r="C403" s="5"/>
      <c r="D403" s="5"/>
    </row>
    <row r="404">
      <c r="C404" s="5"/>
      <c r="D404" s="5"/>
    </row>
    <row r="405">
      <c r="C405" s="5"/>
      <c r="D405" s="5"/>
    </row>
    <row r="406">
      <c r="C406" s="5"/>
      <c r="D406" s="5"/>
    </row>
    <row r="407">
      <c r="C407" s="5"/>
      <c r="D407" s="5"/>
    </row>
    <row r="408">
      <c r="C408" s="5"/>
      <c r="D408" s="5"/>
    </row>
    <row r="409">
      <c r="C409" s="5"/>
      <c r="D409" s="5"/>
    </row>
    <row r="410">
      <c r="C410" s="5"/>
      <c r="D410" s="5"/>
    </row>
    <row r="411">
      <c r="C411" s="5"/>
      <c r="D411" s="5"/>
    </row>
    <row r="412">
      <c r="C412" s="5"/>
      <c r="D412" s="5"/>
    </row>
    <row r="413">
      <c r="C413" s="5"/>
      <c r="D413" s="5"/>
    </row>
    <row r="414">
      <c r="C414" s="5"/>
      <c r="D414" s="5"/>
    </row>
    <row r="415">
      <c r="C415" s="5"/>
      <c r="D415" s="5"/>
    </row>
    <row r="416">
      <c r="C416" s="5"/>
      <c r="D416" s="5"/>
    </row>
    <row r="417">
      <c r="C417" s="5"/>
      <c r="D417" s="5"/>
    </row>
    <row r="418">
      <c r="C418" s="5"/>
      <c r="D418" s="5"/>
    </row>
    <row r="419">
      <c r="C419" s="5"/>
      <c r="D419" s="5"/>
    </row>
    <row r="420">
      <c r="C420" s="5"/>
      <c r="D420" s="5"/>
    </row>
    <row r="421">
      <c r="C421" s="5"/>
      <c r="D421" s="5"/>
    </row>
    <row r="422">
      <c r="C422" s="5"/>
      <c r="D422" s="5"/>
    </row>
    <row r="423">
      <c r="C423" s="5"/>
      <c r="D423" s="5"/>
    </row>
    <row r="424">
      <c r="C424" s="5"/>
      <c r="D424" s="5"/>
    </row>
    <row r="425">
      <c r="C425" s="5"/>
      <c r="D425" s="5"/>
    </row>
    <row r="426">
      <c r="C426" s="5"/>
      <c r="D426" s="5"/>
    </row>
    <row r="427">
      <c r="C427" s="5"/>
      <c r="D427" s="5"/>
    </row>
    <row r="428">
      <c r="C428" s="5"/>
      <c r="D428" s="5"/>
    </row>
    <row r="429">
      <c r="C429" s="5"/>
      <c r="D429" s="5"/>
    </row>
    <row r="430">
      <c r="C430" s="5"/>
      <c r="D430" s="5"/>
    </row>
    <row r="431">
      <c r="C431" s="5"/>
      <c r="D431" s="5"/>
    </row>
    <row r="432">
      <c r="C432" s="5"/>
      <c r="D432" s="5"/>
    </row>
    <row r="433">
      <c r="C433" s="5"/>
      <c r="D433" s="5"/>
    </row>
    <row r="434">
      <c r="C434" s="5"/>
      <c r="D434" s="5"/>
    </row>
    <row r="435">
      <c r="C435" s="5"/>
      <c r="D435" s="5"/>
    </row>
    <row r="436">
      <c r="C436" s="5"/>
      <c r="D436" s="5"/>
    </row>
    <row r="437">
      <c r="C437" s="5"/>
      <c r="D437" s="5"/>
    </row>
    <row r="438">
      <c r="C438" s="5"/>
      <c r="D438" s="5"/>
    </row>
    <row r="439">
      <c r="C439" s="5"/>
      <c r="D439" s="5"/>
    </row>
    <row r="440">
      <c r="C440" s="5"/>
      <c r="D440" s="5"/>
    </row>
    <row r="441">
      <c r="C441" s="5"/>
      <c r="D441" s="5"/>
    </row>
    <row r="442">
      <c r="C442" s="5"/>
      <c r="D442" s="5"/>
    </row>
    <row r="443">
      <c r="C443" s="5"/>
      <c r="D443" s="5"/>
    </row>
    <row r="444">
      <c r="C444" s="5"/>
      <c r="D444" s="5"/>
    </row>
    <row r="445">
      <c r="C445" s="5"/>
      <c r="D445" s="5"/>
    </row>
    <row r="446">
      <c r="C446" s="5"/>
      <c r="D446" s="5"/>
    </row>
    <row r="447">
      <c r="C447" s="5"/>
      <c r="D447" s="5"/>
    </row>
    <row r="448">
      <c r="C448" s="5"/>
      <c r="D448" s="5"/>
    </row>
    <row r="449">
      <c r="C449" s="5"/>
      <c r="D449" s="5"/>
    </row>
    <row r="450">
      <c r="C450" s="5"/>
      <c r="D450" s="5"/>
    </row>
    <row r="451">
      <c r="C451" s="5"/>
      <c r="D451" s="5"/>
    </row>
    <row r="452">
      <c r="C452" s="5"/>
      <c r="D452" s="5"/>
    </row>
    <row r="453">
      <c r="C453" s="5"/>
      <c r="D453" s="5"/>
    </row>
    <row r="454">
      <c r="C454" s="5"/>
      <c r="D454" s="5"/>
    </row>
    <row r="455">
      <c r="C455" s="5"/>
      <c r="D455" s="5"/>
    </row>
    <row r="456">
      <c r="C456" s="5"/>
      <c r="D456" s="5"/>
    </row>
    <row r="457">
      <c r="C457" s="5"/>
      <c r="D457" s="5"/>
    </row>
    <row r="458">
      <c r="C458" s="5"/>
      <c r="D458" s="5"/>
    </row>
    <row r="459">
      <c r="C459" s="5"/>
      <c r="D459" s="5"/>
    </row>
    <row r="460">
      <c r="C460" s="5"/>
      <c r="D460" s="5"/>
    </row>
    <row r="461">
      <c r="C461" s="5"/>
      <c r="D461" s="5"/>
    </row>
    <row r="462">
      <c r="C462" s="5"/>
      <c r="D462" s="5"/>
    </row>
    <row r="463">
      <c r="C463" s="5"/>
      <c r="D463" s="5"/>
    </row>
    <row r="464">
      <c r="C464" s="5"/>
      <c r="D464" s="5"/>
    </row>
    <row r="465">
      <c r="C465" s="5"/>
      <c r="D465" s="5"/>
    </row>
    <row r="466">
      <c r="C466" s="5"/>
      <c r="D466" s="5"/>
    </row>
    <row r="467">
      <c r="C467" s="5"/>
      <c r="D467" s="5"/>
    </row>
    <row r="468">
      <c r="C468" s="5"/>
      <c r="D468" s="5"/>
    </row>
    <row r="469">
      <c r="C469" s="5"/>
      <c r="D469" s="5"/>
    </row>
    <row r="470">
      <c r="C470" s="5"/>
      <c r="D470" s="5"/>
    </row>
    <row r="471">
      <c r="C471" s="5"/>
      <c r="D471" s="5"/>
    </row>
    <row r="472">
      <c r="C472" s="5"/>
      <c r="D472" s="5"/>
    </row>
    <row r="473">
      <c r="C473" s="5"/>
      <c r="D473" s="5"/>
    </row>
    <row r="474">
      <c r="C474" s="5"/>
      <c r="D474" s="5"/>
    </row>
    <row r="475">
      <c r="C475" s="5"/>
      <c r="D475" s="5"/>
    </row>
    <row r="476">
      <c r="C476" s="5"/>
      <c r="D476" s="5"/>
    </row>
    <row r="477">
      <c r="C477" s="5"/>
      <c r="D477" s="5"/>
    </row>
    <row r="478">
      <c r="C478" s="5"/>
      <c r="D478" s="5"/>
    </row>
    <row r="479">
      <c r="C479" s="5"/>
      <c r="D479" s="5"/>
    </row>
    <row r="480">
      <c r="C480" s="5"/>
      <c r="D480" s="5"/>
    </row>
    <row r="481">
      <c r="C481" s="5"/>
      <c r="D481" s="5"/>
    </row>
    <row r="482">
      <c r="C482" s="5"/>
      <c r="D482" s="5"/>
    </row>
    <row r="483">
      <c r="C483" s="5"/>
      <c r="D483" s="5"/>
    </row>
    <row r="484">
      <c r="C484" s="5"/>
      <c r="D484" s="5"/>
    </row>
    <row r="485">
      <c r="C485" s="5"/>
      <c r="D485" s="5"/>
    </row>
    <row r="486">
      <c r="C486" s="5"/>
      <c r="D486" s="5"/>
    </row>
    <row r="487">
      <c r="C487" s="5"/>
      <c r="D487" s="5"/>
    </row>
    <row r="488">
      <c r="C488" s="5"/>
      <c r="D488" s="5"/>
    </row>
    <row r="489">
      <c r="C489" s="5"/>
      <c r="D489" s="5"/>
    </row>
    <row r="490">
      <c r="C490" s="5"/>
      <c r="D490" s="5"/>
    </row>
    <row r="491">
      <c r="C491" s="5"/>
      <c r="D491" s="5"/>
    </row>
    <row r="492">
      <c r="C492" s="5"/>
      <c r="D492" s="5"/>
    </row>
    <row r="493">
      <c r="C493" s="5"/>
      <c r="D493" s="5"/>
    </row>
    <row r="494">
      <c r="C494" s="5"/>
      <c r="D494" s="5"/>
    </row>
    <row r="495">
      <c r="C495" s="5"/>
      <c r="D495" s="5"/>
    </row>
    <row r="496">
      <c r="C496" s="5"/>
      <c r="D496" s="5"/>
    </row>
    <row r="497">
      <c r="C497" s="5"/>
      <c r="D497" s="5"/>
    </row>
    <row r="498">
      <c r="C498" s="5"/>
      <c r="D498" s="5"/>
    </row>
    <row r="499">
      <c r="C499" s="5"/>
      <c r="D499" s="5"/>
    </row>
    <row r="500">
      <c r="C500" s="5"/>
      <c r="D500" s="5"/>
    </row>
    <row r="501">
      <c r="C501" s="5"/>
      <c r="D501" s="5"/>
    </row>
    <row r="502">
      <c r="C502" s="5"/>
      <c r="D502" s="5"/>
    </row>
    <row r="503">
      <c r="C503" s="5"/>
      <c r="D503" s="5"/>
    </row>
    <row r="504">
      <c r="C504" s="5"/>
      <c r="D504" s="5"/>
    </row>
    <row r="505">
      <c r="C505" s="5"/>
      <c r="D505" s="5"/>
    </row>
    <row r="506">
      <c r="C506" s="5"/>
      <c r="D506" s="5"/>
    </row>
    <row r="507">
      <c r="C507" s="5"/>
      <c r="D507" s="5"/>
    </row>
    <row r="508">
      <c r="C508" s="5"/>
      <c r="D508" s="5"/>
    </row>
    <row r="509">
      <c r="C509" s="5"/>
      <c r="D509" s="5"/>
    </row>
    <row r="510">
      <c r="C510" s="5"/>
      <c r="D510" s="5"/>
    </row>
    <row r="511">
      <c r="C511" s="5"/>
      <c r="D511" s="5"/>
    </row>
    <row r="512">
      <c r="C512" s="5"/>
      <c r="D512" s="5"/>
    </row>
    <row r="513">
      <c r="C513" s="5"/>
      <c r="D513" s="5"/>
    </row>
    <row r="514">
      <c r="C514" s="5"/>
      <c r="D514" s="5"/>
    </row>
    <row r="515">
      <c r="C515" s="5"/>
      <c r="D515" s="5"/>
    </row>
    <row r="516">
      <c r="C516" s="5"/>
      <c r="D516" s="5"/>
    </row>
    <row r="517">
      <c r="C517" s="5"/>
      <c r="D517" s="5"/>
    </row>
    <row r="518">
      <c r="C518" s="5"/>
      <c r="D518" s="5"/>
    </row>
    <row r="519">
      <c r="C519" s="5"/>
      <c r="D519" s="5"/>
    </row>
    <row r="520">
      <c r="C520" s="5"/>
      <c r="D520" s="5"/>
    </row>
    <row r="521">
      <c r="C521" s="5"/>
      <c r="D521" s="5"/>
    </row>
    <row r="522">
      <c r="C522" s="5"/>
      <c r="D522" s="5"/>
    </row>
    <row r="523">
      <c r="C523" s="5"/>
      <c r="D523" s="5"/>
    </row>
    <row r="524">
      <c r="C524" s="5"/>
      <c r="D524" s="5"/>
    </row>
    <row r="525">
      <c r="C525" s="5"/>
      <c r="D525" s="5"/>
    </row>
    <row r="526">
      <c r="C526" s="5"/>
      <c r="D526" s="5"/>
    </row>
    <row r="527">
      <c r="C527" s="5"/>
      <c r="D527" s="5"/>
    </row>
    <row r="528">
      <c r="C528" s="5"/>
      <c r="D528" s="5"/>
    </row>
    <row r="529">
      <c r="C529" s="5"/>
      <c r="D529" s="5"/>
    </row>
    <row r="530">
      <c r="C530" s="5"/>
      <c r="D530" s="5"/>
    </row>
    <row r="531">
      <c r="C531" s="5"/>
      <c r="D531" s="5"/>
    </row>
    <row r="532">
      <c r="C532" s="5"/>
      <c r="D532" s="5"/>
    </row>
    <row r="533">
      <c r="C533" s="5"/>
      <c r="D533" s="5"/>
    </row>
    <row r="534">
      <c r="C534" s="5"/>
      <c r="D534" s="5"/>
    </row>
    <row r="535">
      <c r="C535" s="5"/>
      <c r="D535" s="5"/>
    </row>
    <row r="536">
      <c r="C536" s="5"/>
      <c r="D536" s="5"/>
    </row>
    <row r="537">
      <c r="C537" s="5"/>
      <c r="D537" s="5"/>
    </row>
    <row r="538">
      <c r="C538" s="5"/>
      <c r="D538" s="5"/>
    </row>
    <row r="539">
      <c r="C539" s="5"/>
      <c r="D539" s="5"/>
    </row>
    <row r="540">
      <c r="C540" s="5"/>
      <c r="D540" s="5"/>
    </row>
    <row r="541">
      <c r="C541" s="5"/>
      <c r="D541" s="5"/>
    </row>
    <row r="542">
      <c r="C542" s="5"/>
      <c r="D542" s="5"/>
    </row>
    <row r="543">
      <c r="C543" s="5"/>
      <c r="D543" s="5"/>
    </row>
    <row r="544">
      <c r="C544" s="5"/>
      <c r="D544" s="5"/>
    </row>
    <row r="545">
      <c r="C545" s="5"/>
      <c r="D545" s="5"/>
    </row>
    <row r="546">
      <c r="C546" s="5"/>
      <c r="D546" s="5"/>
    </row>
    <row r="547">
      <c r="C547" s="5"/>
      <c r="D547" s="5"/>
    </row>
    <row r="548">
      <c r="C548" s="5"/>
      <c r="D548" s="5"/>
    </row>
    <row r="549">
      <c r="C549" s="5"/>
      <c r="D549" s="5"/>
    </row>
    <row r="550">
      <c r="C550" s="5"/>
      <c r="D550" s="5"/>
    </row>
    <row r="551">
      <c r="C551" s="5"/>
      <c r="D551" s="5"/>
    </row>
    <row r="552">
      <c r="C552" s="5"/>
      <c r="D552" s="5"/>
    </row>
    <row r="553">
      <c r="C553" s="5"/>
      <c r="D553" s="5"/>
    </row>
    <row r="554">
      <c r="C554" s="5"/>
      <c r="D554" s="5"/>
    </row>
    <row r="555">
      <c r="C555" s="5"/>
      <c r="D555" s="5"/>
    </row>
    <row r="556">
      <c r="C556" s="5"/>
      <c r="D556" s="5"/>
    </row>
    <row r="557">
      <c r="C557" s="5"/>
      <c r="D557" s="5"/>
    </row>
    <row r="558">
      <c r="C558" s="5"/>
      <c r="D558" s="5"/>
    </row>
    <row r="559">
      <c r="C559" s="5"/>
      <c r="D559" s="5"/>
    </row>
    <row r="560">
      <c r="C560" s="5"/>
      <c r="D560" s="5"/>
    </row>
    <row r="561">
      <c r="C561" s="5"/>
      <c r="D561" s="5"/>
    </row>
    <row r="562">
      <c r="C562" s="5"/>
      <c r="D562" s="5"/>
    </row>
    <row r="563">
      <c r="C563" s="5"/>
      <c r="D563" s="5"/>
    </row>
    <row r="564">
      <c r="C564" s="5"/>
      <c r="D564" s="5"/>
    </row>
    <row r="565">
      <c r="C565" s="5"/>
      <c r="D565" s="5"/>
    </row>
    <row r="566">
      <c r="C566" s="5"/>
      <c r="D566" s="5"/>
    </row>
    <row r="567">
      <c r="C567" s="5"/>
      <c r="D567" s="5"/>
    </row>
    <row r="568">
      <c r="C568" s="5"/>
      <c r="D568" s="5"/>
    </row>
    <row r="569">
      <c r="C569" s="5"/>
      <c r="D569" s="5"/>
    </row>
    <row r="570">
      <c r="C570" s="5"/>
      <c r="D570" s="5"/>
    </row>
    <row r="571">
      <c r="C571" s="5"/>
      <c r="D571" s="5"/>
    </row>
    <row r="572">
      <c r="C572" s="5"/>
      <c r="D572" s="5"/>
    </row>
    <row r="573">
      <c r="C573" s="5"/>
      <c r="D573" s="5"/>
    </row>
    <row r="574">
      <c r="C574" s="5"/>
      <c r="D574" s="5"/>
    </row>
    <row r="575">
      <c r="C575" s="5"/>
      <c r="D575" s="5"/>
    </row>
    <row r="576">
      <c r="C576" s="5"/>
      <c r="D576" s="5"/>
    </row>
    <row r="577">
      <c r="C577" s="5"/>
      <c r="D577" s="5"/>
    </row>
    <row r="578">
      <c r="C578" s="5"/>
      <c r="D578" s="5"/>
    </row>
    <row r="579">
      <c r="C579" s="5"/>
      <c r="D579" s="5"/>
    </row>
    <row r="580">
      <c r="C580" s="5"/>
      <c r="D580" s="5"/>
    </row>
    <row r="581">
      <c r="C581" s="5"/>
      <c r="D581" s="5"/>
    </row>
    <row r="582">
      <c r="C582" s="5"/>
      <c r="D582" s="5"/>
    </row>
    <row r="583">
      <c r="C583" s="5"/>
      <c r="D583" s="5"/>
    </row>
    <row r="584">
      <c r="C584" s="5"/>
      <c r="D584" s="5"/>
    </row>
    <row r="585">
      <c r="C585" s="5"/>
      <c r="D585" s="5"/>
    </row>
    <row r="586">
      <c r="C586" s="5"/>
      <c r="D586" s="5"/>
    </row>
    <row r="587">
      <c r="C587" s="5"/>
      <c r="D587" s="5"/>
    </row>
    <row r="588">
      <c r="C588" s="5"/>
      <c r="D588" s="5"/>
    </row>
    <row r="589">
      <c r="C589" s="5"/>
      <c r="D589" s="5"/>
    </row>
    <row r="590">
      <c r="C590" s="5"/>
      <c r="D590" s="5"/>
    </row>
    <row r="591">
      <c r="C591" s="5"/>
      <c r="D591" s="5"/>
    </row>
    <row r="592">
      <c r="C592" s="5"/>
      <c r="D592" s="5"/>
    </row>
    <row r="593">
      <c r="C593" s="5"/>
      <c r="D593" s="5"/>
    </row>
    <row r="594">
      <c r="C594" s="5"/>
      <c r="D594" s="5"/>
    </row>
    <row r="595">
      <c r="C595" s="5"/>
      <c r="D595" s="5"/>
    </row>
    <row r="596">
      <c r="C596" s="5"/>
      <c r="D596" s="5"/>
    </row>
    <row r="597">
      <c r="C597" s="5"/>
      <c r="D597" s="5"/>
    </row>
    <row r="598">
      <c r="C598" s="5"/>
      <c r="D598" s="5"/>
    </row>
    <row r="599">
      <c r="C599" s="5"/>
      <c r="D599" s="5"/>
    </row>
    <row r="600">
      <c r="C600" s="5"/>
      <c r="D600" s="5"/>
    </row>
    <row r="601">
      <c r="C601" s="5"/>
      <c r="D601" s="5"/>
    </row>
    <row r="602">
      <c r="C602" s="5"/>
      <c r="D602" s="5"/>
    </row>
    <row r="603">
      <c r="C603" s="5"/>
      <c r="D603" s="5"/>
    </row>
    <row r="604">
      <c r="C604" s="5"/>
      <c r="D604" s="5"/>
    </row>
    <row r="605">
      <c r="C605" s="5"/>
      <c r="D605" s="5"/>
    </row>
    <row r="606">
      <c r="C606" s="5"/>
      <c r="D606" s="5"/>
    </row>
    <row r="607">
      <c r="C607" s="5"/>
      <c r="D607" s="5"/>
    </row>
    <row r="608">
      <c r="C608" s="5"/>
      <c r="D608" s="5"/>
    </row>
    <row r="609">
      <c r="C609" s="5"/>
      <c r="D609" s="5"/>
    </row>
    <row r="610">
      <c r="C610" s="5"/>
      <c r="D610" s="5"/>
    </row>
    <row r="611">
      <c r="C611" s="5"/>
      <c r="D611" s="5"/>
    </row>
    <row r="612">
      <c r="C612" s="5"/>
      <c r="D612" s="5"/>
    </row>
    <row r="613">
      <c r="C613" s="5"/>
      <c r="D613" s="5"/>
    </row>
    <row r="614">
      <c r="C614" s="5"/>
      <c r="D614" s="5"/>
    </row>
    <row r="615">
      <c r="C615" s="5"/>
      <c r="D615" s="5"/>
    </row>
    <row r="616">
      <c r="C616" s="5"/>
      <c r="D616" s="5"/>
    </row>
    <row r="617">
      <c r="C617" s="5"/>
      <c r="D617" s="5"/>
    </row>
    <row r="618">
      <c r="C618" s="5"/>
      <c r="D618" s="5"/>
    </row>
    <row r="619">
      <c r="C619" s="5"/>
      <c r="D619" s="5"/>
    </row>
    <row r="620">
      <c r="C620" s="5"/>
      <c r="D620" s="5"/>
    </row>
    <row r="621">
      <c r="C621" s="5"/>
      <c r="D621" s="5"/>
    </row>
    <row r="622">
      <c r="C622" s="5"/>
      <c r="D622" s="5"/>
    </row>
    <row r="623">
      <c r="C623" s="5"/>
      <c r="D623" s="5"/>
    </row>
    <row r="624">
      <c r="C624" s="5"/>
      <c r="D624" s="5"/>
    </row>
    <row r="625">
      <c r="C625" s="5"/>
      <c r="D625" s="5"/>
    </row>
    <row r="626">
      <c r="C626" s="5"/>
      <c r="D626" s="5"/>
    </row>
    <row r="627">
      <c r="C627" s="5"/>
      <c r="D627" s="5"/>
    </row>
    <row r="628">
      <c r="C628" s="5"/>
      <c r="D628" s="5"/>
    </row>
    <row r="629">
      <c r="C629" s="5"/>
      <c r="D629" s="5"/>
    </row>
    <row r="630">
      <c r="C630" s="5"/>
      <c r="D630" s="5"/>
    </row>
    <row r="631">
      <c r="C631" s="5"/>
      <c r="D631" s="5"/>
    </row>
    <row r="632">
      <c r="C632" s="5"/>
      <c r="D632" s="5"/>
    </row>
    <row r="633">
      <c r="C633" s="5"/>
      <c r="D633" s="5"/>
    </row>
    <row r="634">
      <c r="C634" s="5"/>
      <c r="D634" s="5"/>
    </row>
    <row r="635">
      <c r="C635" s="5"/>
      <c r="D635" s="5"/>
    </row>
    <row r="636">
      <c r="C636" s="5"/>
      <c r="D636" s="5"/>
    </row>
    <row r="637">
      <c r="C637" s="5"/>
      <c r="D637" s="5"/>
    </row>
    <row r="638">
      <c r="C638" s="5"/>
      <c r="D638" s="5"/>
    </row>
    <row r="639">
      <c r="C639" s="5"/>
      <c r="D639" s="5"/>
    </row>
    <row r="640">
      <c r="C640" s="5"/>
      <c r="D640" s="5"/>
    </row>
    <row r="641">
      <c r="C641" s="5"/>
      <c r="D641" s="5"/>
    </row>
    <row r="642">
      <c r="C642" s="5"/>
      <c r="D642" s="5"/>
    </row>
    <row r="643">
      <c r="C643" s="5"/>
      <c r="D643" s="5"/>
    </row>
    <row r="644">
      <c r="C644" s="5"/>
      <c r="D644" s="5"/>
    </row>
    <row r="645">
      <c r="C645" s="5"/>
      <c r="D645" s="5"/>
    </row>
    <row r="646">
      <c r="C646" s="5"/>
      <c r="D646" s="5"/>
    </row>
    <row r="647">
      <c r="C647" s="5"/>
      <c r="D647" s="5"/>
    </row>
    <row r="648">
      <c r="C648" s="5"/>
      <c r="D648" s="5"/>
    </row>
    <row r="649">
      <c r="C649" s="5"/>
      <c r="D649" s="5"/>
    </row>
    <row r="650">
      <c r="C650" s="5"/>
      <c r="D650" s="5"/>
    </row>
    <row r="651">
      <c r="C651" s="5"/>
      <c r="D651" s="5"/>
    </row>
    <row r="652">
      <c r="C652" s="5"/>
      <c r="D652" s="5"/>
    </row>
    <row r="653">
      <c r="C653" s="5"/>
      <c r="D653" s="5"/>
    </row>
    <row r="654">
      <c r="C654" s="5"/>
      <c r="D654" s="5"/>
    </row>
    <row r="655">
      <c r="C655" s="5"/>
      <c r="D655" s="5"/>
    </row>
    <row r="656">
      <c r="C656" s="5"/>
      <c r="D656" s="5"/>
    </row>
    <row r="657">
      <c r="C657" s="5"/>
      <c r="D657" s="5"/>
    </row>
    <row r="658">
      <c r="C658" s="5"/>
      <c r="D658" s="5"/>
    </row>
    <row r="659">
      <c r="C659" s="5"/>
      <c r="D659" s="5"/>
    </row>
    <row r="660">
      <c r="C660" s="5"/>
      <c r="D660" s="5"/>
    </row>
    <row r="661">
      <c r="C661" s="5"/>
      <c r="D661" s="5"/>
    </row>
    <row r="662">
      <c r="C662" s="5"/>
      <c r="D662" s="5"/>
    </row>
    <row r="663">
      <c r="C663" s="5"/>
      <c r="D663" s="5"/>
    </row>
    <row r="664">
      <c r="C664" s="5"/>
      <c r="D664" s="5"/>
    </row>
    <row r="665">
      <c r="C665" s="5"/>
      <c r="D665" s="5"/>
    </row>
    <row r="666">
      <c r="C666" s="5"/>
      <c r="D666" s="5"/>
    </row>
    <row r="667">
      <c r="C667" s="5"/>
      <c r="D667" s="5"/>
    </row>
    <row r="668">
      <c r="C668" s="5"/>
      <c r="D668" s="5"/>
    </row>
    <row r="669">
      <c r="C669" s="5"/>
      <c r="D669" s="5"/>
    </row>
    <row r="670">
      <c r="C670" s="5"/>
      <c r="D670" s="5"/>
    </row>
    <row r="671">
      <c r="C671" s="5"/>
      <c r="D671" s="5"/>
    </row>
    <row r="672">
      <c r="C672" s="5"/>
      <c r="D672" s="5"/>
    </row>
    <row r="673">
      <c r="C673" s="5"/>
      <c r="D673" s="5"/>
    </row>
    <row r="674">
      <c r="C674" s="5"/>
      <c r="D674" s="5"/>
    </row>
    <row r="675">
      <c r="C675" s="5"/>
      <c r="D675" s="5"/>
    </row>
    <row r="676">
      <c r="C676" s="5"/>
      <c r="D676" s="5"/>
    </row>
    <row r="677">
      <c r="C677" s="5"/>
      <c r="D677" s="5"/>
    </row>
    <row r="678">
      <c r="C678" s="5"/>
      <c r="D678" s="5"/>
    </row>
    <row r="679">
      <c r="C679" s="5"/>
      <c r="D679" s="5"/>
    </row>
    <row r="680">
      <c r="C680" s="5"/>
      <c r="D680" s="5"/>
    </row>
    <row r="681">
      <c r="C681" s="5"/>
      <c r="D681" s="5"/>
    </row>
    <row r="682">
      <c r="C682" s="5"/>
      <c r="D682" s="5"/>
    </row>
    <row r="683">
      <c r="C683" s="5"/>
      <c r="D683" s="5"/>
    </row>
    <row r="684">
      <c r="C684" s="5"/>
      <c r="D684" s="5"/>
    </row>
    <row r="685">
      <c r="C685" s="5"/>
      <c r="D685" s="5"/>
    </row>
    <row r="686">
      <c r="C686" s="5"/>
      <c r="D686" s="5"/>
    </row>
    <row r="687">
      <c r="C687" s="5"/>
      <c r="D687" s="5"/>
    </row>
    <row r="688">
      <c r="C688" s="5"/>
      <c r="D688" s="5"/>
    </row>
    <row r="689">
      <c r="C689" s="5"/>
      <c r="D689" s="5"/>
    </row>
    <row r="690">
      <c r="C690" s="5"/>
      <c r="D690" s="5"/>
    </row>
  </sheetData>
  <conditionalFormatting sqref="C1:C690">
    <cfRule type="containsText" dxfId="0" priority="1" operator="containsText" text="yes">
      <formula>NOT(ISERROR(SEARCH(("yes"),(C1))))</formula>
    </cfRule>
  </conditionalFormatting>
  <conditionalFormatting sqref="C1:C690">
    <cfRule type="containsText" dxfId="1" priority="2" operator="containsText" text="decent">
      <formula>NOT(ISERROR(SEARCH(("decent"),(C1))))</formula>
    </cfRule>
  </conditionalFormatting>
  <conditionalFormatting sqref="C1:C690">
    <cfRule type="containsText" dxfId="2" priority="3" operator="containsText" text="maybe">
      <formula>NOT(ISERROR(SEARCH(("maybe"),(C1))))</formula>
    </cfRule>
  </conditionalFormatting>
  <conditionalFormatting sqref="C1:C690">
    <cfRule type="containsText" dxfId="3" priority="4" operator="containsText" text="no">
      <formula>NOT(ISERROR(SEARCH(("no"),(C1))))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2" max="4" width="20.88"/>
  </cols>
  <sheetData>
    <row r="1">
      <c r="A1" s="1" t="s">
        <v>0</v>
      </c>
      <c r="B1" s="1" t="s">
        <v>1</v>
      </c>
      <c r="C1" s="3" t="s">
        <v>5</v>
      </c>
      <c r="D1" s="3" t="s">
        <v>4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</row>
    <row r="2">
      <c r="A2" s="1" t="s">
        <v>188</v>
      </c>
      <c r="B2" s="1" t="s">
        <v>22</v>
      </c>
      <c r="C2" s="3" t="s">
        <v>26</v>
      </c>
      <c r="D2" s="3"/>
      <c r="E2" s="1" t="str">
        <f>IFERROR(__xludf.DUMMYFUNCTION("IFERROR(REGEXEXTRACT(A2, ""res(269|122)""), ""none"")"),"122")</f>
        <v>122</v>
      </c>
      <c r="F2" s="1">
        <v>-15.535781</v>
      </c>
      <c r="G2" s="1">
        <v>9.0</v>
      </c>
      <c r="H2" s="1">
        <v>3.0</v>
      </c>
      <c r="I2" s="1">
        <v>0.444444</v>
      </c>
      <c r="J2" s="1">
        <v>2.0</v>
      </c>
      <c r="K2" s="1">
        <v>-1.719191</v>
      </c>
      <c r="L2" s="1">
        <v>100.0</v>
      </c>
      <c r="M2" s="1">
        <v>0.0</v>
      </c>
      <c r="N2" s="1">
        <v>0.0</v>
      </c>
      <c r="O2" s="1">
        <v>97.189472</v>
      </c>
    </row>
    <row r="3">
      <c r="A3" s="1" t="s">
        <v>882</v>
      </c>
      <c r="B3" s="1" t="s">
        <v>883</v>
      </c>
      <c r="D3" s="3"/>
      <c r="E3" s="1" t="str">
        <f>IFERROR(__xludf.DUMMYFUNCTION("IFERROR(REGEXEXTRACT(A3, ""res(269|122)""), ""none"")"),"122")</f>
        <v>122</v>
      </c>
      <c r="F3" s="1">
        <v>-15.909327</v>
      </c>
      <c r="G3" s="1">
        <v>10.0</v>
      </c>
      <c r="H3" s="1">
        <v>4.0</v>
      </c>
      <c r="I3" s="1">
        <v>0.3</v>
      </c>
      <c r="J3" s="1">
        <v>2.0</v>
      </c>
      <c r="K3" s="1">
        <v>-0.838915</v>
      </c>
      <c r="L3" s="1">
        <v>100.0</v>
      </c>
      <c r="M3" s="1">
        <v>0.0</v>
      </c>
      <c r="N3" s="1">
        <v>0.0</v>
      </c>
      <c r="O3" s="1">
        <v>99.551758</v>
      </c>
    </row>
    <row r="4">
      <c r="A4" s="1" t="s">
        <v>884</v>
      </c>
      <c r="B4" s="1" t="s">
        <v>885</v>
      </c>
      <c r="D4" s="3"/>
      <c r="E4" s="1" t="str">
        <f>IFERROR(__xludf.DUMMYFUNCTION("IFERROR(REGEXEXTRACT(A4, ""res(269|122)""), ""none"")"),"122")</f>
        <v>122</v>
      </c>
      <c r="F4" s="1">
        <v>-15.853293</v>
      </c>
      <c r="G4" s="1">
        <v>10.0</v>
      </c>
      <c r="H4" s="1">
        <v>3.0</v>
      </c>
      <c r="I4" s="1">
        <v>0.3</v>
      </c>
      <c r="J4" s="1">
        <v>3.0</v>
      </c>
      <c r="K4" s="1">
        <v>-0.169824</v>
      </c>
      <c r="L4" s="1">
        <v>100.0</v>
      </c>
      <c r="M4" s="1">
        <v>0.0</v>
      </c>
      <c r="N4" s="1">
        <v>0.0</v>
      </c>
      <c r="O4" s="1">
        <v>100.276883</v>
      </c>
    </row>
    <row r="5">
      <c r="A5" s="1" t="s">
        <v>886</v>
      </c>
      <c r="B5" s="1" t="s">
        <v>887</v>
      </c>
      <c r="E5" s="1" t="str">
        <f>IFERROR(__xludf.DUMMYFUNCTION("IFERROR(REGEXEXTRACT(A5, ""res(269|122)""), ""none"")"),"122")</f>
        <v>122</v>
      </c>
      <c r="F5" s="1">
        <v>-15.314097</v>
      </c>
      <c r="G5" s="1">
        <v>10.0</v>
      </c>
      <c r="H5" s="1">
        <v>4.0</v>
      </c>
      <c r="I5" s="1">
        <v>0.3</v>
      </c>
      <c r="J5" s="1">
        <v>2.0</v>
      </c>
      <c r="K5" s="1">
        <v>-1.339481</v>
      </c>
      <c r="L5" s="1">
        <v>100.0</v>
      </c>
      <c r="M5" s="1">
        <v>0.0</v>
      </c>
      <c r="N5" s="1">
        <v>0.0</v>
      </c>
      <c r="O5" s="1">
        <v>99.646422</v>
      </c>
    </row>
    <row r="6">
      <c r="A6" s="1" t="s">
        <v>189</v>
      </c>
      <c r="B6" s="1" t="s">
        <v>190</v>
      </c>
      <c r="C6" s="3" t="s">
        <v>95</v>
      </c>
      <c r="E6" s="1" t="str">
        <f>IFERROR(__xludf.DUMMYFUNCTION("IFERROR(REGEXEXTRACT(A6, ""res(269|122)""), ""none"")"),"122")</f>
        <v>122</v>
      </c>
      <c r="F6" s="1">
        <v>-17.372141</v>
      </c>
      <c r="G6" s="1">
        <v>10.0</v>
      </c>
      <c r="H6" s="1">
        <v>2.0</v>
      </c>
      <c r="I6" s="1">
        <v>0.3</v>
      </c>
      <c r="J6" s="1">
        <v>2.0</v>
      </c>
      <c r="K6" s="1">
        <v>-1.44699499999999</v>
      </c>
      <c r="L6" s="1">
        <v>100.0</v>
      </c>
      <c r="M6" s="1">
        <v>0.0</v>
      </c>
      <c r="N6" s="1">
        <v>0.0</v>
      </c>
      <c r="O6" s="1">
        <v>95.480864</v>
      </c>
    </row>
    <row r="7">
      <c r="A7" s="1" t="s">
        <v>888</v>
      </c>
      <c r="B7" s="1" t="s">
        <v>889</v>
      </c>
      <c r="E7" s="1" t="str">
        <f>IFERROR(__xludf.DUMMYFUNCTION("IFERROR(REGEXEXTRACT(A7, ""res(269|122)""), ""none"")"),"122")</f>
        <v>122</v>
      </c>
      <c r="F7" s="1">
        <v>-15.270707</v>
      </c>
      <c r="G7" s="1">
        <v>10.0</v>
      </c>
      <c r="H7" s="1">
        <v>3.0</v>
      </c>
      <c r="I7" s="1">
        <v>0.4</v>
      </c>
      <c r="J7" s="1">
        <v>2.0</v>
      </c>
      <c r="K7" s="1">
        <v>-1.180542</v>
      </c>
      <c r="L7" s="1">
        <v>100.0</v>
      </c>
      <c r="M7" s="1">
        <v>0.0</v>
      </c>
      <c r="N7" s="1">
        <v>0.0</v>
      </c>
      <c r="O7" s="1">
        <v>98.948751</v>
      </c>
    </row>
    <row r="8">
      <c r="A8" s="1" t="s">
        <v>890</v>
      </c>
      <c r="B8" s="1" t="s">
        <v>891</v>
      </c>
      <c r="E8" s="1" t="str">
        <f>IFERROR(__xludf.DUMMYFUNCTION("IFERROR(REGEXEXTRACT(A8, ""res(269|122)""), ""none"")"),"122")</f>
        <v>122</v>
      </c>
      <c r="F8" s="1">
        <v>-15.966543</v>
      </c>
      <c r="G8" s="1">
        <v>7.0</v>
      </c>
      <c r="H8" s="1">
        <v>5.0</v>
      </c>
      <c r="I8" s="1">
        <v>0.571429</v>
      </c>
      <c r="J8" s="1">
        <v>2.0</v>
      </c>
      <c r="K8" s="1">
        <v>-0.746181</v>
      </c>
      <c r="L8" s="1">
        <v>100.0</v>
      </c>
      <c r="M8" s="1">
        <v>0.0</v>
      </c>
      <c r="N8" s="1">
        <v>0.0</v>
      </c>
      <c r="O8" s="1">
        <v>97.858705</v>
      </c>
    </row>
    <row r="9">
      <c r="A9" s="1" t="s">
        <v>191</v>
      </c>
      <c r="B9" s="1" t="s">
        <v>192</v>
      </c>
      <c r="C9" s="3" t="s">
        <v>95</v>
      </c>
      <c r="E9" s="1" t="str">
        <f>IFERROR(__xludf.DUMMYFUNCTION("IFERROR(REGEXEXTRACT(A9, ""res(269|122)""), ""none"")"),"122")</f>
        <v>122</v>
      </c>
      <c r="F9" s="1">
        <v>-15.13854</v>
      </c>
      <c r="G9" s="1">
        <v>9.0</v>
      </c>
      <c r="H9" s="1">
        <v>4.0</v>
      </c>
      <c r="I9" s="1">
        <v>0.333333</v>
      </c>
      <c r="J9" s="1">
        <v>2.0</v>
      </c>
      <c r="K9" s="1">
        <v>-1.065005</v>
      </c>
      <c r="L9" s="1">
        <v>100.0</v>
      </c>
      <c r="M9" s="1">
        <v>0.0</v>
      </c>
      <c r="N9" s="1">
        <v>0.0</v>
      </c>
      <c r="O9" s="1">
        <v>99.129788</v>
      </c>
    </row>
    <row r="10">
      <c r="A10" s="1" t="s">
        <v>193</v>
      </c>
      <c r="B10" s="1" t="s">
        <v>194</v>
      </c>
      <c r="C10" s="3" t="s">
        <v>24</v>
      </c>
      <c r="E10" s="1" t="str">
        <f>IFERROR(__xludf.DUMMYFUNCTION("IFERROR(REGEXEXTRACT(A10, ""res(269|122)""), ""none"")"),"122")</f>
        <v>122</v>
      </c>
      <c r="F10" s="1">
        <v>-15.55909</v>
      </c>
      <c r="G10" s="1">
        <v>12.0</v>
      </c>
      <c r="H10" s="1">
        <v>4.0</v>
      </c>
      <c r="I10" s="1">
        <v>0.25</v>
      </c>
      <c r="J10" s="1">
        <v>2.0</v>
      </c>
      <c r="K10" s="1">
        <v>-0.857348</v>
      </c>
      <c r="L10" s="1">
        <v>100.0</v>
      </c>
      <c r="M10" s="1">
        <v>0.0</v>
      </c>
      <c r="N10" s="1">
        <v>0.0</v>
      </c>
      <c r="O10" s="1">
        <v>101.833562</v>
      </c>
    </row>
    <row r="11">
      <c r="A11" s="1" t="s">
        <v>892</v>
      </c>
      <c r="B11" s="1" t="s">
        <v>893</v>
      </c>
      <c r="C11" s="3"/>
      <c r="D11" s="3"/>
      <c r="E11" s="1" t="str">
        <f>IFERROR(__xludf.DUMMYFUNCTION("IFERROR(REGEXEXTRACT(A11, ""res(269|122)""), ""none"")"),"122")</f>
        <v>122</v>
      </c>
      <c r="F11" s="1">
        <v>-15.352621</v>
      </c>
      <c r="G11" s="1">
        <v>9.0</v>
      </c>
      <c r="H11" s="1">
        <v>3.0</v>
      </c>
      <c r="I11" s="1">
        <v>0.333333</v>
      </c>
      <c r="J11" s="1">
        <v>2.0</v>
      </c>
      <c r="K11" s="1">
        <v>-0.609783</v>
      </c>
      <c r="L11" s="1">
        <v>100.0</v>
      </c>
      <c r="M11" s="1">
        <v>0.0</v>
      </c>
      <c r="N11" s="1">
        <v>0.0</v>
      </c>
      <c r="O11" s="1">
        <v>98.370929</v>
      </c>
    </row>
    <row r="12">
      <c r="A12" s="1" t="s">
        <v>894</v>
      </c>
      <c r="B12" s="1" t="s">
        <v>895</v>
      </c>
      <c r="C12" s="3"/>
      <c r="D12" s="3"/>
      <c r="E12" s="1" t="str">
        <f>IFERROR(__xludf.DUMMYFUNCTION("IFERROR(REGEXEXTRACT(A12, ""res(269|122)""), ""none"")"),"122")</f>
        <v>122</v>
      </c>
      <c r="F12" s="1">
        <v>-16.976415</v>
      </c>
      <c r="G12" s="1">
        <v>10.0</v>
      </c>
      <c r="H12" s="1">
        <v>3.0</v>
      </c>
      <c r="I12" s="1">
        <v>0.3</v>
      </c>
      <c r="J12" s="1">
        <v>2.0</v>
      </c>
      <c r="K12" s="1">
        <v>-0.947909</v>
      </c>
      <c r="L12" s="1">
        <v>100.0</v>
      </c>
      <c r="M12" s="1">
        <v>0.0</v>
      </c>
      <c r="N12" s="1">
        <v>0.0</v>
      </c>
      <c r="O12" s="1">
        <v>97.375676</v>
      </c>
    </row>
    <row r="13">
      <c r="A13" s="1" t="s">
        <v>195</v>
      </c>
      <c r="B13" s="1" t="s">
        <v>196</v>
      </c>
      <c r="C13" s="3" t="s">
        <v>95</v>
      </c>
      <c r="D13" s="3"/>
      <c r="E13" s="1" t="str">
        <f>IFERROR(__xludf.DUMMYFUNCTION("IFERROR(REGEXEXTRACT(A13, ""res(269|122)""), ""none"")"),"122")</f>
        <v>122</v>
      </c>
      <c r="F13" s="1">
        <v>-16.502904</v>
      </c>
      <c r="G13" s="1">
        <v>8.0</v>
      </c>
      <c r="H13" s="1">
        <v>3.0</v>
      </c>
      <c r="I13" s="1">
        <v>0.25</v>
      </c>
      <c r="J13" s="1">
        <v>3.0</v>
      </c>
      <c r="K13" s="1">
        <v>-0.998347</v>
      </c>
      <c r="L13" s="1">
        <v>100.0</v>
      </c>
      <c r="M13" s="1">
        <v>0.0</v>
      </c>
      <c r="N13" s="1">
        <v>0.0</v>
      </c>
      <c r="O13" s="1">
        <v>96.748749</v>
      </c>
    </row>
    <row r="14">
      <c r="A14" s="1" t="s">
        <v>197</v>
      </c>
      <c r="B14" s="1" t="s">
        <v>94</v>
      </c>
      <c r="C14" s="3" t="s">
        <v>33</v>
      </c>
      <c r="D14" s="3"/>
      <c r="E14" s="1" t="str">
        <f>IFERROR(__xludf.DUMMYFUNCTION("IFERROR(REGEXEXTRACT(A14, ""res(269|122)""), ""none"")"),"122")</f>
        <v>122</v>
      </c>
      <c r="F14" s="1">
        <v>-16.222639</v>
      </c>
      <c r="G14" s="1">
        <v>10.0</v>
      </c>
      <c r="H14" s="1">
        <v>3.0</v>
      </c>
      <c r="I14" s="1">
        <v>0.3</v>
      </c>
      <c r="J14" s="1">
        <v>2.0</v>
      </c>
      <c r="K14" s="1">
        <v>-1.763647</v>
      </c>
      <c r="L14" s="1">
        <v>100.0</v>
      </c>
      <c r="M14" s="1">
        <v>0.0</v>
      </c>
      <c r="N14" s="1">
        <v>0.0</v>
      </c>
      <c r="O14" s="1">
        <v>97.313714</v>
      </c>
    </row>
    <row r="15">
      <c r="A15" s="1" t="s">
        <v>198</v>
      </c>
      <c r="B15" s="1" t="s">
        <v>30</v>
      </c>
      <c r="C15" s="3" t="s">
        <v>33</v>
      </c>
      <c r="D15" s="3"/>
      <c r="E15" s="1" t="str">
        <f>IFERROR(__xludf.DUMMYFUNCTION("IFERROR(REGEXEXTRACT(A15, ""res(269|122)""), ""none"")"),"122")</f>
        <v>122</v>
      </c>
      <c r="F15" s="1">
        <v>-15.296063</v>
      </c>
      <c r="G15" s="1">
        <v>8.0</v>
      </c>
      <c r="H15" s="1">
        <v>3.0</v>
      </c>
      <c r="I15" s="1">
        <v>0.25</v>
      </c>
      <c r="J15" s="1">
        <v>2.0</v>
      </c>
      <c r="K15" s="1">
        <v>-1.293353</v>
      </c>
      <c r="L15" s="1">
        <v>100.0</v>
      </c>
      <c r="M15" s="1">
        <v>0.0</v>
      </c>
      <c r="N15" s="1">
        <v>0.0</v>
      </c>
      <c r="O15" s="1">
        <v>96.660584</v>
      </c>
    </row>
    <row r="16">
      <c r="A16" s="1" t="s">
        <v>896</v>
      </c>
      <c r="B16" s="1" t="s">
        <v>897</v>
      </c>
      <c r="C16" s="3"/>
      <c r="D16" s="3"/>
      <c r="E16" s="1" t="str">
        <f>IFERROR(__xludf.DUMMYFUNCTION("IFERROR(REGEXEXTRACT(A16, ""res(269|122)""), ""none"")"),"122")</f>
        <v>122</v>
      </c>
      <c r="F16" s="1">
        <v>-15.173012</v>
      </c>
      <c r="G16" s="1">
        <v>10.0</v>
      </c>
      <c r="H16" s="1">
        <v>4.0</v>
      </c>
      <c r="I16" s="1">
        <v>0.3</v>
      </c>
      <c r="J16" s="1">
        <v>2.0</v>
      </c>
      <c r="K16" s="1">
        <v>-1.39177</v>
      </c>
      <c r="L16" s="1">
        <v>100.0</v>
      </c>
      <c r="M16" s="1">
        <v>0.0</v>
      </c>
      <c r="N16" s="1">
        <v>0.0</v>
      </c>
      <c r="O16" s="1">
        <v>99.735218</v>
      </c>
    </row>
    <row r="17">
      <c r="A17" s="1" t="s">
        <v>199</v>
      </c>
      <c r="B17" s="1" t="s">
        <v>200</v>
      </c>
      <c r="C17" s="3" t="s">
        <v>95</v>
      </c>
      <c r="D17" s="3"/>
      <c r="E17" s="1" t="str">
        <f>IFERROR(__xludf.DUMMYFUNCTION("IFERROR(REGEXEXTRACT(A17, ""res(269|122)""), ""none"")"),"122")</f>
        <v>122</v>
      </c>
      <c r="F17" s="1">
        <v>-15.047575</v>
      </c>
      <c r="G17" s="1">
        <v>8.0</v>
      </c>
      <c r="H17" s="1">
        <v>4.0</v>
      </c>
      <c r="I17" s="1">
        <v>0.25</v>
      </c>
      <c r="J17" s="1">
        <v>2.0</v>
      </c>
      <c r="K17" s="1">
        <v>-1.824829</v>
      </c>
      <c r="L17" s="1">
        <v>100.0</v>
      </c>
      <c r="M17" s="1">
        <v>0.0</v>
      </c>
      <c r="N17" s="1">
        <v>0.0</v>
      </c>
      <c r="O17" s="1">
        <v>97.377596</v>
      </c>
    </row>
    <row r="18">
      <c r="A18" s="1" t="s">
        <v>898</v>
      </c>
      <c r="B18" s="1" t="s">
        <v>899</v>
      </c>
      <c r="C18" s="3"/>
      <c r="D18" s="3"/>
      <c r="E18" s="1" t="str">
        <f>IFERROR(__xludf.DUMMYFUNCTION("IFERROR(REGEXEXTRACT(A18, ""res(269|122)""), ""none"")"),"122")</f>
        <v>122</v>
      </c>
      <c r="F18" s="1">
        <v>-15.089032</v>
      </c>
      <c r="G18" s="1">
        <v>11.0</v>
      </c>
      <c r="H18" s="1">
        <v>4.0</v>
      </c>
      <c r="I18" s="1">
        <v>0.272727</v>
      </c>
      <c r="J18" s="1">
        <v>2.0</v>
      </c>
      <c r="K18" s="1">
        <v>-0.598739999999999</v>
      </c>
      <c r="L18" s="1">
        <v>100.0</v>
      </c>
      <c r="M18" s="1">
        <v>0.0</v>
      </c>
      <c r="N18" s="1">
        <v>0.0</v>
      </c>
      <c r="O18" s="1">
        <v>101.584955</v>
      </c>
    </row>
    <row r="19">
      <c r="A19" s="1" t="s">
        <v>201</v>
      </c>
      <c r="B19" s="1" t="s">
        <v>35</v>
      </c>
      <c r="C19" s="3" t="s">
        <v>26</v>
      </c>
      <c r="D19" s="3"/>
      <c r="E19" s="1" t="str">
        <f>IFERROR(__xludf.DUMMYFUNCTION("IFERROR(REGEXEXTRACT(A19, ""res(269|122)""), ""none"")"),"122")</f>
        <v>122</v>
      </c>
      <c r="F19" s="1">
        <v>-15.950047</v>
      </c>
      <c r="G19" s="1">
        <v>7.0</v>
      </c>
      <c r="H19" s="1">
        <v>3.0</v>
      </c>
      <c r="I19" s="1">
        <v>0.285714</v>
      </c>
      <c r="J19" s="1">
        <v>3.0</v>
      </c>
      <c r="K19" s="1">
        <v>-1.505897</v>
      </c>
      <c r="L19" s="1">
        <v>100.0</v>
      </c>
      <c r="M19" s="1">
        <v>0.0</v>
      </c>
      <c r="N19" s="1">
        <v>0.0</v>
      </c>
      <c r="O19" s="1">
        <v>95.82977</v>
      </c>
    </row>
    <row r="20">
      <c r="A20" s="1" t="s">
        <v>900</v>
      </c>
      <c r="B20" s="1" t="s">
        <v>901</v>
      </c>
      <c r="C20" s="3"/>
      <c r="D20" s="3"/>
      <c r="E20" s="1" t="str">
        <f>IFERROR(__xludf.DUMMYFUNCTION("IFERROR(REGEXEXTRACT(A20, ""res(269|122)""), ""none"")"),"122")</f>
        <v>122</v>
      </c>
      <c r="F20" s="1">
        <v>-15.476784</v>
      </c>
      <c r="G20" s="1">
        <v>9.0</v>
      </c>
      <c r="H20" s="1">
        <v>3.0</v>
      </c>
      <c r="I20" s="1">
        <v>0.333333</v>
      </c>
      <c r="J20" s="1">
        <v>2.0</v>
      </c>
      <c r="K20" s="1">
        <v>-1.337507</v>
      </c>
      <c r="L20" s="1">
        <v>100.0</v>
      </c>
      <c r="M20" s="1">
        <v>0.0</v>
      </c>
      <c r="N20" s="1">
        <v>0.0</v>
      </c>
      <c r="O20" s="1">
        <v>97.519042</v>
      </c>
    </row>
    <row r="21">
      <c r="A21" s="1" t="s">
        <v>902</v>
      </c>
      <c r="B21" s="1" t="s">
        <v>903</v>
      </c>
      <c r="C21" s="3"/>
      <c r="D21" s="3"/>
      <c r="E21" s="1" t="str">
        <f>IFERROR(__xludf.DUMMYFUNCTION("IFERROR(REGEXEXTRACT(A21, ""res(269|122)""), ""none"")"),"122")</f>
        <v>122</v>
      </c>
      <c r="F21" s="1">
        <v>-15.805707</v>
      </c>
      <c r="G21" s="1">
        <v>11.0</v>
      </c>
      <c r="H21" s="1">
        <v>4.0</v>
      </c>
      <c r="I21" s="1">
        <v>0.454545</v>
      </c>
      <c r="J21" s="1">
        <v>2.0</v>
      </c>
      <c r="K21" s="1">
        <v>-1.318406</v>
      </c>
      <c r="L21" s="1">
        <v>100.0</v>
      </c>
      <c r="M21" s="1">
        <v>0.0</v>
      </c>
      <c r="N21" s="1">
        <v>0.0</v>
      </c>
      <c r="O21" s="1">
        <v>100.330432</v>
      </c>
    </row>
    <row r="22">
      <c r="A22" s="1" t="s">
        <v>202</v>
      </c>
      <c r="B22" s="1" t="s">
        <v>203</v>
      </c>
      <c r="C22" s="3" t="s">
        <v>24</v>
      </c>
      <c r="D22" s="3"/>
      <c r="E22" s="1" t="str">
        <f>IFERROR(__xludf.DUMMYFUNCTION("IFERROR(REGEXEXTRACT(A22, ""res(269|122)""), ""none"")"),"122")</f>
        <v>122</v>
      </c>
      <c r="F22" s="1">
        <v>-15.642859</v>
      </c>
      <c r="G22" s="1">
        <v>11.0</v>
      </c>
      <c r="H22" s="1">
        <v>3.0</v>
      </c>
      <c r="I22" s="1">
        <v>0.272727</v>
      </c>
      <c r="J22" s="1">
        <v>2.0</v>
      </c>
      <c r="K22" s="1">
        <v>-1.1816</v>
      </c>
      <c r="L22" s="1">
        <v>100.0</v>
      </c>
      <c r="M22" s="1">
        <v>0.0</v>
      </c>
      <c r="N22" s="1">
        <v>0.0</v>
      </c>
      <c r="O22" s="1">
        <v>99.448268</v>
      </c>
    </row>
    <row r="23">
      <c r="A23" s="1" t="s">
        <v>904</v>
      </c>
      <c r="B23" s="1" t="s">
        <v>905</v>
      </c>
      <c r="C23" s="3"/>
      <c r="D23" s="3"/>
      <c r="E23" s="1" t="str">
        <f>IFERROR(__xludf.DUMMYFUNCTION("IFERROR(REGEXEXTRACT(A23, ""res(269|122)""), ""none"")"),"122")</f>
        <v>122</v>
      </c>
      <c r="F23" s="1">
        <v>-15.38509</v>
      </c>
      <c r="G23" s="1">
        <v>9.0</v>
      </c>
      <c r="H23" s="1">
        <v>4.0</v>
      </c>
      <c r="I23" s="1">
        <v>0.333333</v>
      </c>
      <c r="J23" s="1">
        <v>2.0</v>
      </c>
      <c r="K23" s="1">
        <v>-1.023251</v>
      </c>
      <c r="L23" s="1">
        <v>100.0</v>
      </c>
      <c r="M23" s="1">
        <v>0.0</v>
      </c>
      <c r="N23" s="1">
        <v>0.0</v>
      </c>
      <c r="O23" s="1">
        <v>98.924992</v>
      </c>
    </row>
    <row r="24">
      <c r="A24" s="1" t="s">
        <v>906</v>
      </c>
      <c r="B24" s="1" t="s">
        <v>907</v>
      </c>
      <c r="C24" s="3"/>
      <c r="D24" s="3"/>
      <c r="E24" s="1" t="str">
        <f>IFERROR(__xludf.DUMMYFUNCTION("IFERROR(REGEXEXTRACT(A24, ""res(269|122)""), ""none"")"),"122")</f>
        <v>122</v>
      </c>
      <c r="F24" s="1">
        <v>-15.399542</v>
      </c>
      <c r="G24" s="1">
        <v>10.0</v>
      </c>
      <c r="H24" s="1">
        <v>2.0</v>
      </c>
      <c r="I24" s="1">
        <v>0.6</v>
      </c>
      <c r="J24" s="1">
        <v>2.0</v>
      </c>
      <c r="K24" s="1">
        <v>-0.613366</v>
      </c>
      <c r="L24" s="1">
        <v>100.0</v>
      </c>
      <c r="M24" s="1">
        <v>0.0</v>
      </c>
      <c r="N24" s="1">
        <v>0.0</v>
      </c>
      <c r="O24" s="1">
        <v>98.587092</v>
      </c>
    </row>
    <row r="25">
      <c r="A25" s="1" t="s">
        <v>204</v>
      </c>
      <c r="B25" s="1" t="s">
        <v>99</v>
      </c>
      <c r="C25" s="3" t="s">
        <v>33</v>
      </c>
      <c r="D25" s="3"/>
      <c r="E25" s="1" t="str">
        <f>IFERROR(__xludf.DUMMYFUNCTION("IFERROR(REGEXEXTRACT(A25, ""res(269|122)""), ""none"")"),"122")</f>
        <v>122</v>
      </c>
      <c r="F25" s="1">
        <v>-15.476613</v>
      </c>
      <c r="G25" s="1">
        <v>12.0</v>
      </c>
      <c r="H25" s="1">
        <v>4.0</v>
      </c>
      <c r="I25" s="1">
        <v>0.333333</v>
      </c>
      <c r="J25" s="1">
        <v>2.0</v>
      </c>
      <c r="K25" s="1">
        <v>-0.623346</v>
      </c>
      <c r="L25" s="1">
        <v>100.0</v>
      </c>
      <c r="M25" s="1">
        <v>0.0</v>
      </c>
      <c r="N25" s="1">
        <v>0.0</v>
      </c>
      <c r="O25" s="1">
        <v>102.233374</v>
      </c>
    </row>
    <row r="26">
      <c r="A26" s="1" t="s">
        <v>205</v>
      </c>
      <c r="B26" s="1" t="s">
        <v>206</v>
      </c>
      <c r="C26" s="3" t="s">
        <v>95</v>
      </c>
      <c r="D26" s="3"/>
      <c r="E26" s="1" t="str">
        <f>IFERROR(__xludf.DUMMYFUNCTION("IFERROR(REGEXEXTRACT(A26, ""res(269|122)""), ""none"")"),"122")</f>
        <v>122</v>
      </c>
      <c r="F26" s="1">
        <v>-16.216217</v>
      </c>
      <c r="G26" s="1">
        <v>7.0</v>
      </c>
      <c r="H26" s="1">
        <v>4.0</v>
      </c>
      <c r="I26" s="1">
        <v>0.285714</v>
      </c>
      <c r="J26" s="1">
        <v>2.0</v>
      </c>
      <c r="K26" s="1">
        <v>-0.930066</v>
      </c>
      <c r="L26" s="1">
        <v>100.0</v>
      </c>
      <c r="M26" s="1">
        <v>0.0</v>
      </c>
      <c r="N26" s="1">
        <v>0.0</v>
      </c>
      <c r="O26" s="1">
        <v>96.139431</v>
      </c>
    </row>
    <row r="27">
      <c r="A27" s="1" t="s">
        <v>207</v>
      </c>
      <c r="B27" s="1" t="s">
        <v>208</v>
      </c>
      <c r="C27" s="3" t="s">
        <v>95</v>
      </c>
      <c r="D27" s="3"/>
      <c r="E27" s="1" t="str">
        <f>IFERROR(__xludf.DUMMYFUNCTION("IFERROR(REGEXEXTRACT(A27, ""res(269|122)""), ""none"")"),"122")</f>
        <v>122</v>
      </c>
      <c r="F27" s="1">
        <v>-15.113702</v>
      </c>
      <c r="G27" s="1">
        <v>8.0</v>
      </c>
      <c r="H27" s="1">
        <v>3.0</v>
      </c>
      <c r="I27" s="1">
        <v>0.25</v>
      </c>
      <c r="J27" s="1">
        <v>2.0</v>
      </c>
      <c r="K27" s="1">
        <v>-0.761492</v>
      </c>
      <c r="L27" s="1">
        <v>100.0</v>
      </c>
      <c r="M27" s="1">
        <v>0.0</v>
      </c>
      <c r="N27" s="1">
        <v>0.0</v>
      </c>
      <c r="O27" s="1">
        <v>97.374806</v>
      </c>
    </row>
    <row r="28">
      <c r="A28" s="1" t="s">
        <v>908</v>
      </c>
      <c r="B28" s="1" t="s">
        <v>909</v>
      </c>
      <c r="C28" s="3"/>
      <c r="D28" s="3"/>
      <c r="E28" s="1" t="str">
        <f>IFERROR(__xludf.DUMMYFUNCTION("IFERROR(REGEXEXTRACT(A28, ""res(269|122)""), ""none"")"),"122")</f>
        <v>122</v>
      </c>
      <c r="F28" s="1">
        <v>-15.31518</v>
      </c>
      <c r="G28" s="1">
        <v>8.0</v>
      </c>
      <c r="H28" s="1">
        <v>4.0</v>
      </c>
      <c r="I28" s="1">
        <v>0.375</v>
      </c>
      <c r="J28" s="1">
        <v>2.0</v>
      </c>
      <c r="K28" s="1">
        <v>-1.223903</v>
      </c>
      <c r="L28" s="1">
        <v>100.0</v>
      </c>
      <c r="M28" s="1">
        <v>0.0</v>
      </c>
      <c r="N28" s="1">
        <v>0.0</v>
      </c>
      <c r="O28" s="1">
        <v>97.835917</v>
      </c>
    </row>
    <row r="29">
      <c r="A29" s="1" t="s">
        <v>209</v>
      </c>
      <c r="B29" s="1" t="s">
        <v>210</v>
      </c>
      <c r="C29" s="3" t="s">
        <v>95</v>
      </c>
      <c r="D29" s="3"/>
      <c r="E29" s="1" t="str">
        <f>IFERROR(__xludf.DUMMYFUNCTION("IFERROR(REGEXEXTRACT(A29, ""res(269|122)""), ""none"")"),"122")</f>
        <v>122</v>
      </c>
      <c r="F29" s="1">
        <v>-15.419001</v>
      </c>
      <c r="G29" s="1">
        <v>8.0</v>
      </c>
      <c r="H29" s="1">
        <v>5.0</v>
      </c>
      <c r="I29" s="1">
        <v>0.5</v>
      </c>
      <c r="J29" s="1">
        <v>3.0</v>
      </c>
      <c r="K29" s="1">
        <v>-1.097048</v>
      </c>
      <c r="L29" s="1">
        <v>100.0</v>
      </c>
      <c r="M29" s="1">
        <v>0.0</v>
      </c>
      <c r="N29" s="1">
        <v>0.0</v>
      </c>
      <c r="O29" s="1">
        <v>99.983951</v>
      </c>
    </row>
    <row r="30">
      <c r="A30" s="1" t="s">
        <v>910</v>
      </c>
      <c r="B30" s="1" t="s">
        <v>911</v>
      </c>
      <c r="C30" s="3"/>
      <c r="D30" s="3"/>
      <c r="E30" s="1" t="str">
        <f>IFERROR(__xludf.DUMMYFUNCTION("IFERROR(REGEXEXTRACT(A30, ""res(269|122)""), ""none"")"),"122")</f>
        <v>122</v>
      </c>
      <c r="F30" s="1">
        <v>-15.898066</v>
      </c>
      <c r="G30" s="1">
        <v>10.0</v>
      </c>
      <c r="H30" s="1">
        <v>5.0</v>
      </c>
      <c r="I30" s="1">
        <v>0.3</v>
      </c>
      <c r="J30" s="1">
        <v>2.0</v>
      </c>
      <c r="K30" s="1">
        <v>-0.756596</v>
      </c>
      <c r="L30" s="1">
        <v>100.0</v>
      </c>
      <c r="M30" s="1">
        <v>0.0</v>
      </c>
      <c r="N30" s="1">
        <v>0.0</v>
      </c>
      <c r="O30" s="1">
        <v>100.645338</v>
      </c>
    </row>
    <row r="31">
      <c r="A31" s="1" t="s">
        <v>912</v>
      </c>
      <c r="B31" s="1" t="s">
        <v>913</v>
      </c>
      <c r="C31" s="3"/>
      <c r="D31" s="3"/>
      <c r="E31" s="1" t="str">
        <f>IFERROR(__xludf.DUMMYFUNCTION("IFERROR(REGEXEXTRACT(A31, ""res(269|122)""), ""none"")"),"122")</f>
        <v>122</v>
      </c>
      <c r="F31" s="1">
        <v>-15.987933</v>
      </c>
      <c r="G31" s="1">
        <v>8.0</v>
      </c>
      <c r="H31" s="1">
        <v>4.0</v>
      </c>
      <c r="I31" s="1">
        <v>0.25</v>
      </c>
      <c r="J31" s="1">
        <v>2.0</v>
      </c>
      <c r="K31" s="1">
        <v>-1.336909</v>
      </c>
      <c r="L31" s="1">
        <v>100.0</v>
      </c>
      <c r="M31" s="1">
        <v>0.0</v>
      </c>
      <c r="N31" s="1">
        <v>0.0</v>
      </c>
      <c r="O31" s="1">
        <v>96.925158</v>
      </c>
    </row>
    <row r="32">
      <c r="A32" s="1" t="s">
        <v>914</v>
      </c>
      <c r="B32" s="1" t="s">
        <v>915</v>
      </c>
      <c r="C32" s="3"/>
      <c r="D32" s="3"/>
      <c r="E32" s="1" t="str">
        <f>IFERROR(__xludf.DUMMYFUNCTION("IFERROR(REGEXEXTRACT(A32, ""res(269|122)""), ""none"")"),"122")</f>
        <v>122</v>
      </c>
      <c r="F32" s="1">
        <v>-15.292696</v>
      </c>
      <c r="G32" s="1">
        <v>11.0</v>
      </c>
      <c r="H32" s="1">
        <v>2.0</v>
      </c>
      <c r="I32" s="1">
        <v>0.272727</v>
      </c>
      <c r="J32" s="1">
        <v>2.0</v>
      </c>
      <c r="K32" s="1">
        <v>-0.566388</v>
      </c>
      <c r="L32" s="1">
        <v>100.0</v>
      </c>
      <c r="M32" s="1">
        <v>0.0</v>
      </c>
      <c r="N32" s="1">
        <v>0.0</v>
      </c>
      <c r="O32" s="1">
        <v>99.413643</v>
      </c>
    </row>
    <row r="33">
      <c r="A33" s="1" t="s">
        <v>916</v>
      </c>
      <c r="B33" s="1" t="s">
        <v>917</v>
      </c>
      <c r="C33" s="3"/>
      <c r="D33" s="3"/>
      <c r="E33" s="1" t="str">
        <f>IFERROR(__xludf.DUMMYFUNCTION("IFERROR(REGEXEXTRACT(A33, ""res(269|122)""), ""none"")"),"122")</f>
        <v>122</v>
      </c>
      <c r="F33" s="1">
        <v>-15.186457</v>
      </c>
      <c r="G33" s="1">
        <v>8.0</v>
      </c>
      <c r="H33" s="1">
        <v>2.0</v>
      </c>
      <c r="I33" s="1">
        <v>0.25</v>
      </c>
      <c r="J33" s="1">
        <v>2.0</v>
      </c>
      <c r="K33" s="1">
        <v>-1.2613</v>
      </c>
      <c r="L33" s="1">
        <v>100.0</v>
      </c>
      <c r="M33" s="1">
        <v>0.0</v>
      </c>
      <c r="N33" s="1">
        <v>0.0</v>
      </c>
      <c r="O33" s="1">
        <v>95.802243</v>
      </c>
    </row>
    <row r="34">
      <c r="A34" s="1" t="s">
        <v>918</v>
      </c>
      <c r="B34" s="1" t="s">
        <v>919</v>
      </c>
      <c r="C34" s="3"/>
      <c r="D34" s="3"/>
      <c r="E34" s="1" t="str">
        <f>IFERROR(__xludf.DUMMYFUNCTION("IFERROR(REGEXEXTRACT(A34, ""res(269|122)""), ""none"")"),"122")</f>
        <v>122</v>
      </c>
      <c r="F34" s="1">
        <v>-16.198358</v>
      </c>
      <c r="G34" s="1">
        <v>8.0</v>
      </c>
      <c r="H34" s="1">
        <v>4.0</v>
      </c>
      <c r="I34" s="1">
        <v>0.25</v>
      </c>
      <c r="J34" s="1">
        <v>2.0</v>
      </c>
      <c r="K34" s="1">
        <v>-0.652775</v>
      </c>
      <c r="L34" s="1">
        <v>100.0</v>
      </c>
      <c r="M34" s="1">
        <v>0.0</v>
      </c>
      <c r="N34" s="1">
        <v>0.0</v>
      </c>
      <c r="O34" s="1">
        <v>97.398867</v>
      </c>
    </row>
    <row r="35">
      <c r="A35" s="1" t="s">
        <v>920</v>
      </c>
      <c r="B35" s="1" t="s">
        <v>921</v>
      </c>
      <c r="C35" s="3"/>
      <c r="D35" s="3"/>
      <c r="E35" s="1" t="str">
        <f>IFERROR(__xludf.DUMMYFUNCTION("IFERROR(REGEXEXTRACT(A35, ""res(269|122)""), ""none"")"),"122")</f>
        <v>122</v>
      </c>
      <c r="F35" s="1">
        <v>-16.731063</v>
      </c>
      <c r="G35" s="1">
        <v>8.0</v>
      </c>
      <c r="H35" s="1">
        <v>4.0</v>
      </c>
      <c r="I35" s="1">
        <v>0.25</v>
      </c>
      <c r="J35" s="1">
        <v>2.0</v>
      </c>
      <c r="K35" s="1">
        <v>-0.330589</v>
      </c>
      <c r="L35" s="1">
        <v>100.0</v>
      </c>
      <c r="M35" s="1">
        <v>0.0</v>
      </c>
      <c r="N35" s="1">
        <v>0.0</v>
      </c>
      <c r="O35" s="1">
        <v>97.188348</v>
      </c>
    </row>
    <row r="36">
      <c r="A36" s="1" t="s">
        <v>211</v>
      </c>
      <c r="B36" s="1" t="s">
        <v>212</v>
      </c>
      <c r="C36" s="3" t="s">
        <v>24</v>
      </c>
      <c r="D36" s="3"/>
      <c r="E36" s="1" t="str">
        <f>IFERROR(__xludf.DUMMYFUNCTION("IFERROR(REGEXEXTRACT(A36, ""res(269|122)""), ""none"")"),"122")</f>
        <v>122</v>
      </c>
      <c r="F36" s="1">
        <v>-15.695975</v>
      </c>
      <c r="G36" s="1">
        <v>7.0</v>
      </c>
      <c r="H36" s="1">
        <v>5.0</v>
      </c>
      <c r="I36" s="1">
        <v>0.428571</v>
      </c>
      <c r="J36" s="1">
        <v>2.0</v>
      </c>
      <c r="K36" s="1">
        <v>-0.51858</v>
      </c>
      <c r="L36" s="1">
        <v>100.0</v>
      </c>
      <c r="M36" s="1">
        <v>0.0</v>
      </c>
      <c r="N36" s="1">
        <v>0.0</v>
      </c>
      <c r="O36" s="1">
        <v>98.214016</v>
      </c>
    </row>
    <row r="37">
      <c r="A37" s="1" t="s">
        <v>922</v>
      </c>
      <c r="B37" s="1" t="s">
        <v>923</v>
      </c>
      <c r="C37" s="3"/>
      <c r="D37" s="3"/>
      <c r="E37" s="1" t="str">
        <f>IFERROR(__xludf.DUMMYFUNCTION("IFERROR(REGEXEXTRACT(A37, ""res(269|122)""), ""none"")"),"122")</f>
        <v>122</v>
      </c>
      <c r="F37" s="1">
        <v>-15.855765</v>
      </c>
      <c r="G37" s="1">
        <v>7.0</v>
      </c>
      <c r="H37" s="1">
        <v>3.0</v>
      </c>
      <c r="I37" s="1">
        <v>0.285714</v>
      </c>
      <c r="J37" s="1">
        <v>2.0</v>
      </c>
      <c r="K37" s="1">
        <v>-0.404817</v>
      </c>
      <c r="L37" s="1">
        <v>100.0</v>
      </c>
      <c r="M37" s="1">
        <v>0.0</v>
      </c>
      <c r="N37" s="1">
        <v>0.0</v>
      </c>
      <c r="O37" s="1">
        <v>96.025132</v>
      </c>
    </row>
    <row r="38">
      <c r="A38" s="1" t="s">
        <v>924</v>
      </c>
      <c r="B38" s="1" t="s">
        <v>925</v>
      </c>
      <c r="C38" s="3"/>
      <c r="D38" s="3"/>
      <c r="E38" s="1" t="str">
        <f>IFERROR(__xludf.DUMMYFUNCTION("IFERROR(REGEXEXTRACT(A38, ""res(269|122)""), ""none"")"),"122")</f>
        <v>122</v>
      </c>
      <c r="F38" s="1">
        <v>-16.725242</v>
      </c>
      <c r="G38" s="1">
        <v>10.0</v>
      </c>
      <c r="H38" s="1">
        <v>4.0</v>
      </c>
      <c r="I38" s="1">
        <v>0.3</v>
      </c>
      <c r="J38" s="1">
        <v>2.0</v>
      </c>
      <c r="K38" s="1">
        <v>-1.11447299999999</v>
      </c>
      <c r="L38" s="1">
        <v>100.0</v>
      </c>
      <c r="M38" s="1">
        <v>0.0</v>
      </c>
      <c r="N38" s="1">
        <v>0.0</v>
      </c>
      <c r="O38" s="1">
        <v>98.460285</v>
      </c>
    </row>
    <row r="39">
      <c r="A39" s="1" t="s">
        <v>926</v>
      </c>
      <c r="B39" s="1" t="s">
        <v>927</v>
      </c>
      <c r="C39" s="3"/>
      <c r="D39" s="3"/>
      <c r="E39" s="1" t="str">
        <f>IFERROR(__xludf.DUMMYFUNCTION("IFERROR(REGEXEXTRACT(A39, ""res(269|122)""), ""none"")"),"122")</f>
        <v>122</v>
      </c>
      <c r="F39" s="1">
        <v>-15.350543</v>
      </c>
      <c r="G39" s="1">
        <v>9.0</v>
      </c>
      <c r="H39" s="1">
        <v>4.0</v>
      </c>
      <c r="I39" s="1">
        <v>0.333333</v>
      </c>
      <c r="J39" s="1">
        <v>2.0</v>
      </c>
      <c r="K39" s="1">
        <v>-0.784927</v>
      </c>
      <c r="L39" s="1">
        <v>100.0</v>
      </c>
      <c r="M39" s="1">
        <v>0.0</v>
      </c>
      <c r="N39" s="1">
        <v>0.0</v>
      </c>
      <c r="O39" s="1">
        <v>99.197863</v>
      </c>
    </row>
    <row r="40">
      <c r="A40" s="1" t="s">
        <v>928</v>
      </c>
      <c r="B40" s="1" t="s">
        <v>929</v>
      </c>
      <c r="C40" s="3"/>
      <c r="D40" s="3"/>
      <c r="E40" s="1" t="str">
        <f>IFERROR(__xludf.DUMMYFUNCTION("IFERROR(REGEXEXTRACT(A40, ""res(269|122)""), ""none"")"),"122")</f>
        <v>122</v>
      </c>
      <c r="F40" s="1">
        <v>-16.543963</v>
      </c>
      <c r="G40" s="1">
        <v>7.0</v>
      </c>
      <c r="H40" s="1">
        <v>4.0</v>
      </c>
      <c r="I40" s="1">
        <v>0.285714</v>
      </c>
      <c r="J40" s="1">
        <v>2.0</v>
      </c>
      <c r="K40" s="1">
        <v>-1.827052</v>
      </c>
      <c r="L40" s="1">
        <v>100.0</v>
      </c>
      <c r="M40" s="1">
        <v>0.0</v>
      </c>
      <c r="N40" s="1">
        <v>0.0</v>
      </c>
      <c r="O40" s="1">
        <v>94.914699</v>
      </c>
    </row>
    <row r="41">
      <c r="A41" s="1" t="s">
        <v>930</v>
      </c>
      <c r="B41" s="1" t="s">
        <v>931</v>
      </c>
      <c r="C41" s="3"/>
      <c r="D41" s="3"/>
      <c r="E41" s="1" t="str">
        <f>IFERROR(__xludf.DUMMYFUNCTION("IFERROR(REGEXEXTRACT(A41, ""res(269|122)""), ""none"")"),"122")</f>
        <v>122</v>
      </c>
      <c r="F41" s="1">
        <v>-16.543963</v>
      </c>
      <c r="G41" s="1">
        <v>7.0</v>
      </c>
      <c r="H41" s="1">
        <v>4.0</v>
      </c>
      <c r="I41" s="1">
        <v>0.285714</v>
      </c>
      <c r="J41" s="1">
        <v>2.0</v>
      </c>
      <c r="K41" s="1">
        <v>-1.827052</v>
      </c>
      <c r="L41" s="1">
        <v>100.0</v>
      </c>
      <c r="M41" s="1">
        <v>0.0</v>
      </c>
      <c r="N41" s="1">
        <v>0.0</v>
      </c>
      <c r="O41" s="1">
        <v>94.914699</v>
      </c>
    </row>
    <row r="42">
      <c r="A42" s="1" t="s">
        <v>213</v>
      </c>
      <c r="B42" s="1" t="s">
        <v>40</v>
      </c>
      <c r="C42" s="3" t="s">
        <v>33</v>
      </c>
      <c r="D42" s="3"/>
      <c r="E42" s="1" t="str">
        <f>IFERROR(__xludf.DUMMYFUNCTION("IFERROR(REGEXEXTRACT(A42, ""res(269|122)""), ""none"")"),"122")</f>
        <v>122</v>
      </c>
      <c r="F42" s="1">
        <v>-15.040718</v>
      </c>
      <c r="G42" s="1">
        <v>6.0</v>
      </c>
      <c r="H42" s="1">
        <v>3.0</v>
      </c>
      <c r="I42" s="1">
        <v>0.333333</v>
      </c>
      <c r="J42" s="1">
        <v>2.0</v>
      </c>
      <c r="K42" s="1">
        <v>-1.138986</v>
      </c>
      <c r="L42" s="1">
        <v>100.0</v>
      </c>
      <c r="M42" s="1">
        <v>0.0</v>
      </c>
      <c r="N42" s="1">
        <v>0.0</v>
      </c>
      <c r="O42" s="1">
        <v>95.153629</v>
      </c>
    </row>
    <row r="43">
      <c r="A43" s="1" t="s">
        <v>932</v>
      </c>
      <c r="B43" s="1" t="s">
        <v>933</v>
      </c>
      <c r="C43" s="3"/>
      <c r="D43" s="3"/>
      <c r="E43" s="1" t="str">
        <f>IFERROR(__xludf.DUMMYFUNCTION("IFERROR(REGEXEXTRACT(A43, ""res(269|122)""), ""none"")"),"122")</f>
        <v>122</v>
      </c>
      <c r="F43" s="1">
        <v>-15.00123</v>
      </c>
      <c r="G43" s="1">
        <v>9.0</v>
      </c>
      <c r="H43" s="1">
        <v>4.0</v>
      </c>
      <c r="I43" s="1">
        <v>0.333333</v>
      </c>
      <c r="J43" s="1">
        <v>2.0</v>
      </c>
      <c r="K43" s="1">
        <v>-0.988256</v>
      </c>
      <c r="L43" s="1">
        <v>100.0</v>
      </c>
      <c r="M43" s="1">
        <v>0.0</v>
      </c>
      <c r="N43" s="1">
        <v>0.0</v>
      </c>
      <c r="O43" s="1">
        <v>99.343847</v>
      </c>
    </row>
    <row r="44">
      <c r="A44" s="1" t="s">
        <v>214</v>
      </c>
      <c r="B44" s="1" t="s">
        <v>44</v>
      </c>
      <c r="C44" s="3" t="s">
        <v>26</v>
      </c>
      <c r="D44" s="3"/>
      <c r="E44" s="1" t="str">
        <f>IFERROR(__xludf.DUMMYFUNCTION("IFERROR(REGEXEXTRACT(A44, ""res(269|122)""), ""none"")"),"122")</f>
        <v>122</v>
      </c>
      <c r="F44" s="1">
        <v>-15.260381</v>
      </c>
      <c r="G44" s="1">
        <v>8.0</v>
      </c>
      <c r="H44" s="1">
        <v>3.0</v>
      </c>
      <c r="I44" s="1">
        <v>0.25</v>
      </c>
      <c r="J44" s="1">
        <v>3.0</v>
      </c>
      <c r="K44" s="1">
        <v>-1.428861</v>
      </c>
      <c r="L44" s="1">
        <v>100.0</v>
      </c>
      <c r="M44" s="1">
        <v>0.0</v>
      </c>
      <c r="N44" s="1">
        <v>0.0</v>
      </c>
      <c r="O44" s="1">
        <v>97.560758</v>
      </c>
    </row>
    <row r="45">
      <c r="A45" s="1" t="s">
        <v>934</v>
      </c>
      <c r="B45" s="1" t="s">
        <v>935</v>
      </c>
      <c r="C45" s="3"/>
      <c r="D45" s="3"/>
      <c r="E45" s="1" t="str">
        <f>IFERROR(__xludf.DUMMYFUNCTION("IFERROR(REGEXEXTRACT(A45, ""res(269|122)""), ""none"")"),"122")</f>
        <v>122</v>
      </c>
      <c r="F45" s="1">
        <v>-15.938727</v>
      </c>
      <c r="G45" s="1">
        <v>8.0</v>
      </c>
      <c r="H45" s="1">
        <v>1.0</v>
      </c>
      <c r="I45" s="1">
        <v>0.25</v>
      </c>
      <c r="J45" s="1">
        <v>2.0</v>
      </c>
      <c r="K45" s="1">
        <v>-0.174925</v>
      </c>
      <c r="L45" s="1">
        <v>100.0</v>
      </c>
      <c r="M45" s="1">
        <v>0.0</v>
      </c>
      <c r="N45" s="1">
        <v>0.0</v>
      </c>
      <c r="O45" s="1">
        <v>95.136348</v>
      </c>
    </row>
    <row r="46">
      <c r="A46" s="1" t="s">
        <v>936</v>
      </c>
      <c r="B46" s="1" t="s">
        <v>937</v>
      </c>
      <c r="C46" s="3"/>
      <c r="D46" s="3"/>
      <c r="E46" s="1" t="str">
        <f>IFERROR(__xludf.DUMMYFUNCTION("IFERROR(REGEXEXTRACT(A46, ""res(269|122)""), ""none"")"),"122")</f>
        <v>122</v>
      </c>
      <c r="F46" s="1">
        <v>-15.860614</v>
      </c>
      <c r="G46" s="1">
        <v>10.0</v>
      </c>
      <c r="H46" s="1">
        <v>4.0</v>
      </c>
      <c r="I46" s="1">
        <v>0.3</v>
      </c>
      <c r="J46" s="1">
        <v>2.0</v>
      </c>
      <c r="K46" s="1">
        <v>-1.47230399999999</v>
      </c>
      <c r="L46" s="1">
        <v>100.0</v>
      </c>
      <c r="M46" s="1">
        <v>0.0</v>
      </c>
      <c r="N46" s="1">
        <v>0.0</v>
      </c>
      <c r="O46" s="1">
        <v>98.967082</v>
      </c>
    </row>
    <row r="47">
      <c r="A47" s="1" t="s">
        <v>938</v>
      </c>
      <c r="B47" s="1" t="s">
        <v>939</v>
      </c>
      <c r="C47" s="3"/>
      <c r="D47" s="3"/>
      <c r="E47" s="1" t="str">
        <f>IFERROR(__xludf.DUMMYFUNCTION("IFERROR(REGEXEXTRACT(A47, ""res(269|122)""), ""none"")"),"122")</f>
        <v>122</v>
      </c>
      <c r="F47" s="1">
        <v>-15.843518</v>
      </c>
      <c r="G47" s="1">
        <v>6.0</v>
      </c>
      <c r="H47" s="1">
        <v>3.0</v>
      </c>
      <c r="I47" s="1">
        <v>0.333333</v>
      </c>
      <c r="J47" s="1">
        <v>2.0</v>
      </c>
      <c r="K47" s="1">
        <v>-0.907249</v>
      </c>
      <c r="L47" s="1">
        <v>100.0</v>
      </c>
      <c r="M47" s="1">
        <v>0.0</v>
      </c>
      <c r="N47" s="1">
        <v>0.0</v>
      </c>
      <c r="O47" s="1">
        <v>94.582566</v>
      </c>
    </row>
    <row r="48">
      <c r="A48" s="1" t="s">
        <v>940</v>
      </c>
      <c r="B48" s="1" t="s">
        <v>941</v>
      </c>
      <c r="C48" s="3"/>
      <c r="D48" s="3"/>
      <c r="E48" s="1" t="str">
        <f>IFERROR(__xludf.DUMMYFUNCTION("IFERROR(REGEXEXTRACT(A48, ""res(269|122)""), ""none"")"),"122")</f>
        <v>122</v>
      </c>
      <c r="F48" s="1">
        <v>-15.895796</v>
      </c>
      <c r="G48" s="1">
        <v>7.0</v>
      </c>
      <c r="H48" s="1">
        <v>3.0</v>
      </c>
      <c r="I48" s="1">
        <v>0.285714</v>
      </c>
      <c r="J48" s="1">
        <v>2.0</v>
      </c>
      <c r="K48" s="1">
        <v>-1.042085</v>
      </c>
      <c r="L48" s="1">
        <v>100.0</v>
      </c>
      <c r="M48" s="1">
        <v>0.0</v>
      </c>
      <c r="N48" s="1">
        <v>0.0</v>
      </c>
      <c r="O48" s="1">
        <v>95.347833</v>
      </c>
    </row>
    <row r="49">
      <c r="A49" s="1" t="s">
        <v>942</v>
      </c>
      <c r="B49" s="1" t="s">
        <v>943</v>
      </c>
      <c r="C49" s="3"/>
      <c r="D49" s="3"/>
      <c r="E49" s="1" t="str">
        <f>IFERROR(__xludf.DUMMYFUNCTION("IFERROR(REGEXEXTRACT(A49, ""res(269|122)""), ""none"")"),"122")</f>
        <v>122</v>
      </c>
      <c r="F49" s="1">
        <v>-17.273811</v>
      </c>
      <c r="G49" s="1">
        <v>7.0</v>
      </c>
      <c r="H49" s="1">
        <v>3.0</v>
      </c>
      <c r="I49" s="1">
        <v>0.285714</v>
      </c>
      <c r="J49" s="1">
        <v>2.0</v>
      </c>
      <c r="K49" s="1">
        <v>-0.836087999999999</v>
      </c>
      <c r="L49" s="1">
        <v>100.0</v>
      </c>
      <c r="M49" s="1">
        <v>0.0</v>
      </c>
      <c r="N49" s="1">
        <v>0.0</v>
      </c>
      <c r="O49" s="1">
        <v>94.175815</v>
      </c>
    </row>
    <row r="50">
      <c r="A50" s="1" t="s">
        <v>215</v>
      </c>
      <c r="B50" s="1" t="s">
        <v>216</v>
      </c>
      <c r="C50" s="3" t="s">
        <v>95</v>
      </c>
      <c r="D50" s="3"/>
      <c r="E50" s="1" t="str">
        <f>IFERROR(__xludf.DUMMYFUNCTION("IFERROR(REGEXEXTRACT(A50, ""res(269|122)""), ""none"")"),"122")</f>
        <v>122</v>
      </c>
      <c r="F50" s="1">
        <v>-16.747691</v>
      </c>
      <c r="G50" s="1">
        <v>10.0</v>
      </c>
      <c r="H50" s="1">
        <v>4.0</v>
      </c>
      <c r="I50" s="1">
        <v>0.4</v>
      </c>
      <c r="J50" s="1">
        <v>2.0</v>
      </c>
      <c r="K50" s="1">
        <v>-1.533959</v>
      </c>
      <c r="L50" s="1">
        <v>100.0</v>
      </c>
      <c r="M50" s="1">
        <v>0.0</v>
      </c>
      <c r="N50" s="1">
        <v>0.0</v>
      </c>
      <c r="O50" s="1">
        <v>98.11835</v>
      </c>
    </row>
    <row r="51">
      <c r="A51" s="1" t="s">
        <v>217</v>
      </c>
      <c r="B51" s="1" t="s">
        <v>218</v>
      </c>
      <c r="C51" s="3" t="s">
        <v>95</v>
      </c>
      <c r="D51" s="3"/>
      <c r="E51" s="1" t="str">
        <f>IFERROR(__xludf.DUMMYFUNCTION("IFERROR(REGEXEXTRACT(A51, ""res(269|122)""), ""none"")"),"122")</f>
        <v>122</v>
      </c>
      <c r="F51" s="1">
        <v>-15.251888</v>
      </c>
      <c r="G51" s="1">
        <v>10.0</v>
      </c>
      <c r="H51" s="1">
        <v>4.0</v>
      </c>
      <c r="I51" s="1">
        <v>0.4</v>
      </c>
      <c r="J51" s="1">
        <v>2.0</v>
      </c>
      <c r="K51" s="1">
        <v>-0.922495</v>
      </c>
      <c r="L51" s="1">
        <v>100.0</v>
      </c>
      <c r="M51" s="1">
        <v>0.0</v>
      </c>
      <c r="N51" s="1">
        <v>0.0</v>
      </c>
      <c r="O51" s="1">
        <v>100.225617</v>
      </c>
    </row>
    <row r="52">
      <c r="A52" s="1" t="s">
        <v>219</v>
      </c>
      <c r="B52" s="1" t="s">
        <v>220</v>
      </c>
      <c r="C52" s="3" t="s">
        <v>95</v>
      </c>
      <c r="D52" s="3"/>
      <c r="E52" s="1" t="str">
        <f>IFERROR(__xludf.DUMMYFUNCTION("IFERROR(REGEXEXTRACT(A52, ""res(269|122)""), ""none"")"),"122")</f>
        <v>122</v>
      </c>
      <c r="F52" s="1">
        <v>-15.933583</v>
      </c>
      <c r="G52" s="1">
        <v>10.0</v>
      </c>
      <c r="H52" s="1">
        <v>4.0</v>
      </c>
      <c r="I52" s="1">
        <v>0.4</v>
      </c>
      <c r="J52" s="1">
        <v>3.0</v>
      </c>
      <c r="K52" s="1">
        <v>-0.861401</v>
      </c>
      <c r="L52" s="1">
        <v>100.0</v>
      </c>
      <c r="M52" s="1">
        <v>0.0</v>
      </c>
      <c r="N52" s="1">
        <v>0.0</v>
      </c>
      <c r="O52" s="1">
        <v>100.605016</v>
      </c>
    </row>
    <row r="53">
      <c r="A53" s="1" t="s">
        <v>944</v>
      </c>
      <c r="B53" s="1" t="s">
        <v>945</v>
      </c>
      <c r="C53" s="3"/>
      <c r="D53" s="3"/>
      <c r="E53" s="1" t="str">
        <f>IFERROR(__xludf.DUMMYFUNCTION("IFERROR(REGEXEXTRACT(A53, ""res(269|122)""), ""none"")"),"122")</f>
        <v>122</v>
      </c>
      <c r="F53" s="1">
        <v>-15.995015</v>
      </c>
      <c r="G53" s="1">
        <v>9.0</v>
      </c>
      <c r="H53" s="1">
        <v>4.0</v>
      </c>
      <c r="I53" s="1">
        <v>0.333333</v>
      </c>
      <c r="J53" s="1">
        <v>3.0</v>
      </c>
      <c r="K53" s="1">
        <v>-0.936516</v>
      </c>
      <c r="L53" s="1">
        <v>100.0</v>
      </c>
      <c r="M53" s="1">
        <v>0.0</v>
      </c>
      <c r="N53" s="1">
        <v>0.0</v>
      </c>
      <c r="O53" s="1">
        <v>99.401802</v>
      </c>
    </row>
    <row r="54">
      <c r="A54" s="1" t="s">
        <v>946</v>
      </c>
      <c r="B54" s="1" t="s">
        <v>947</v>
      </c>
      <c r="C54" s="3"/>
      <c r="D54" s="3"/>
      <c r="E54" s="1" t="str">
        <f>IFERROR(__xludf.DUMMYFUNCTION("IFERROR(REGEXEXTRACT(A54, ""res(269|122)""), ""none"")"),"122")</f>
        <v>122</v>
      </c>
      <c r="F54" s="1">
        <v>-15.980019</v>
      </c>
      <c r="G54" s="1">
        <v>10.0</v>
      </c>
      <c r="H54" s="1">
        <v>3.0</v>
      </c>
      <c r="I54" s="1">
        <v>0.3</v>
      </c>
      <c r="J54" s="1">
        <v>2.0</v>
      </c>
      <c r="K54" s="1">
        <v>-0.742691</v>
      </c>
      <c r="L54" s="1">
        <v>100.0</v>
      </c>
      <c r="M54" s="1">
        <v>0.0</v>
      </c>
      <c r="N54" s="1">
        <v>0.0</v>
      </c>
      <c r="O54" s="1">
        <v>98.57729</v>
      </c>
    </row>
    <row r="55">
      <c r="A55" s="1" t="s">
        <v>948</v>
      </c>
      <c r="B55" s="1" t="s">
        <v>949</v>
      </c>
      <c r="C55" s="3"/>
      <c r="D55" s="3"/>
      <c r="E55" s="1" t="str">
        <f>IFERROR(__xludf.DUMMYFUNCTION("IFERROR(REGEXEXTRACT(A55, ""res(269|122)""), ""none"")"),"122")</f>
        <v>122</v>
      </c>
      <c r="F55" s="1">
        <v>-15.786352</v>
      </c>
      <c r="G55" s="1">
        <v>7.0</v>
      </c>
      <c r="H55" s="1">
        <v>4.0</v>
      </c>
      <c r="I55" s="1">
        <v>0.285714</v>
      </c>
      <c r="J55" s="1">
        <v>3.0</v>
      </c>
      <c r="K55" s="1">
        <v>-1.391272</v>
      </c>
      <c r="L55" s="1">
        <v>100.0</v>
      </c>
      <c r="M55" s="1">
        <v>0.0</v>
      </c>
      <c r="N55" s="1">
        <v>0.0</v>
      </c>
      <c r="O55" s="1">
        <v>97.10809</v>
      </c>
    </row>
    <row r="56">
      <c r="A56" s="1" t="s">
        <v>950</v>
      </c>
      <c r="B56" s="1" t="s">
        <v>951</v>
      </c>
      <c r="C56" s="3"/>
      <c r="D56" s="3"/>
      <c r="E56" s="1" t="str">
        <f>IFERROR(__xludf.DUMMYFUNCTION("IFERROR(REGEXEXTRACT(A56, ""res(269|122)""), ""none"")"),"122")</f>
        <v>122</v>
      </c>
      <c r="F56" s="1">
        <v>-15.195113</v>
      </c>
      <c r="G56" s="1">
        <v>8.0</v>
      </c>
      <c r="H56" s="1">
        <v>3.0</v>
      </c>
      <c r="I56" s="1">
        <v>0.25</v>
      </c>
      <c r="J56" s="1">
        <v>2.0</v>
      </c>
      <c r="K56" s="1">
        <v>-1.197714</v>
      </c>
      <c r="L56" s="1">
        <v>100.0</v>
      </c>
      <c r="M56" s="1">
        <v>0.0</v>
      </c>
      <c r="N56" s="1">
        <v>0.0</v>
      </c>
      <c r="O56" s="1">
        <v>96.857173</v>
      </c>
    </row>
    <row r="57">
      <c r="A57" s="1" t="s">
        <v>221</v>
      </c>
      <c r="B57" s="1" t="s">
        <v>222</v>
      </c>
      <c r="C57" s="3" t="s">
        <v>24</v>
      </c>
      <c r="D57" s="3"/>
      <c r="E57" s="1" t="str">
        <f>IFERROR(__xludf.DUMMYFUNCTION("IFERROR(REGEXEXTRACT(A57, ""res(269|122)""), ""none"")"),"122")</f>
        <v>122</v>
      </c>
      <c r="F57" s="1">
        <v>-15.3418</v>
      </c>
      <c r="G57" s="1">
        <v>9.0</v>
      </c>
      <c r="H57" s="1">
        <v>4.0</v>
      </c>
      <c r="I57" s="1">
        <v>0.333333</v>
      </c>
      <c r="J57" s="1">
        <v>2.0</v>
      </c>
      <c r="K57" s="1">
        <v>-1.486109</v>
      </c>
      <c r="L57" s="1">
        <v>100.0</v>
      </c>
      <c r="M57" s="1">
        <v>0.0</v>
      </c>
      <c r="N57" s="1">
        <v>0.0</v>
      </c>
      <c r="O57" s="1">
        <v>98.505424</v>
      </c>
    </row>
    <row r="58">
      <c r="A58" s="1" t="s">
        <v>223</v>
      </c>
      <c r="B58" s="1" t="s">
        <v>49</v>
      </c>
      <c r="C58" s="3" t="s">
        <v>33</v>
      </c>
      <c r="D58" s="3"/>
      <c r="E58" s="1" t="str">
        <f>IFERROR(__xludf.DUMMYFUNCTION("IFERROR(REGEXEXTRACT(A58, ""res(269|122)""), ""none"")"),"122")</f>
        <v>122</v>
      </c>
      <c r="F58" s="1">
        <v>-16.481134</v>
      </c>
      <c r="G58" s="1">
        <v>7.0</v>
      </c>
      <c r="H58" s="1">
        <v>3.0</v>
      </c>
      <c r="I58" s="1">
        <v>0.285714</v>
      </c>
      <c r="J58" s="1">
        <v>2.0</v>
      </c>
      <c r="K58" s="1">
        <v>-1.079586</v>
      </c>
      <c r="L58" s="1">
        <v>100.0</v>
      </c>
      <c r="M58" s="1">
        <v>0.0</v>
      </c>
      <c r="N58" s="1">
        <v>0.0</v>
      </c>
      <c r="O58" s="1">
        <v>94.724994</v>
      </c>
    </row>
    <row r="59">
      <c r="A59" s="1" t="s">
        <v>224</v>
      </c>
      <c r="B59" s="1" t="s">
        <v>53</v>
      </c>
      <c r="C59" s="3" t="s">
        <v>33</v>
      </c>
      <c r="D59" s="3"/>
      <c r="E59" s="1" t="str">
        <f>IFERROR(__xludf.DUMMYFUNCTION("IFERROR(REGEXEXTRACT(A59, ""res(269|122)""), ""none"")"),"122")</f>
        <v>122</v>
      </c>
      <c r="F59" s="1">
        <v>-15.209335</v>
      </c>
      <c r="G59" s="1">
        <v>9.0</v>
      </c>
      <c r="H59" s="1">
        <v>3.0</v>
      </c>
      <c r="I59" s="1">
        <v>0.555556</v>
      </c>
      <c r="J59" s="1">
        <v>2.0</v>
      </c>
      <c r="K59" s="1">
        <v>-0.616797</v>
      </c>
      <c r="L59" s="1">
        <v>100.0</v>
      </c>
      <c r="M59" s="1">
        <v>0.0</v>
      </c>
      <c r="N59" s="1">
        <v>0.0</v>
      </c>
      <c r="O59" s="1">
        <v>98.729424</v>
      </c>
    </row>
    <row r="60">
      <c r="A60" s="1" t="s">
        <v>952</v>
      </c>
      <c r="B60" s="1" t="s">
        <v>953</v>
      </c>
      <c r="C60" s="3"/>
      <c r="D60" s="3"/>
      <c r="E60" s="1" t="str">
        <f>IFERROR(__xludf.DUMMYFUNCTION("IFERROR(REGEXEXTRACT(A60, ""res(269|122)""), ""none"")"),"122")</f>
        <v>122</v>
      </c>
      <c r="F60" s="1">
        <v>-15.627624</v>
      </c>
      <c r="G60" s="1">
        <v>11.0</v>
      </c>
      <c r="H60" s="1">
        <v>3.0</v>
      </c>
      <c r="I60" s="1">
        <v>0.272727</v>
      </c>
      <c r="J60" s="1">
        <v>2.0</v>
      </c>
      <c r="K60" s="1">
        <v>-1.090456</v>
      </c>
      <c r="L60" s="1">
        <v>100.0</v>
      </c>
      <c r="M60" s="1">
        <v>0.0</v>
      </c>
      <c r="N60" s="1">
        <v>0.0</v>
      </c>
      <c r="O60" s="1">
        <v>99.554647</v>
      </c>
    </row>
    <row r="61">
      <c r="A61" s="1" t="s">
        <v>225</v>
      </c>
      <c r="B61" s="1" t="s">
        <v>226</v>
      </c>
      <c r="C61" s="3" t="s">
        <v>95</v>
      </c>
      <c r="D61" s="3"/>
      <c r="E61" s="1" t="str">
        <f>IFERROR(__xludf.DUMMYFUNCTION("IFERROR(REGEXEXTRACT(A61, ""res(269|122)""), ""none"")"),"122")</f>
        <v>122</v>
      </c>
      <c r="F61" s="1">
        <v>-16.256898</v>
      </c>
      <c r="G61" s="1">
        <v>11.0</v>
      </c>
      <c r="H61" s="1">
        <v>4.0</v>
      </c>
      <c r="I61" s="1">
        <v>0.272727</v>
      </c>
      <c r="J61" s="1">
        <v>2.0</v>
      </c>
      <c r="K61" s="1">
        <v>-1.787076</v>
      </c>
      <c r="L61" s="1">
        <v>100.0</v>
      </c>
      <c r="M61" s="1">
        <v>0.0</v>
      </c>
      <c r="N61" s="1">
        <v>0.0</v>
      </c>
      <c r="O61" s="1">
        <v>99.228753</v>
      </c>
    </row>
    <row r="62">
      <c r="A62" s="1" t="s">
        <v>954</v>
      </c>
      <c r="B62" s="1" t="s">
        <v>955</v>
      </c>
      <c r="C62" s="3"/>
      <c r="D62" s="3"/>
      <c r="E62" s="1" t="str">
        <f>IFERROR(__xludf.DUMMYFUNCTION("IFERROR(REGEXEXTRACT(A62, ""res(269|122)""), ""none"")"),"122")</f>
        <v>122</v>
      </c>
      <c r="F62" s="1">
        <v>-15.589483</v>
      </c>
      <c r="G62" s="1">
        <v>11.0</v>
      </c>
      <c r="H62" s="1">
        <v>4.0</v>
      </c>
      <c r="I62" s="1">
        <v>0.363636</v>
      </c>
      <c r="J62" s="1">
        <v>3.0</v>
      </c>
      <c r="K62" s="1">
        <v>-1.049205</v>
      </c>
      <c r="L62" s="1">
        <v>100.0</v>
      </c>
      <c r="M62" s="1">
        <v>0.0</v>
      </c>
      <c r="N62" s="1">
        <v>0.0</v>
      </c>
      <c r="O62" s="1">
        <v>101.724948</v>
      </c>
    </row>
    <row r="63">
      <c r="A63" s="1" t="s">
        <v>956</v>
      </c>
      <c r="B63" s="1" t="s">
        <v>957</v>
      </c>
      <c r="C63" s="3"/>
      <c r="D63" s="3"/>
      <c r="E63" s="1" t="str">
        <f>IFERROR(__xludf.DUMMYFUNCTION("IFERROR(REGEXEXTRACT(A63, ""res(269|122)""), ""none"")"),"122")</f>
        <v>122</v>
      </c>
      <c r="F63" s="1">
        <v>-16.073073</v>
      </c>
      <c r="G63" s="1">
        <v>9.0</v>
      </c>
      <c r="H63" s="1">
        <v>4.0</v>
      </c>
      <c r="I63" s="1">
        <v>0.333333</v>
      </c>
      <c r="J63" s="1">
        <v>2.0</v>
      </c>
      <c r="K63" s="1">
        <v>-1.417971</v>
      </c>
      <c r="L63" s="1">
        <v>100.0</v>
      </c>
      <c r="M63" s="1">
        <v>0.0</v>
      </c>
      <c r="N63" s="1">
        <v>0.0</v>
      </c>
      <c r="O63" s="1">
        <v>97.842289</v>
      </c>
    </row>
    <row r="64">
      <c r="A64" s="1" t="s">
        <v>227</v>
      </c>
      <c r="B64" s="1" t="s">
        <v>228</v>
      </c>
      <c r="C64" s="3" t="s">
        <v>24</v>
      </c>
      <c r="D64" s="3"/>
      <c r="E64" s="1" t="str">
        <f>IFERROR(__xludf.DUMMYFUNCTION("IFERROR(REGEXEXTRACT(A64, ""res(269|122)""), ""none"")"),"122")</f>
        <v>122</v>
      </c>
      <c r="F64" s="1">
        <v>-17.376492</v>
      </c>
      <c r="G64" s="1">
        <v>6.0</v>
      </c>
      <c r="H64" s="1">
        <v>3.0</v>
      </c>
      <c r="I64" s="1">
        <v>0.333333</v>
      </c>
      <c r="J64" s="1">
        <v>2.0</v>
      </c>
      <c r="K64" s="1">
        <v>-0.775723</v>
      </c>
      <c r="L64" s="1">
        <v>100.0</v>
      </c>
      <c r="M64" s="1">
        <v>0.0</v>
      </c>
      <c r="N64" s="1">
        <v>0.0</v>
      </c>
      <c r="O64" s="1">
        <v>93.181118</v>
      </c>
    </row>
    <row r="65">
      <c r="A65" s="1" t="s">
        <v>958</v>
      </c>
      <c r="B65" s="1" t="s">
        <v>959</v>
      </c>
      <c r="C65" s="3"/>
      <c r="D65" s="3"/>
      <c r="E65" s="1" t="str">
        <f>IFERROR(__xludf.DUMMYFUNCTION("IFERROR(REGEXEXTRACT(A65, ""res(269|122)""), ""none"")"),"122")</f>
        <v>122</v>
      </c>
      <c r="F65" s="1">
        <v>-15.665856</v>
      </c>
      <c r="G65" s="1">
        <v>8.0</v>
      </c>
      <c r="H65" s="1">
        <v>4.0</v>
      </c>
      <c r="I65" s="1">
        <v>0.375</v>
      </c>
      <c r="J65" s="1">
        <v>2.0</v>
      </c>
      <c r="K65" s="1">
        <v>-1.024371</v>
      </c>
      <c r="L65" s="1">
        <v>100.0</v>
      </c>
      <c r="M65" s="1">
        <v>0.0</v>
      </c>
      <c r="N65" s="1">
        <v>0.0</v>
      </c>
      <c r="O65" s="1">
        <v>97.684773</v>
      </c>
    </row>
    <row r="66">
      <c r="A66" s="1" t="s">
        <v>960</v>
      </c>
      <c r="B66" s="1" t="s">
        <v>961</v>
      </c>
      <c r="C66" s="3"/>
      <c r="D66" s="3"/>
      <c r="E66" s="1" t="str">
        <f>IFERROR(__xludf.DUMMYFUNCTION("IFERROR(REGEXEXTRACT(A66, ""res(269|122)""), ""none"")"),"122")</f>
        <v>122</v>
      </c>
      <c r="F66" s="1">
        <v>-15.416224</v>
      </c>
      <c r="G66" s="1">
        <v>7.0</v>
      </c>
      <c r="H66" s="1">
        <v>4.0</v>
      </c>
      <c r="I66" s="1">
        <v>0.285714</v>
      </c>
      <c r="J66" s="1">
        <v>2.0</v>
      </c>
      <c r="K66" s="1">
        <v>-1.441148</v>
      </c>
      <c r="L66" s="1">
        <v>100.0</v>
      </c>
      <c r="M66" s="1">
        <v>0.0</v>
      </c>
      <c r="N66" s="1">
        <v>0.0</v>
      </c>
      <c r="O66" s="1">
        <v>96.428342</v>
      </c>
    </row>
    <row r="67">
      <c r="A67" s="1" t="s">
        <v>962</v>
      </c>
      <c r="B67" s="1" t="s">
        <v>963</v>
      </c>
      <c r="C67" s="3"/>
      <c r="D67" s="3"/>
      <c r="E67" s="1" t="str">
        <f>IFERROR(__xludf.DUMMYFUNCTION("IFERROR(REGEXEXTRACT(A67, ""res(269|122)""), ""none"")"),"122")</f>
        <v>122</v>
      </c>
      <c r="F67" s="1">
        <v>-15.514751</v>
      </c>
      <c r="G67" s="1">
        <v>9.0</v>
      </c>
      <c r="H67" s="1">
        <v>3.0</v>
      </c>
      <c r="I67" s="1">
        <v>0.444444</v>
      </c>
      <c r="J67" s="1">
        <v>2.0</v>
      </c>
      <c r="K67" s="1">
        <v>-1.020103</v>
      </c>
      <c r="L67" s="1">
        <v>100.0</v>
      </c>
      <c r="M67" s="1">
        <v>0.0</v>
      </c>
      <c r="N67" s="1">
        <v>0.0</v>
      </c>
      <c r="O67" s="1">
        <v>97.90959</v>
      </c>
    </row>
    <row r="68">
      <c r="A68" s="1" t="s">
        <v>964</v>
      </c>
      <c r="B68" s="1" t="s">
        <v>965</v>
      </c>
      <c r="C68" s="3"/>
      <c r="D68" s="3"/>
      <c r="E68" s="1" t="str">
        <f>IFERROR(__xludf.DUMMYFUNCTION("IFERROR(REGEXEXTRACT(A68, ""res(269|122)""), ""none"")"),"122")</f>
        <v>122</v>
      </c>
      <c r="F68" s="1">
        <v>-16.09571</v>
      </c>
      <c r="G68" s="1">
        <v>10.0</v>
      </c>
      <c r="H68" s="1">
        <v>4.0</v>
      </c>
      <c r="I68" s="1">
        <v>0.3</v>
      </c>
      <c r="J68" s="1">
        <v>2.0</v>
      </c>
      <c r="K68" s="1">
        <v>-1.536609</v>
      </c>
      <c r="L68" s="1">
        <v>100.0</v>
      </c>
      <c r="M68" s="1">
        <v>0.0</v>
      </c>
      <c r="N68" s="1">
        <v>0.0</v>
      </c>
      <c r="O68" s="1">
        <v>98.667681</v>
      </c>
    </row>
    <row r="69">
      <c r="A69" s="1" t="s">
        <v>229</v>
      </c>
      <c r="B69" s="1" t="s">
        <v>58</v>
      </c>
      <c r="C69" s="3" t="s">
        <v>33</v>
      </c>
      <c r="D69" s="3"/>
      <c r="E69" s="1" t="str">
        <f>IFERROR(__xludf.DUMMYFUNCTION("IFERROR(REGEXEXTRACT(A69, ""res(269|122)""), ""none"")"),"122")</f>
        <v>122</v>
      </c>
      <c r="F69" s="1">
        <v>-17.724274</v>
      </c>
      <c r="G69" s="1">
        <v>8.0</v>
      </c>
      <c r="H69" s="1">
        <v>3.0</v>
      </c>
      <c r="I69" s="1">
        <v>0.25</v>
      </c>
      <c r="J69" s="1">
        <v>2.0</v>
      </c>
      <c r="K69" s="1">
        <v>-1.29152999999999</v>
      </c>
      <c r="L69" s="1">
        <v>100.0</v>
      </c>
      <c r="M69" s="1">
        <v>0.0</v>
      </c>
      <c r="N69" s="1">
        <v>0.0</v>
      </c>
      <c r="O69" s="1">
        <v>94.234196</v>
      </c>
    </row>
    <row r="70">
      <c r="A70" s="1" t="s">
        <v>966</v>
      </c>
      <c r="B70" s="1" t="s">
        <v>967</v>
      </c>
      <c r="C70" s="3"/>
      <c r="D70" s="3"/>
      <c r="E70" s="1" t="str">
        <f>IFERROR(__xludf.DUMMYFUNCTION("IFERROR(REGEXEXTRACT(A70, ""res(269|122)""), ""none"")"),"122")</f>
        <v>122</v>
      </c>
      <c r="F70" s="1">
        <v>-15.555635</v>
      </c>
      <c r="G70" s="1">
        <v>8.0</v>
      </c>
      <c r="H70" s="1">
        <v>3.0</v>
      </c>
      <c r="I70" s="1">
        <v>0.375</v>
      </c>
      <c r="J70" s="1">
        <v>3.0</v>
      </c>
      <c r="K70" s="1">
        <v>-1.23752999999999</v>
      </c>
      <c r="L70" s="1">
        <v>100.0</v>
      </c>
      <c r="M70" s="1">
        <v>0.0</v>
      </c>
      <c r="N70" s="1">
        <v>0.0</v>
      </c>
      <c r="O70" s="1">
        <v>97.581835</v>
      </c>
    </row>
    <row r="71">
      <c r="A71" s="1" t="s">
        <v>968</v>
      </c>
      <c r="B71" s="1" t="s">
        <v>969</v>
      </c>
      <c r="C71" s="3"/>
      <c r="D71" s="3"/>
      <c r="E71" s="1" t="str">
        <f>IFERROR(__xludf.DUMMYFUNCTION("IFERROR(REGEXEXTRACT(A71, ""res(269|122)""), ""none"")"),"122")</f>
        <v>122</v>
      </c>
      <c r="F71" s="1">
        <v>-15.464987</v>
      </c>
      <c r="G71" s="1">
        <v>7.0</v>
      </c>
      <c r="H71" s="1">
        <v>4.0</v>
      </c>
      <c r="I71" s="1">
        <v>0.285714</v>
      </c>
      <c r="J71" s="1">
        <v>2.0</v>
      </c>
      <c r="K71" s="1">
        <v>-0.843909</v>
      </c>
      <c r="L71" s="1">
        <v>100.0</v>
      </c>
      <c r="M71" s="1">
        <v>0.0</v>
      </c>
      <c r="N71" s="1">
        <v>0.0</v>
      </c>
      <c r="O71" s="1">
        <v>96.976818</v>
      </c>
    </row>
    <row r="72">
      <c r="A72" s="1" t="s">
        <v>970</v>
      </c>
      <c r="B72" s="1" t="s">
        <v>971</v>
      </c>
      <c r="C72" s="3"/>
      <c r="D72" s="3"/>
      <c r="E72" s="1" t="str">
        <f>IFERROR(__xludf.DUMMYFUNCTION("IFERROR(REGEXEXTRACT(A72, ""res(269|122)""), ""none"")"),"122")</f>
        <v>122</v>
      </c>
      <c r="F72" s="1">
        <v>-15.230464</v>
      </c>
      <c r="G72" s="1">
        <v>9.0</v>
      </c>
      <c r="H72" s="1">
        <v>2.0</v>
      </c>
      <c r="I72" s="1">
        <v>0.333333</v>
      </c>
      <c r="J72" s="1">
        <v>2.0</v>
      </c>
      <c r="K72" s="1">
        <v>-0.81196</v>
      </c>
      <c r="L72" s="1">
        <v>100.0</v>
      </c>
      <c r="M72" s="1">
        <v>0.0</v>
      </c>
      <c r="N72" s="1">
        <v>0.0</v>
      </c>
      <c r="O72" s="1">
        <v>97.290909</v>
      </c>
    </row>
    <row r="73">
      <c r="A73" s="1" t="s">
        <v>972</v>
      </c>
      <c r="B73" s="1" t="s">
        <v>973</v>
      </c>
      <c r="C73" s="3"/>
      <c r="D73" s="3"/>
      <c r="E73" s="1" t="str">
        <f>IFERROR(__xludf.DUMMYFUNCTION("IFERROR(REGEXEXTRACT(A73, ""res(269|122)""), ""none"")"),"122")</f>
        <v>122</v>
      </c>
      <c r="F73" s="1">
        <v>-16.931881</v>
      </c>
      <c r="G73" s="1">
        <v>10.0</v>
      </c>
      <c r="H73" s="1">
        <v>4.0</v>
      </c>
      <c r="I73" s="1">
        <v>0.3</v>
      </c>
      <c r="J73" s="1">
        <v>2.0</v>
      </c>
      <c r="K73" s="1">
        <v>-0.442768999999999</v>
      </c>
      <c r="L73" s="1">
        <v>100.0</v>
      </c>
      <c r="M73" s="1">
        <v>0.0</v>
      </c>
      <c r="N73" s="1">
        <v>0.0</v>
      </c>
      <c r="O73" s="1">
        <v>98.92535</v>
      </c>
    </row>
    <row r="74">
      <c r="A74" s="1" t="s">
        <v>974</v>
      </c>
      <c r="B74" s="1" t="s">
        <v>975</v>
      </c>
      <c r="C74" s="3"/>
      <c r="D74" s="3"/>
      <c r="E74" s="1" t="str">
        <f>IFERROR(__xludf.DUMMYFUNCTION("IFERROR(REGEXEXTRACT(A74, ""res(269|122)""), ""none"")"),"122")</f>
        <v>122</v>
      </c>
      <c r="F74" s="1">
        <v>-17.518199</v>
      </c>
      <c r="G74" s="1">
        <v>11.0</v>
      </c>
      <c r="H74" s="1">
        <v>3.0</v>
      </c>
      <c r="I74" s="1">
        <v>0.272727</v>
      </c>
      <c r="J74" s="1">
        <v>2.0</v>
      </c>
      <c r="K74" s="1">
        <v>-1.13703</v>
      </c>
      <c r="L74" s="1">
        <v>100.0</v>
      </c>
      <c r="M74" s="1">
        <v>0.0</v>
      </c>
      <c r="N74" s="1">
        <v>0.0</v>
      </c>
      <c r="O74" s="1">
        <v>97.617498</v>
      </c>
    </row>
    <row r="75">
      <c r="A75" s="1" t="s">
        <v>976</v>
      </c>
      <c r="B75" s="1" t="s">
        <v>977</v>
      </c>
      <c r="C75" s="3"/>
      <c r="D75" s="3"/>
      <c r="E75" s="1" t="str">
        <f>IFERROR(__xludf.DUMMYFUNCTION("IFERROR(REGEXEXTRACT(A75, ""res(269|122)""), ""none"")"),"122")</f>
        <v>122</v>
      </c>
      <c r="F75" s="1">
        <v>-17.440245</v>
      </c>
      <c r="G75" s="1">
        <v>11.0</v>
      </c>
      <c r="H75" s="1">
        <v>4.0</v>
      </c>
      <c r="I75" s="1">
        <v>0.363636</v>
      </c>
      <c r="J75" s="1">
        <v>2.0</v>
      </c>
      <c r="K75" s="1">
        <v>-0.623826</v>
      </c>
      <c r="L75" s="1">
        <v>100.0</v>
      </c>
      <c r="M75" s="1">
        <v>0.0</v>
      </c>
      <c r="N75" s="1">
        <v>0.0</v>
      </c>
      <c r="O75" s="1">
        <v>99.299565</v>
      </c>
    </row>
    <row r="76">
      <c r="A76" s="1" t="s">
        <v>978</v>
      </c>
      <c r="B76" s="1" t="s">
        <v>979</v>
      </c>
      <c r="C76" s="3"/>
      <c r="D76" s="3"/>
      <c r="E76" s="1" t="str">
        <f>IFERROR(__xludf.DUMMYFUNCTION("IFERROR(REGEXEXTRACT(A76, ""res(269|122)""), ""none"")"),"122")</f>
        <v>122</v>
      </c>
      <c r="F76" s="1">
        <v>-15.049047</v>
      </c>
      <c r="G76" s="1">
        <v>10.0</v>
      </c>
      <c r="H76" s="1">
        <v>4.0</v>
      </c>
      <c r="I76" s="1">
        <v>0.4</v>
      </c>
      <c r="J76" s="1">
        <v>2.0</v>
      </c>
      <c r="K76" s="1">
        <v>-0.37732</v>
      </c>
      <c r="L76" s="1">
        <v>100.0</v>
      </c>
      <c r="M76" s="1">
        <v>0.0</v>
      </c>
      <c r="N76" s="1">
        <v>0.0</v>
      </c>
      <c r="O76" s="1">
        <v>100.973633</v>
      </c>
    </row>
    <row r="77">
      <c r="A77" s="1" t="s">
        <v>980</v>
      </c>
      <c r="B77" s="1" t="s">
        <v>981</v>
      </c>
      <c r="C77" s="3"/>
      <c r="D77" s="3"/>
      <c r="E77" s="1" t="str">
        <f>IFERROR(__xludf.DUMMYFUNCTION("IFERROR(REGEXEXTRACT(A77, ""res(269|122)""), ""none"")"),"122")</f>
        <v>122</v>
      </c>
      <c r="F77" s="1">
        <v>-15.403036</v>
      </c>
      <c r="G77" s="1">
        <v>7.0</v>
      </c>
      <c r="H77" s="1">
        <v>3.0</v>
      </c>
      <c r="I77" s="1">
        <v>0.285714</v>
      </c>
      <c r="J77" s="1">
        <v>2.0</v>
      </c>
      <c r="K77" s="1">
        <v>-1.077382</v>
      </c>
      <c r="L77" s="1">
        <v>100.0</v>
      </c>
      <c r="M77" s="1">
        <v>0.0</v>
      </c>
      <c r="N77" s="1">
        <v>0.0</v>
      </c>
      <c r="O77" s="1">
        <v>95.805296</v>
      </c>
    </row>
    <row r="78">
      <c r="A78" s="1" t="s">
        <v>982</v>
      </c>
      <c r="B78" s="1" t="s">
        <v>983</v>
      </c>
      <c r="C78" s="3"/>
      <c r="D78" s="3"/>
      <c r="E78" s="1" t="str">
        <f>IFERROR(__xludf.DUMMYFUNCTION("IFERROR(REGEXEXTRACT(A78, ""res(269|122)""), ""none"")"),"122")</f>
        <v>122</v>
      </c>
      <c r="F78" s="1">
        <v>-15.302094</v>
      </c>
      <c r="G78" s="1">
        <v>7.0</v>
      </c>
      <c r="H78" s="1">
        <v>3.0</v>
      </c>
      <c r="I78" s="1">
        <v>0.285714</v>
      </c>
      <c r="J78" s="1">
        <v>2.0</v>
      </c>
      <c r="K78" s="1">
        <v>-0.935695</v>
      </c>
      <c r="L78" s="1">
        <v>100.0</v>
      </c>
      <c r="M78" s="1">
        <v>0.0</v>
      </c>
      <c r="N78" s="1">
        <v>0.0</v>
      </c>
      <c r="O78" s="1">
        <v>96.047925</v>
      </c>
    </row>
    <row r="79">
      <c r="A79" s="1" t="s">
        <v>984</v>
      </c>
      <c r="B79" s="1" t="s">
        <v>985</v>
      </c>
      <c r="C79" s="3"/>
      <c r="D79" s="3"/>
      <c r="E79" s="1" t="str">
        <f>IFERROR(__xludf.DUMMYFUNCTION("IFERROR(REGEXEXTRACT(A79, ""res(269|122)""), ""none"")"),"122")</f>
        <v>122</v>
      </c>
      <c r="F79" s="1">
        <v>-18.022196</v>
      </c>
      <c r="G79" s="1">
        <v>7.0</v>
      </c>
      <c r="H79" s="1">
        <v>3.0</v>
      </c>
      <c r="I79" s="1">
        <v>0.285714</v>
      </c>
      <c r="J79" s="1">
        <v>2.0</v>
      </c>
      <c r="K79" s="1">
        <v>-0.903438</v>
      </c>
      <c r="L79" s="1">
        <v>100.0</v>
      </c>
      <c r="M79" s="1">
        <v>0.0</v>
      </c>
      <c r="N79" s="1">
        <v>0.0</v>
      </c>
      <c r="O79" s="1">
        <v>93.36008</v>
      </c>
    </row>
    <row r="80">
      <c r="A80" s="1" t="s">
        <v>986</v>
      </c>
      <c r="B80" s="1" t="s">
        <v>987</v>
      </c>
      <c r="C80" s="3"/>
      <c r="D80" s="3"/>
      <c r="E80" s="1" t="str">
        <f>IFERROR(__xludf.DUMMYFUNCTION("IFERROR(REGEXEXTRACT(A80, ""res(269|122)""), ""none"")"),"122")</f>
        <v>122</v>
      </c>
      <c r="F80" s="1">
        <v>-15.014055</v>
      </c>
      <c r="G80" s="1">
        <v>7.0</v>
      </c>
      <c r="H80" s="1">
        <v>3.0</v>
      </c>
      <c r="I80" s="1">
        <v>0.285714</v>
      </c>
      <c r="J80" s="1">
        <v>2.0</v>
      </c>
      <c r="K80" s="1">
        <v>-0.455789</v>
      </c>
      <c r="L80" s="1">
        <v>100.0</v>
      </c>
      <c r="M80" s="1">
        <v>0.0</v>
      </c>
      <c r="N80" s="1">
        <v>0.0</v>
      </c>
      <c r="O80" s="1">
        <v>96.81587</v>
      </c>
    </row>
    <row r="81">
      <c r="A81" s="1" t="s">
        <v>988</v>
      </c>
      <c r="B81" s="1" t="s">
        <v>989</v>
      </c>
      <c r="C81" s="3"/>
      <c r="D81" s="3"/>
      <c r="E81" s="1" t="str">
        <f>IFERROR(__xludf.DUMMYFUNCTION("IFERROR(REGEXEXTRACT(A81, ""res(269|122)""), ""none"")"),"122")</f>
        <v>122</v>
      </c>
      <c r="F81" s="1">
        <v>-15.699962</v>
      </c>
      <c r="G81" s="1">
        <v>11.0</v>
      </c>
      <c r="H81" s="1">
        <v>4.0</v>
      </c>
      <c r="I81" s="1">
        <v>0.363636</v>
      </c>
      <c r="J81" s="1">
        <v>2.0</v>
      </c>
      <c r="K81" s="1">
        <v>-0.60822</v>
      </c>
      <c r="L81" s="1">
        <v>100.0</v>
      </c>
      <c r="M81" s="1">
        <v>0.0</v>
      </c>
      <c r="N81" s="1">
        <v>0.0</v>
      </c>
      <c r="O81" s="1">
        <v>101.055454</v>
      </c>
    </row>
    <row r="82">
      <c r="A82" s="1" t="s">
        <v>990</v>
      </c>
      <c r="B82" s="1" t="s">
        <v>991</v>
      </c>
      <c r="C82" s="3"/>
      <c r="D82" s="3"/>
      <c r="E82" s="1" t="str">
        <f>IFERROR(__xludf.DUMMYFUNCTION("IFERROR(REGEXEXTRACT(A82, ""res(269|122)""), ""none"")"),"122")</f>
        <v>122</v>
      </c>
      <c r="F82" s="1">
        <v>-15.314253</v>
      </c>
      <c r="G82" s="1">
        <v>12.0</v>
      </c>
      <c r="H82" s="1">
        <v>4.0</v>
      </c>
      <c r="I82" s="1">
        <v>0.25</v>
      </c>
      <c r="J82" s="1">
        <v>2.0</v>
      </c>
      <c r="K82" s="1">
        <v>-0.675518</v>
      </c>
      <c r="L82" s="1">
        <v>100.0</v>
      </c>
      <c r="M82" s="1">
        <v>0.0</v>
      </c>
      <c r="N82" s="1">
        <v>0.0</v>
      </c>
      <c r="O82" s="1">
        <v>102.260229</v>
      </c>
    </row>
    <row r="83">
      <c r="A83" s="1" t="s">
        <v>992</v>
      </c>
      <c r="B83" s="1" t="s">
        <v>993</v>
      </c>
      <c r="C83" s="3"/>
      <c r="D83" s="3"/>
      <c r="E83" s="1" t="str">
        <f>IFERROR(__xludf.DUMMYFUNCTION("IFERROR(REGEXEXTRACT(A83, ""res(269|122)""), ""none"")"),"122")</f>
        <v>122</v>
      </c>
      <c r="F83" s="1">
        <v>-15.500702</v>
      </c>
      <c r="G83" s="1">
        <v>11.0</v>
      </c>
      <c r="H83" s="1">
        <v>4.0</v>
      </c>
      <c r="I83" s="1">
        <v>0.272727</v>
      </c>
      <c r="J83" s="1">
        <v>2.0</v>
      </c>
      <c r="K83" s="1">
        <v>-0.128303</v>
      </c>
      <c r="L83" s="1">
        <v>100.0</v>
      </c>
      <c r="M83" s="1">
        <v>0.0</v>
      </c>
      <c r="N83" s="1">
        <v>0.0</v>
      </c>
      <c r="O83" s="1">
        <v>101.643722</v>
      </c>
    </row>
    <row r="84">
      <c r="A84" s="1" t="s">
        <v>230</v>
      </c>
      <c r="B84" s="1" t="s">
        <v>231</v>
      </c>
      <c r="C84" s="3" t="s">
        <v>24</v>
      </c>
      <c r="D84" s="3"/>
      <c r="E84" s="1" t="str">
        <f>IFERROR(__xludf.DUMMYFUNCTION("IFERROR(REGEXEXTRACT(A84, ""res(269|122)""), ""none"")"),"122")</f>
        <v>122</v>
      </c>
      <c r="F84" s="1">
        <v>-16.569372</v>
      </c>
      <c r="G84" s="1">
        <v>8.0</v>
      </c>
      <c r="H84" s="1">
        <v>3.0</v>
      </c>
      <c r="I84" s="1">
        <v>0.5</v>
      </c>
      <c r="J84" s="1">
        <v>2.0</v>
      </c>
      <c r="K84" s="1">
        <v>-0.987431</v>
      </c>
      <c r="L84" s="1">
        <v>100.0</v>
      </c>
      <c r="M84" s="1">
        <v>0.0</v>
      </c>
      <c r="N84" s="1">
        <v>0.0</v>
      </c>
      <c r="O84" s="1">
        <v>95.943197</v>
      </c>
    </row>
    <row r="85">
      <c r="A85" s="1" t="s">
        <v>232</v>
      </c>
      <c r="B85" s="1" t="s">
        <v>62</v>
      </c>
      <c r="C85" s="3" t="s">
        <v>33</v>
      </c>
      <c r="D85" s="3"/>
      <c r="E85" s="1" t="str">
        <f>IFERROR(__xludf.DUMMYFUNCTION("IFERROR(REGEXEXTRACT(A85, ""res(269|122)""), ""none"")"),"122")</f>
        <v>122</v>
      </c>
      <c r="F85" s="1">
        <v>-16.448389</v>
      </c>
      <c r="G85" s="1">
        <v>9.0</v>
      </c>
      <c r="H85" s="1">
        <v>3.0</v>
      </c>
      <c r="I85" s="1">
        <v>0.333333</v>
      </c>
      <c r="J85" s="1">
        <v>2.0</v>
      </c>
      <c r="K85" s="1">
        <v>-1.562614</v>
      </c>
      <c r="L85" s="1">
        <v>100.0</v>
      </c>
      <c r="M85" s="1">
        <v>0.0</v>
      </c>
      <c r="N85" s="1">
        <v>0.0</v>
      </c>
      <c r="O85" s="1">
        <v>96.32233</v>
      </c>
    </row>
    <row r="86">
      <c r="A86" s="1" t="s">
        <v>233</v>
      </c>
      <c r="B86" s="1" t="s">
        <v>103</v>
      </c>
      <c r="C86" s="3" t="s">
        <v>33</v>
      </c>
      <c r="D86" s="3"/>
      <c r="E86" s="1" t="str">
        <f>IFERROR(__xludf.DUMMYFUNCTION("IFERROR(REGEXEXTRACT(A86, ""res(269|122)""), ""none"")"),"122")</f>
        <v>122</v>
      </c>
      <c r="F86" s="1">
        <v>-16.810235</v>
      </c>
      <c r="G86" s="1">
        <v>9.0</v>
      </c>
      <c r="H86" s="1">
        <v>3.0</v>
      </c>
      <c r="I86" s="1">
        <v>0.444444</v>
      </c>
      <c r="J86" s="1">
        <v>2.0</v>
      </c>
      <c r="K86" s="1">
        <v>-0.880047</v>
      </c>
      <c r="L86" s="1">
        <v>100.0</v>
      </c>
      <c r="M86" s="1">
        <v>0.0</v>
      </c>
      <c r="N86" s="1">
        <v>0.0</v>
      </c>
      <c r="O86" s="1">
        <v>96.754162</v>
      </c>
    </row>
    <row r="87">
      <c r="A87" s="1" t="s">
        <v>994</v>
      </c>
      <c r="B87" s="1" t="s">
        <v>995</v>
      </c>
      <c r="C87" s="3"/>
      <c r="D87" s="3"/>
      <c r="E87" s="1" t="str">
        <f>IFERROR(__xludf.DUMMYFUNCTION("IFERROR(REGEXEXTRACT(A87, ""res(269|122)""), ""none"")"),"122")</f>
        <v>122</v>
      </c>
      <c r="F87" s="1">
        <v>-15.20253</v>
      </c>
      <c r="G87" s="1">
        <v>8.0</v>
      </c>
      <c r="H87" s="1">
        <v>4.0</v>
      </c>
      <c r="I87" s="1">
        <v>0.25</v>
      </c>
      <c r="J87" s="1">
        <v>2.0</v>
      </c>
      <c r="K87" s="1">
        <v>-0.673079</v>
      </c>
      <c r="L87" s="1">
        <v>100.0</v>
      </c>
      <c r="M87" s="1">
        <v>0.0</v>
      </c>
      <c r="N87" s="1">
        <v>0.0</v>
      </c>
      <c r="O87" s="1">
        <v>98.374391</v>
      </c>
    </row>
    <row r="88">
      <c r="A88" s="1" t="s">
        <v>996</v>
      </c>
      <c r="B88" s="1" t="s">
        <v>997</v>
      </c>
      <c r="C88" s="3"/>
      <c r="D88" s="3"/>
      <c r="E88" s="1" t="str">
        <f>IFERROR(__xludf.DUMMYFUNCTION("IFERROR(REGEXEXTRACT(A88, ""res(269|122)""), ""none"")"),"122")</f>
        <v>122</v>
      </c>
      <c r="F88" s="1">
        <v>-16.387992</v>
      </c>
      <c r="G88" s="1">
        <v>8.0</v>
      </c>
      <c r="H88" s="1">
        <v>2.0</v>
      </c>
      <c r="I88" s="1">
        <v>0.25</v>
      </c>
      <c r="J88" s="1">
        <v>2.0</v>
      </c>
      <c r="K88" s="1">
        <v>-1.049027</v>
      </c>
      <c r="L88" s="1">
        <v>100.0</v>
      </c>
      <c r="M88" s="1">
        <v>0.0</v>
      </c>
      <c r="N88" s="1">
        <v>0.0</v>
      </c>
      <c r="O88" s="1">
        <v>94.812981</v>
      </c>
    </row>
    <row r="89">
      <c r="A89" s="1" t="s">
        <v>998</v>
      </c>
      <c r="B89" s="1" t="s">
        <v>999</v>
      </c>
      <c r="C89" s="3"/>
      <c r="D89" s="3"/>
      <c r="E89" s="1" t="str">
        <f>IFERROR(__xludf.DUMMYFUNCTION("IFERROR(REGEXEXTRACT(A89, ""res(269|122)""), ""none"")"),"122")</f>
        <v>122</v>
      </c>
      <c r="F89" s="1">
        <v>-15.790538</v>
      </c>
      <c r="G89" s="1">
        <v>8.0</v>
      </c>
      <c r="H89" s="1">
        <v>4.0</v>
      </c>
      <c r="I89" s="1">
        <v>0.25</v>
      </c>
      <c r="J89" s="1">
        <v>2.0</v>
      </c>
      <c r="K89" s="1">
        <v>-0.799056</v>
      </c>
      <c r="L89" s="1">
        <v>100.0</v>
      </c>
      <c r="M89" s="1">
        <v>0.0</v>
      </c>
      <c r="N89" s="1">
        <v>0.0</v>
      </c>
      <c r="O89" s="1">
        <v>97.660406</v>
      </c>
    </row>
    <row r="90">
      <c r="A90" s="1" t="s">
        <v>234</v>
      </c>
      <c r="B90" s="1" t="s">
        <v>235</v>
      </c>
      <c r="C90" s="3" t="s">
        <v>95</v>
      </c>
      <c r="D90" s="3"/>
      <c r="E90" s="1" t="str">
        <f>IFERROR(__xludf.DUMMYFUNCTION("IFERROR(REGEXEXTRACT(A90, ""res(269|122)""), ""none"")"),"122")</f>
        <v>122</v>
      </c>
      <c r="F90" s="1">
        <v>-15.466932</v>
      </c>
      <c r="G90" s="1">
        <v>7.0</v>
      </c>
      <c r="H90" s="1">
        <v>3.0</v>
      </c>
      <c r="I90" s="1">
        <v>0.285714</v>
      </c>
      <c r="J90" s="1">
        <v>2.0</v>
      </c>
      <c r="K90" s="1">
        <v>-1.068929</v>
      </c>
      <c r="L90" s="1">
        <v>100.0</v>
      </c>
      <c r="M90" s="1">
        <v>0.0</v>
      </c>
      <c r="N90" s="1">
        <v>0.0</v>
      </c>
      <c r="O90" s="1">
        <v>95.749853</v>
      </c>
    </row>
    <row r="91">
      <c r="A91" s="1" t="s">
        <v>1000</v>
      </c>
      <c r="B91" s="1" t="s">
        <v>1001</v>
      </c>
      <c r="C91" s="3"/>
      <c r="D91" s="3"/>
      <c r="E91" s="1" t="str">
        <f>IFERROR(__xludf.DUMMYFUNCTION("IFERROR(REGEXEXTRACT(A91, ""res(269|122)""), ""none"")"),"122")</f>
        <v>122</v>
      </c>
      <c r="F91" s="1">
        <v>-15.10018</v>
      </c>
      <c r="G91" s="1">
        <v>10.0</v>
      </c>
      <c r="H91" s="1">
        <v>4.0</v>
      </c>
      <c r="I91" s="1">
        <v>0.4</v>
      </c>
      <c r="J91" s="1">
        <v>2.0</v>
      </c>
      <c r="K91" s="1">
        <v>-1.324945</v>
      </c>
      <c r="L91" s="1">
        <v>100.0</v>
      </c>
      <c r="M91" s="1">
        <v>0.0</v>
      </c>
      <c r="N91" s="1">
        <v>0.0</v>
      </c>
      <c r="O91" s="1">
        <v>99.974875</v>
      </c>
    </row>
    <row r="92">
      <c r="A92" s="1" t="s">
        <v>1002</v>
      </c>
      <c r="B92" s="1" t="s">
        <v>1003</v>
      </c>
      <c r="C92" s="3"/>
      <c r="D92" s="3"/>
      <c r="E92" s="1" t="str">
        <f>IFERROR(__xludf.DUMMYFUNCTION("IFERROR(REGEXEXTRACT(A92, ""res(269|122)""), ""none"")"),"122")</f>
        <v>122</v>
      </c>
      <c r="F92" s="1">
        <v>-15.298524</v>
      </c>
      <c r="G92" s="1">
        <v>6.0</v>
      </c>
      <c r="H92" s="1">
        <v>3.0</v>
      </c>
      <c r="I92" s="1">
        <v>0.666667</v>
      </c>
      <c r="J92" s="1">
        <v>2.0</v>
      </c>
      <c r="K92" s="1">
        <v>-0.912719</v>
      </c>
      <c r="L92" s="1">
        <v>100.0</v>
      </c>
      <c r="M92" s="1">
        <v>0.0</v>
      </c>
      <c r="N92" s="1">
        <v>0.0</v>
      </c>
      <c r="O92" s="1">
        <v>95.455424</v>
      </c>
    </row>
    <row r="93">
      <c r="A93" s="1" t="s">
        <v>236</v>
      </c>
      <c r="B93" s="1" t="s">
        <v>107</v>
      </c>
      <c r="C93" s="3" t="s">
        <v>33</v>
      </c>
      <c r="D93" s="3"/>
      <c r="E93" s="1" t="str">
        <f>IFERROR(__xludf.DUMMYFUNCTION("IFERROR(REGEXEXTRACT(A93, ""res(269|122)""), ""none"")"),"122")</f>
        <v>122</v>
      </c>
      <c r="F93" s="1">
        <v>-15.035637</v>
      </c>
      <c r="G93" s="1">
        <v>8.0</v>
      </c>
      <c r="H93" s="1">
        <v>4.0</v>
      </c>
      <c r="I93" s="1">
        <v>0.25</v>
      </c>
      <c r="J93" s="1">
        <v>2.0</v>
      </c>
      <c r="K93" s="1">
        <v>-0.915905</v>
      </c>
      <c r="L93" s="1">
        <v>100.0</v>
      </c>
      <c r="M93" s="1">
        <v>0.0</v>
      </c>
      <c r="N93" s="1">
        <v>0.0</v>
      </c>
      <c r="O93" s="1">
        <v>98.298458</v>
      </c>
    </row>
    <row r="94">
      <c r="A94" s="1" t="s">
        <v>1004</v>
      </c>
      <c r="B94" s="1" t="s">
        <v>1005</v>
      </c>
      <c r="C94" s="3"/>
      <c r="D94" s="3"/>
      <c r="E94" s="1" t="str">
        <f>IFERROR(__xludf.DUMMYFUNCTION("IFERROR(REGEXEXTRACT(A94, ""res(269|122)""), ""none"")"),"122")</f>
        <v>122</v>
      </c>
      <c r="F94" s="1">
        <v>-15.449821</v>
      </c>
      <c r="G94" s="1">
        <v>8.0</v>
      </c>
      <c r="H94" s="1">
        <v>4.0</v>
      </c>
      <c r="I94" s="1">
        <v>0.25</v>
      </c>
      <c r="J94" s="1">
        <v>2.0</v>
      </c>
      <c r="K94" s="1">
        <v>-0.597896</v>
      </c>
      <c r="L94" s="1">
        <v>100.0</v>
      </c>
      <c r="M94" s="1">
        <v>0.0</v>
      </c>
      <c r="N94" s="1">
        <v>0.0</v>
      </c>
      <c r="O94" s="1">
        <v>98.202283</v>
      </c>
    </row>
    <row r="95">
      <c r="A95" s="1" t="s">
        <v>1006</v>
      </c>
      <c r="B95" s="1" t="s">
        <v>1007</v>
      </c>
      <c r="C95" s="3"/>
      <c r="D95" s="3"/>
      <c r="E95" s="1" t="str">
        <f>IFERROR(__xludf.DUMMYFUNCTION("IFERROR(REGEXEXTRACT(A95, ""res(269|122)""), ""none"")"),"122")</f>
        <v>122</v>
      </c>
      <c r="F95" s="1">
        <v>-15.287369</v>
      </c>
      <c r="G95" s="1">
        <v>8.0</v>
      </c>
      <c r="H95" s="1">
        <v>5.0</v>
      </c>
      <c r="I95" s="1">
        <v>0.375</v>
      </c>
      <c r="J95" s="1">
        <v>2.0</v>
      </c>
      <c r="K95" s="1">
        <v>-1.284821</v>
      </c>
      <c r="L95" s="1">
        <v>100.0</v>
      </c>
      <c r="M95" s="1">
        <v>0.0</v>
      </c>
      <c r="N95" s="1">
        <v>0.0</v>
      </c>
      <c r="O95" s="1">
        <v>98.80281</v>
      </c>
    </row>
    <row r="96">
      <c r="A96" s="1" t="s">
        <v>1008</v>
      </c>
      <c r="B96" s="1" t="s">
        <v>1009</v>
      </c>
      <c r="C96" s="3"/>
      <c r="D96" s="3"/>
      <c r="E96" s="1" t="str">
        <f>IFERROR(__xludf.DUMMYFUNCTION("IFERROR(REGEXEXTRACT(A96, ""res(269|122)""), ""none"")"),"122")</f>
        <v>122</v>
      </c>
      <c r="F96" s="1">
        <v>-15.020705</v>
      </c>
      <c r="G96" s="1">
        <v>8.0</v>
      </c>
      <c r="H96" s="1">
        <v>4.0</v>
      </c>
      <c r="I96" s="1">
        <v>0.375</v>
      </c>
      <c r="J96" s="1">
        <v>2.0</v>
      </c>
      <c r="K96" s="1">
        <v>-0.497393</v>
      </c>
      <c r="L96" s="1">
        <v>100.0</v>
      </c>
      <c r="M96" s="1">
        <v>0.0</v>
      </c>
      <c r="N96" s="1">
        <v>0.0</v>
      </c>
      <c r="O96" s="1">
        <v>98.856902</v>
      </c>
    </row>
    <row r="97">
      <c r="A97" s="1" t="s">
        <v>237</v>
      </c>
      <c r="B97" s="1" t="s">
        <v>238</v>
      </c>
      <c r="C97" s="3" t="s">
        <v>95</v>
      </c>
      <c r="D97" s="3"/>
      <c r="E97" s="1" t="str">
        <f>IFERROR(__xludf.DUMMYFUNCTION("IFERROR(REGEXEXTRACT(A97, ""res(269|122)""), ""none"")"),"122")</f>
        <v>122</v>
      </c>
      <c r="F97" s="1">
        <v>-16.448683</v>
      </c>
      <c r="G97" s="1">
        <v>7.0</v>
      </c>
      <c r="H97" s="1">
        <v>4.0</v>
      </c>
      <c r="I97" s="1">
        <v>0.428571</v>
      </c>
      <c r="J97" s="1">
        <v>2.0</v>
      </c>
      <c r="K97" s="1">
        <v>-1.118176</v>
      </c>
      <c r="L97" s="1">
        <v>100.0</v>
      </c>
      <c r="M97" s="1">
        <v>0.0</v>
      </c>
      <c r="N97" s="1">
        <v>0.0</v>
      </c>
      <c r="O97" s="1">
        <v>95.861712</v>
      </c>
    </row>
    <row r="98">
      <c r="A98" s="1" t="s">
        <v>239</v>
      </c>
      <c r="B98" s="1" t="s">
        <v>240</v>
      </c>
      <c r="C98" s="3" t="s">
        <v>95</v>
      </c>
      <c r="D98" s="3"/>
      <c r="E98" s="1" t="str">
        <f>IFERROR(__xludf.DUMMYFUNCTION("IFERROR(REGEXEXTRACT(A98, ""res(269|122)""), ""none"")"),"122")</f>
        <v>122</v>
      </c>
      <c r="F98" s="1">
        <v>-15.291041</v>
      </c>
      <c r="G98" s="1">
        <v>8.0</v>
      </c>
      <c r="H98" s="1">
        <v>3.0</v>
      </c>
      <c r="I98" s="1">
        <v>0.375</v>
      </c>
      <c r="J98" s="1">
        <v>2.0</v>
      </c>
      <c r="K98" s="1">
        <v>-0.739298999999999</v>
      </c>
      <c r="L98" s="1">
        <v>100.0</v>
      </c>
      <c r="M98" s="1">
        <v>0.0</v>
      </c>
      <c r="N98" s="1">
        <v>0.0</v>
      </c>
      <c r="O98" s="1">
        <v>97.34466</v>
      </c>
    </row>
    <row r="99">
      <c r="A99" s="1" t="s">
        <v>1010</v>
      </c>
      <c r="B99" s="1" t="s">
        <v>1011</v>
      </c>
      <c r="C99" s="3"/>
      <c r="D99" s="3"/>
      <c r="E99" s="1" t="str">
        <f>IFERROR(__xludf.DUMMYFUNCTION("IFERROR(REGEXEXTRACT(A99, ""res(269|122)""), ""none"")"),"122")</f>
        <v>122</v>
      </c>
      <c r="F99" s="1">
        <v>-17.523214</v>
      </c>
      <c r="G99" s="1">
        <v>11.0</v>
      </c>
      <c r="H99" s="1">
        <v>4.0</v>
      </c>
      <c r="I99" s="1">
        <v>0.363636</v>
      </c>
      <c r="J99" s="1">
        <v>2.0</v>
      </c>
      <c r="K99" s="1">
        <v>-1.221166</v>
      </c>
      <c r="L99" s="1">
        <v>100.0</v>
      </c>
      <c r="M99" s="1">
        <v>0.0</v>
      </c>
      <c r="N99" s="1">
        <v>0.0</v>
      </c>
      <c r="O99" s="1">
        <v>98.619256</v>
      </c>
    </row>
    <row r="100">
      <c r="A100" s="1" t="s">
        <v>1012</v>
      </c>
      <c r="B100" s="1" t="s">
        <v>1013</v>
      </c>
      <c r="C100" s="3"/>
      <c r="D100" s="3"/>
      <c r="E100" s="1" t="str">
        <f>IFERROR(__xludf.DUMMYFUNCTION("IFERROR(REGEXEXTRACT(A100, ""res(269|122)""), ""none"")"),"122")</f>
        <v>122</v>
      </c>
      <c r="F100" s="1">
        <v>-15.685805</v>
      </c>
      <c r="G100" s="1">
        <v>10.0</v>
      </c>
      <c r="H100" s="1">
        <v>3.0</v>
      </c>
      <c r="I100" s="1">
        <v>0.3</v>
      </c>
      <c r="J100" s="1">
        <v>2.0</v>
      </c>
      <c r="K100" s="1">
        <v>-0.997716</v>
      </c>
      <c r="L100" s="1">
        <v>100.0</v>
      </c>
      <c r="M100" s="1">
        <v>0.0</v>
      </c>
      <c r="N100" s="1">
        <v>0.0</v>
      </c>
      <c r="O100" s="1">
        <v>98.616479</v>
      </c>
    </row>
    <row r="101">
      <c r="A101" s="1" t="s">
        <v>1014</v>
      </c>
      <c r="B101" s="1" t="s">
        <v>1015</v>
      </c>
      <c r="C101" s="3"/>
      <c r="D101" s="3"/>
      <c r="E101" s="1" t="str">
        <f>IFERROR(__xludf.DUMMYFUNCTION("IFERROR(REGEXEXTRACT(A101, ""res(269|122)""), ""none"")"),"122")</f>
        <v>122</v>
      </c>
      <c r="F101" s="1">
        <v>-17.896335</v>
      </c>
      <c r="G101" s="1">
        <v>10.0</v>
      </c>
      <c r="H101" s="1">
        <v>4.0</v>
      </c>
      <c r="I101" s="1">
        <v>0.3</v>
      </c>
      <c r="J101" s="1">
        <v>2.0</v>
      </c>
      <c r="K101" s="1">
        <v>-0.787613</v>
      </c>
      <c r="L101" s="1">
        <v>100.0</v>
      </c>
      <c r="M101" s="1">
        <v>0.0</v>
      </c>
      <c r="N101" s="1">
        <v>0.0</v>
      </c>
      <c r="O101" s="1">
        <v>97.616052</v>
      </c>
    </row>
    <row r="102">
      <c r="A102" s="1" t="s">
        <v>1016</v>
      </c>
      <c r="B102" s="1" t="s">
        <v>1017</v>
      </c>
      <c r="C102" s="3"/>
      <c r="D102" s="3"/>
      <c r="E102" s="1" t="str">
        <f>IFERROR(__xludf.DUMMYFUNCTION("IFERROR(REGEXEXTRACT(A102, ""res(269|122)""), ""none"")"),"122")</f>
        <v>122</v>
      </c>
      <c r="F102" s="1">
        <v>-16.549445</v>
      </c>
      <c r="G102" s="1">
        <v>8.0</v>
      </c>
      <c r="H102" s="1">
        <v>3.0</v>
      </c>
      <c r="I102" s="1">
        <v>0.25</v>
      </c>
      <c r="J102" s="1">
        <v>3.0</v>
      </c>
      <c r="K102" s="1">
        <v>-0.9363</v>
      </c>
      <c r="L102" s="1">
        <v>100.0</v>
      </c>
      <c r="M102" s="1">
        <v>0.0</v>
      </c>
      <c r="N102" s="1">
        <v>0.0</v>
      </c>
      <c r="O102" s="1">
        <v>96.764255</v>
      </c>
    </row>
    <row r="103">
      <c r="A103" s="1" t="s">
        <v>1018</v>
      </c>
      <c r="B103" s="1" t="s">
        <v>1019</v>
      </c>
      <c r="C103" s="3"/>
      <c r="D103" s="3"/>
      <c r="E103" s="1" t="str">
        <f>IFERROR(__xludf.DUMMYFUNCTION("IFERROR(REGEXEXTRACT(A103, ""res(269|122)""), ""none"")"),"122")</f>
        <v>122</v>
      </c>
      <c r="F103" s="1">
        <v>-15.226468</v>
      </c>
      <c r="G103" s="1">
        <v>10.0</v>
      </c>
      <c r="H103" s="1">
        <v>4.0</v>
      </c>
      <c r="I103" s="1">
        <v>0.3</v>
      </c>
      <c r="J103" s="1">
        <v>2.0</v>
      </c>
      <c r="K103" s="1">
        <v>-1.532869</v>
      </c>
      <c r="L103" s="1">
        <v>100.0</v>
      </c>
      <c r="M103" s="1">
        <v>0.0</v>
      </c>
      <c r="N103" s="1">
        <v>0.0</v>
      </c>
      <c r="O103" s="1">
        <v>99.540663</v>
      </c>
    </row>
    <row r="104">
      <c r="A104" s="1" t="s">
        <v>1020</v>
      </c>
      <c r="B104" s="1" t="s">
        <v>1021</v>
      </c>
      <c r="C104" s="3"/>
      <c r="D104" s="3"/>
      <c r="E104" s="1" t="str">
        <f>IFERROR(__xludf.DUMMYFUNCTION("IFERROR(REGEXEXTRACT(A104, ""res(269|122)""), ""none"")"),"122")</f>
        <v>122</v>
      </c>
      <c r="F104" s="1">
        <v>-16.65836</v>
      </c>
      <c r="G104" s="1">
        <v>9.0</v>
      </c>
      <c r="H104" s="1">
        <v>4.0</v>
      </c>
      <c r="I104" s="1">
        <v>0.444444</v>
      </c>
      <c r="J104" s="1">
        <v>2.0</v>
      </c>
      <c r="K104" s="1">
        <v>-1.273656</v>
      </c>
      <c r="L104" s="1">
        <v>100.0</v>
      </c>
      <c r="M104" s="1">
        <v>0.0</v>
      </c>
      <c r="N104" s="1">
        <v>0.0</v>
      </c>
      <c r="O104" s="1">
        <v>97.512428</v>
      </c>
    </row>
    <row r="105">
      <c r="A105" s="1" t="s">
        <v>1022</v>
      </c>
      <c r="B105" s="1" t="s">
        <v>1023</v>
      </c>
      <c r="C105" s="3"/>
      <c r="D105" s="3"/>
      <c r="E105" s="1" t="str">
        <f>IFERROR(__xludf.DUMMYFUNCTION("IFERROR(REGEXEXTRACT(A105, ""res(269|122)""), ""none"")"),"122")</f>
        <v>122</v>
      </c>
      <c r="F105" s="1">
        <v>-15.06419</v>
      </c>
      <c r="G105" s="1">
        <v>7.0</v>
      </c>
      <c r="H105" s="1">
        <v>3.0</v>
      </c>
      <c r="I105" s="1">
        <v>0.428571</v>
      </c>
      <c r="J105" s="1">
        <v>2.0</v>
      </c>
      <c r="K105" s="1">
        <v>-1.570972</v>
      </c>
      <c r="L105" s="1">
        <v>100.0</v>
      </c>
      <c r="M105" s="1">
        <v>0.0</v>
      </c>
      <c r="N105" s="1">
        <v>0.0</v>
      </c>
      <c r="O105" s="1">
        <v>95.793409</v>
      </c>
    </row>
    <row r="106">
      <c r="A106" s="1" t="s">
        <v>241</v>
      </c>
      <c r="B106" s="1" t="s">
        <v>242</v>
      </c>
      <c r="C106" s="3" t="s">
        <v>95</v>
      </c>
      <c r="D106" s="3"/>
      <c r="E106" s="1" t="str">
        <f>IFERROR(__xludf.DUMMYFUNCTION("IFERROR(REGEXEXTRACT(A106, ""res(269|122)""), ""none"")"),"122")</f>
        <v>122</v>
      </c>
      <c r="F106" s="1">
        <v>-15.786774</v>
      </c>
      <c r="G106" s="1">
        <v>8.0</v>
      </c>
      <c r="H106" s="1">
        <v>4.0</v>
      </c>
      <c r="I106" s="1">
        <v>0.25</v>
      </c>
      <c r="J106" s="1">
        <v>3.0</v>
      </c>
      <c r="K106" s="1">
        <v>-1.312683</v>
      </c>
      <c r="L106" s="1">
        <v>100.0</v>
      </c>
      <c r="M106" s="1">
        <v>0.0</v>
      </c>
      <c r="N106" s="1">
        <v>0.0</v>
      </c>
      <c r="O106" s="1">
        <v>98.150543</v>
      </c>
    </row>
    <row r="107">
      <c r="A107" s="1" t="s">
        <v>1024</v>
      </c>
      <c r="B107" s="1" t="s">
        <v>1025</v>
      </c>
      <c r="C107" s="3"/>
      <c r="D107" s="3"/>
      <c r="E107" s="1" t="str">
        <f>IFERROR(__xludf.DUMMYFUNCTION("IFERROR(REGEXEXTRACT(A107, ""res(269|122)""), ""none"")"),"122")</f>
        <v>122</v>
      </c>
      <c r="F107" s="1">
        <v>-15.384902</v>
      </c>
      <c r="G107" s="1">
        <v>10.0</v>
      </c>
      <c r="H107" s="1">
        <v>3.0</v>
      </c>
      <c r="I107" s="1">
        <v>0.4</v>
      </c>
      <c r="J107" s="1">
        <v>2.0</v>
      </c>
      <c r="K107" s="1">
        <v>-0.667675999999999</v>
      </c>
      <c r="L107" s="1">
        <v>100.0</v>
      </c>
      <c r="M107" s="1">
        <v>0.0</v>
      </c>
      <c r="N107" s="1">
        <v>0.0</v>
      </c>
      <c r="O107" s="1">
        <v>99.347422</v>
      </c>
    </row>
    <row r="108">
      <c r="A108" s="1" t="s">
        <v>243</v>
      </c>
      <c r="B108" s="1" t="s">
        <v>244</v>
      </c>
      <c r="C108" s="3" t="s">
        <v>95</v>
      </c>
      <c r="D108" s="3"/>
      <c r="E108" s="1" t="str">
        <f>IFERROR(__xludf.DUMMYFUNCTION("IFERROR(REGEXEXTRACT(A108, ""res(269|122)""), ""none"")"),"122")</f>
        <v>122</v>
      </c>
      <c r="F108" s="1">
        <v>-15.074335</v>
      </c>
      <c r="G108" s="1">
        <v>8.0</v>
      </c>
      <c r="H108" s="1">
        <v>3.0</v>
      </c>
      <c r="I108" s="1">
        <v>0.25</v>
      </c>
      <c r="J108" s="1">
        <v>3.0</v>
      </c>
      <c r="K108" s="1">
        <v>-2.102802</v>
      </c>
      <c r="L108" s="1">
        <v>100.0</v>
      </c>
      <c r="M108" s="1">
        <v>0.0</v>
      </c>
      <c r="N108" s="1">
        <v>0.0</v>
      </c>
      <c r="O108" s="1">
        <v>97.072863</v>
      </c>
    </row>
    <row r="109">
      <c r="A109" s="1" t="s">
        <v>1026</v>
      </c>
      <c r="B109" s="1" t="s">
        <v>1027</v>
      </c>
      <c r="C109" s="3"/>
      <c r="D109" s="3"/>
      <c r="E109" s="1" t="str">
        <f>IFERROR(__xludf.DUMMYFUNCTION("IFERROR(REGEXEXTRACT(A109, ""res(269|122)""), ""none"")"),"122")</f>
        <v>122</v>
      </c>
      <c r="F109" s="1">
        <v>-15.996958</v>
      </c>
      <c r="G109" s="1">
        <v>8.0</v>
      </c>
      <c r="H109" s="1">
        <v>4.0</v>
      </c>
      <c r="I109" s="1">
        <v>0.375</v>
      </c>
      <c r="J109" s="1">
        <v>2.0</v>
      </c>
      <c r="K109" s="1">
        <v>-0.877178</v>
      </c>
      <c r="L109" s="1">
        <v>100.0</v>
      </c>
      <c r="M109" s="1">
        <v>0.0</v>
      </c>
      <c r="N109" s="1">
        <v>0.0</v>
      </c>
      <c r="O109" s="1">
        <v>97.500864</v>
      </c>
    </row>
    <row r="110">
      <c r="A110" s="1" t="s">
        <v>1028</v>
      </c>
      <c r="B110" s="1" t="s">
        <v>1029</v>
      </c>
      <c r="C110" s="3"/>
      <c r="D110" s="3"/>
      <c r="E110" s="1" t="str">
        <f>IFERROR(__xludf.DUMMYFUNCTION("IFERROR(REGEXEXTRACT(A110, ""res(269|122)""), ""none"")"),"122")</f>
        <v>122</v>
      </c>
      <c r="F110" s="1">
        <v>-18.757266</v>
      </c>
      <c r="G110" s="1">
        <v>8.0</v>
      </c>
      <c r="H110" s="1">
        <v>4.0</v>
      </c>
      <c r="I110" s="1">
        <v>0.25</v>
      </c>
      <c r="J110" s="1">
        <v>2.0</v>
      </c>
      <c r="K110" s="1">
        <v>-1.539235</v>
      </c>
      <c r="L110" s="1">
        <v>100.0</v>
      </c>
      <c r="M110" s="1">
        <v>0.0</v>
      </c>
      <c r="N110" s="1">
        <v>0.0</v>
      </c>
      <c r="O110" s="1">
        <v>93.953499</v>
      </c>
    </row>
    <row r="111">
      <c r="A111" s="1" t="s">
        <v>245</v>
      </c>
      <c r="B111" s="1" t="s">
        <v>246</v>
      </c>
      <c r="C111" s="3" t="s">
        <v>95</v>
      </c>
      <c r="D111" s="3"/>
      <c r="E111" s="1" t="str">
        <f>IFERROR(__xludf.DUMMYFUNCTION("IFERROR(REGEXEXTRACT(A111, ""res(269|122)""), ""none"")"),"122")</f>
        <v>122</v>
      </c>
      <c r="F111" s="1">
        <v>-16.056932</v>
      </c>
      <c r="G111" s="1">
        <v>7.0</v>
      </c>
      <c r="H111" s="1">
        <v>3.0</v>
      </c>
      <c r="I111" s="1">
        <v>0.571429</v>
      </c>
      <c r="J111" s="1">
        <v>2.0</v>
      </c>
      <c r="K111" s="1">
        <v>-0.884192</v>
      </c>
      <c r="L111" s="1">
        <v>100.0</v>
      </c>
      <c r="M111" s="1">
        <v>0.0</v>
      </c>
      <c r="N111" s="1">
        <v>0.0</v>
      </c>
      <c r="O111" s="1">
        <v>95.630305</v>
      </c>
    </row>
    <row r="112">
      <c r="A112" s="1" t="s">
        <v>1030</v>
      </c>
      <c r="B112" s="1" t="s">
        <v>1031</v>
      </c>
      <c r="C112" s="3"/>
      <c r="D112" s="3"/>
      <c r="E112" s="1" t="str">
        <f>IFERROR(__xludf.DUMMYFUNCTION("IFERROR(REGEXEXTRACT(A112, ""res(269|122)""), ""none"")"),"122")</f>
        <v>122</v>
      </c>
      <c r="F112" s="1">
        <v>-15.904397</v>
      </c>
      <c r="G112" s="1">
        <v>12.0</v>
      </c>
      <c r="H112" s="1">
        <v>4.0</v>
      </c>
      <c r="I112" s="1">
        <v>0.333333</v>
      </c>
      <c r="J112" s="1">
        <v>2.0</v>
      </c>
      <c r="K112" s="1">
        <v>-1.18016599999999</v>
      </c>
      <c r="L112" s="1">
        <v>100.0</v>
      </c>
      <c r="M112" s="1">
        <v>0.0</v>
      </c>
      <c r="N112" s="1">
        <v>0.0</v>
      </c>
      <c r="O112" s="1">
        <v>101.24877</v>
      </c>
    </row>
    <row r="113">
      <c r="A113" s="1" t="s">
        <v>1032</v>
      </c>
      <c r="B113" s="1" t="s">
        <v>1033</v>
      </c>
      <c r="C113" s="3"/>
      <c r="D113" s="3"/>
      <c r="E113" s="1" t="str">
        <f>IFERROR(__xludf.DUMMYFUNCTION("IFERROR(REGEXEXTRACT(A113, ""res(269|122)""), ""none"")"),"122")</f>
        <v>122</v>
      </c>
      <c r="F113" s="1">
        <v>-15.533497</v>
      </c>
      <c r="G113" s="1">
        <v>9.0</v>
      </c>
      <c r="H113" s="1">
        <v>4.0</v>
      </c>
      <c r="I113" s="1">
        <v>0.444444</v>
      </c>
      <c r="J113" s="1">
        <v>2.0</v>
      </c>
      <c r="K113" s="1">
        <v>-1.43683</v>
      </c>
      <c r="L113" s="1">
        <v>100.0</v>
      </c>
      <c r="M113" s="1">
        <v>0.0</v>
      </c>
      <c r="N113" s="1">
        <v>0.0</v>
      </c>
      <c r="O113" s="1">
        <v>98.474117</v>
      </c>
    </row>
    <row r="114">
      <c r="A114" s="1" t="s">
        <v>247</v>
      </c>
      <c r="B114" s="1" t="s">
        <v>110</v>
      </c>
      <c r="C114" s="3" t="s">
        <v>33</v>
      </c>
      <c r="D114" s="3"/>
      <c r="E114" s="1" t="str">
        <f>IFERROR(__xludf.DUMMYFUNCTION("IFERROR(REGEXEXTRACT(A114, ""res(269|122)""), ""none"")"),"122")</f>
        <v>122</v>
      </c>
      <c r="F114" s="1">
        <v>-17.375967</v>
      </c>
      <c r="G114" s="1">
        <v>8.0</v>
      </c>
      <c r="H114" s="1">
        <v>3.0</v>
      </c>
      <c r="I114" s="1">
        <v>0.25</v>
      </c>
      <c r="J114" s="1">
        <v>2.0</v>
      </c>
      <c r="K114" s="1">
        <v>-1.320226</v>
      </c>
      <c r="L114" s="1">
        <v>100.0</v>
      </c>
      <c r="M114" s="1">
        <v>0.0</v>
      </c>
      <c r="N114" s="1">
        <v>0.0</v>
      </c>
      <c r="O114" s="1">
        <v>94.553807</v>
      </c>
    </row>
    <row r="115">
      <c r="A115" s="1" t="s">
        <v>1034</v>
      </c>
      <c r="B115" s="1" t="s">
        <v>1035</v>
      </c>
      <c r="C115" s="3"/>
      <c r="D115" s="3"/>
      <c r="E115" s="1" t="str">
        <f>IFERROR(__xludf.DUMMYFUNCTION("IFERROR(REGEXEXTRACT(A115, ""res(269|122)""), ""none"")"),"122")</f>
        <v>122</v>
      </c>
      <c r="F115" s="1">
        <v>-15.652489</v>
      </c>
      <c r="G115" s="1">
        <v>7.0</v>
      </c>
      <c r="H115" s="1">
        <v>3.0</v>
      </c>
      <c r="I115" s="1">
        <v>0.285714</v>
      </c>
      <c r="J115" s="1">
        <v>2.0</v>
      </c>
      <c r="K115" s="1">
        <v>-1.224364</v>
      </c>
      <c r="L115" s="1">
        <v>100.0</v>
      </c>
      <c r="M115" s="1">
        <v>0.0</v>
      </c>
      <c r="N115" s="1">
        <v>0.0</v>
      </c>
      <c r="O115" s="1">
        <v>95.408861</v>
      </c>
    </row>
    <row r="116">
      <c r="A116" s="1" t="s">
        <v>1036</v>
      </c>
      <c r="B116" s="1" t="s">
        <v>1037</v>
      </c>
      <c r="C116" s="3"/>
      <c r="D116" s="3"/>
      <c r="E116" s="1" t="str">
        <f>IFERROR(__xludf.DUMMYFUNCTION("IFERROR(REGEXEXTRACT(A116, ""res(269|122)""), ""none"")"),"122")</f>
        <v>122</v>
      </c>
      <c r="F116" s="1">
        <v>-15.041809</v>
      </c>
      <c r="G116" s="1">
        <v>8.0</v>
      </c>
      <c r="H116" s="1">
        <v>3.0</v>
      </c>
      <c r="I116" s="1">
        <v>0.375</v>
      </c>
      <c r="J116" s="1">
        <v>2.0</v>
      </c>
      <c r="K116" s="1">
        <v>-1.245626</v>
      </c>
      <c r="L116" s="1">
        <v>100.0</v>
      </c>
      <c r="M116" s="1">
        <v>0.0</v>
      </c>
      <c r="N116" s="1">
        <v>0.0</v>
      </c>
      <c r="O116" s="1">
        <v>97.087565</v>
      </c>
    </row>
    <row r="117">
      <c r="A117" s="1" t="s">
        <v>1038</v>
      </c>
      <c r="B117" s="1" t="s">
        <v>1039</v>
      </c>
      <c r="C117" s="3"/>
      <c r="D117" s="3"/>
      <c r="E117" s="1" t="str">
        <f>IFERROR(__xludf.DUMMYFUNCTION("IFERROR(REGEXEXTRACT(A117, ""res(269|122)""), ""none"")"),"122")</f>
        <v>122</v>
      </c>
      <c r="F117" s="1">
        <v>-19.051158</v>
      </c>
      <c r="G117" s="1">
        <v>12.0</v>
      </c>
      <c r="H117" s="1">
        <v>3.0</v>
      </c>
      <c r="I117" s="1">
        <v>0.416667</v>
      </c>
      <c r="J117" s="1">
        <v>2.0</v>
      </c>
      <c r="K117" s="1">
        <v>-1.48236</v>
      </c>
      <c r="L117" s="1">
        <v>100.0</v>
      </c>
      <c r="M117" s="1">
        <v>0.0</v>
      </c>
      <c r="N117" s="1">
        <v>0.0</v>
      </c>
      <c r="O117" s="1">
        <v>96.883149</v>
      </c>
    </row>
    <row r="118">
      <c r="A118" s="1" t="s">
        <v>1040</v>
      </c>
      <c r="B118" s="1" t="s">
        <v>1041</v>
      </c>
      <c r="C118" s="3"/>
      <c r="D118" s="3"/>
      <c r="E118" s="1" t="str">
        <f>IFERROR(__xludf.DUMMYFUNCTION("IFERROR(REGEXEXTRACT(A118, ""res(269|122)""), ""none"")"),"122")</f>
        <v>122</v>
      </c>
      <c r="F118" s="1">
        <v>-15.417922</v>
      </c>
      <c r="G118" s="1">
        <v>10.0</v>
      </c>
      <c r="H118" s="1">
        <v>4.0</v>
      </c>
      <c r="I118" s="1">
        <v>0.3</v>
      </c>
      <c r="J118" s="1">
        <v>2.0</v>
      </c>
      <c r="K118" s="1">
        <v>-1.29702</v>
      </c>
      <c r="L118" s="1">
        <v>100.0</v>
      </c>
      <c r="M118" s="1">
        <v>0.0</v>
      </c>
      <c r="N118" s="1">
        <v>0.0</v>
      </c>
      <c r="O118" s="1">
        <v>99.585058</v>
      </c>
    </row>
    <row r="119">
      <c r="A119" s="1" t="s">
        <v>248</v>
      </c>
      <c r="B119" s="1" t="s">
        <v>249</v>
      </c>
      <c r="C119" s="3" t="s">
        <v>24</v>
      </c>
      <c r="D119" s="3" t="s">
        <v>428</v>
      </c>
      <c r="E119" s="1" t="str">
        <f>IFERROR(__xludf.DUMMYFUNCTION("IFERROR(REGEXEXTRACT(A119, ""res(269|122)""), ""none"")"),"122")</f>
        <v>122</v>
      </c>
      <c r="F119" s="1">
        <v>-17.093997</v>
      </c>
      <c r="G119" s="1">
        <v>10.0</v>
      </c>
      <c r="H119" s="1">
        <v>3.0</v>
      </c>
      <c r="I119" s="1">
        <v>0.3</v>
      </c>
      <c r="J119" s="1">
        <v>2.0</v>
      </c>
      <c r="K119" s="1">
        <v>-0.77841</v>
      </c>
      <c r="L119" s="1">
        <v>100.0</v>
      </c>
      <c r="M119" s="1">
        <v>0.0</v>
      </c>
      <c r="N119" s="1">
        <v>0.0</v>
      </c>
      <c r="O119" s="1">
        <v>97.427593</v>
      </c>
    </row>
    <row r="120">
      <c r="A120" s="1" t="s">
        <v>1042</v>
      </c>
      <c r="B120" s="1" t="s">
        <v>1043</v>
      </c>
      <c r="C120" s="3"/>
      <c r="D120" s="3"/>
      <c r="E120" s="1" t="str">
        <f>IFERROR(__xludf.DUMMYFUNCTION("IFERROR(REGEXEXTRACT(A120, ""res(269|122)""), ""none"")"),"122")</f>
        <v>122</v>
      </c>
      <c r="F120" s="1">
        <v>-15.379389</v>
      </c>
      <c r="G120" s="1">
        <v>8.0</v>
      </c>
      <c r="H120" s="1">
        <v>3.0</v>
      </c>
      <c r="I120" s="1">
        <v>0.375</v>
      </c>
      <c r="J120" s="1">
        <v>2.0</v>
      </c>
      <c r="K120" s="1">
        <v>-1.234147</v>
      </c>
      <c r="L120" s="1">
        <v>100.0</v>
      </c>
      <c r="M120" s="1">
        <v>0.0</v>
      </c>
      <c r="N120" s="1">
        <v>0.0</v>
      </c>
      <c r="O120" s="1">
        <v>96.761464</v>
      </c>
    </row>
    <row r="121">
      <c r="A121" s="1" t="s">
        <v>250</v>
      </c>
      <c r="B121" s="1" t="s">
        <v>65</v>
      </c>
      <c r="C121" s="3" t="s">
        <v>26</v>
      </c>
      <c r="D121" s="3"/>
      <c r="E121" s="1" t="str">
        <f>IFERROR(__xludf.DUMMYFUNCTION("IFERROR(REGEXEXTRACT(A121, ""res(269|122)""), ""none"")"),"122")</f>
        <v>122</v>
      </c>
      <c r="F121" s="1">
        <v>-17.086206</v>
      </c>
      <c r="G121" s="1">
        <v>7.0</v>
      </c>
      <c r="H121" s="1">
        <v>4.0</v>
      </c>
      <c r="I121" s="1">
        <v>0.285714</v>
      </c>
      <c r="J121" s="1">
        <v>3.0</v>
      </c>
      <c r="K121" s="1">
        <v>-1.038701</v>
      </c>
      <c r="L121" s="1">
        <v>100.0</v>
      </c>
      <c r="M121" s="1">
        <v>0.0</v>
      </c>
      <c r="N121" s="1">
        <v>0.0</v>
      </c>
      <c r="O121" s="1">
        <v>96.160807</v>
      </c>
    </row>
    <row r="122">
      <c r="A122" s="1" t="s">
        <v>251</v>
      </c>
      <c r="B122" s="1" t="s">
        <v>69</v>
      </c>
      <c r="C122" s="3" t="s">
        <v>33</v>
      </c>
      <c r="D122" s="3" t="s">
        <v>71</v>
      </c>
      <c r="E122" s="1" t="str">
        <f>IFERROR(__xludf.DUMMYFUNCTION("IFERROR(REGEXEXTRACT(A122, ""res(269|122)""), ""none"")"),"122")</f>
        <v>122</v>
      </c>
      <c r="F122" s="1">
        <v>-15.386234</v>
      </c>
      <c r="G122" s="1">
        <v>11.0</v>
      </c>
      <c r="H122" s="1">
        <v>4.0</v>
      </c>
      <c r="I122" s="1">
        <v>0.454545</v>
      </c>
      <c r="J122" s="1">
        <v>2.0</v>
      </c>
      <c r="K122" s="1">
        <v>-0.508212</v>
      </c>
      <c r="L122" s="1">
        <v>100.0</v>
      </c>
      <c r="M122" s="1">
        <v>0.0</v>
      </c>
      <c r="N122" s="1">
        <v>0.0</v>
      </c>
      <c r="O122" s="1">
        <v>101.560099</v>
      </c>
    </row>
    <row r="123">
      <c r="A123" s="1" t="s">
        <v>252</v>
      </c>
      <c r="B123" s="1" t="s">
        <v>114</v>
      </c>
      <c r="C123" s="3" t="s">
        <v>24</v>
      </c>
      <c r="D123" s="3"/>
      <c r="E123" s="1" t="str">
        <f>IFERROR(__xludf.DUMMYFUNCTION("IFERROR(REGEXEXTRACT(A123, ""res(269|122)""), ""none"")"),"122")</f>
        <v>122</v>
      </c>
      <c r="F123" s="1">
        <v>-16.231911</v>
      </c>
      <c r="G123" s="1">
        <v>12.0</v>
      </c>
      <c r="H123" s="1">
        <v>2.0</v>
      </c>
      <c r="I123" s="1">
        <v>0.25</v>
      </c>
      <c r="J123" s="1">
        <v>2.0</v>
      </c>
      <c r="K123" s="1">
        <v>-0.38947</v>
      </c>
      <c r="L123" s="1">
        <v>100.0</v>
      </c>
      <c r="M123" s="1">
        <v>0.0</v>
      </c>
      <c r="N123" s="1">
        <v>0.0</v>
      </c>
      <c r="O123" s="1">
        <v>99.628619</v>
      </c>
    </row>
    <row r="124">
      <c r="A124" s="1" t="s">
        <v>253</v>
      </c>
      <c r="B124" s="1" t="s">
        <v>254</v>
      </c>
      <c r="C124" s="3" t="s">
        <v>95</v>
      </c>
      <c r="D124" s="3"/>
      <c r="E124" s="1" t="str">
        <f>IFERROR(__xludf.DUMMYFUNCTION("IFERROR(REGEXEXTRACT(A124, ""res(269|122)""), ""none"")"),"122")</f>
        <v>122</v>
      </c>
      <c r="F124" s="1">
        <v>-15.527357</v>
      </c>
      <c r="G124" s="1">
        <v>8.0</v>
      </c>
      <c r="H124" s="1">
        <v>3.0</v>
      </c>
      <c r="I124" s="1">
        <v>0.25</v>
      </c>
      <c r="J124" s="1">
        <v>2.0</v>
      </c>
      <c r="K124" s="1">
        <v>-0.966032</v>
      </c>
      <c r="L124" s="1">
        <v>100.0</v>
      </c>
      <c r="M124" s="1">
        <v>0.0</v>
      </c>
      <c r="N124" s="1">
        <v>0.0</v>
      </c>
      <c r="O124" s="1">
        <v>96.756611</v>
      </c>
    </row>
    <row r="125">
      <c r="A125" s="1" t="s">
        <v>1044</v>
      </c>
      <c r="B125" s="1" t="s">
        <v>1045</v>
      </c>
      <c r="C125" s="3"/>
      <c r="D125" s="3"/>
      <c r="E125" s="1" t="str">
        <f>IFERROR(__xludf.DUMMYFUNCTION("IFERROR(REGEXEXTRACT(A125, ""res(269|122)""), ""none"")"),"122")</f>
        <v>122</v>
      </c>
      <c r="F125" s="1">
        <v>-15.952925</v>
      </c>
      <c r="G125" s="1">
        <v>11.0</v>
      </c>
      <c r="H125" s="1">
        <v>4.0</v>
      </c>
      <c r="I125" s="1">
        <v>0.272727</v>
      </c>
      <c r="J125" s="1">
        <v>3.0</v>
      </c>
      <c r="K125" s="1">
        <v>-1.559703</v>
      </c>
      <c r="L125" s="1">
        <v>100.0</v>
      </c>
      <c r="M125" s="1">
        <v>0.0</v>
      </c>
      <c r="N125" s="1">
        <v>0.0</v>
      </c>
      <c r="O125" s="1">
        <v>100.760099</v>
      </c>
    </row>
    <row r="126">
      <c r="A126" s="1" t="s">
        <v>1046</v>
      </c>
      <c r="B126" s="1" t="s">
        <v>1047</v>
      </c>
      <c r="C126" s="3"/>
      <c r="D126" s="3"/>
      <c r="E126" s="1" t="str">
        <f>IFERROR(__xludf.DUMMYFUNCTION("IFERROR(REGEXEXTRACT(A126, ""res(269|122)""), ""none"")"),"122")</f>
        <v>122</v>
      </c>
      <c r="F126" s="1">
        <v>-16.345306</v>
      </c>
      <c r="G126" s="1">
        <v>6.0</v>
      </c>
      <c r="H126" s="1">
        <v>2.0</v>
      </c>
      <c r="I126" s="1">
        <v>0.333333</v>
      </c>
      <c r="J126" s="1">
        <v>2.0</v>
      </c>
      <c r="K126" s="1">
        <v>-1.398216</v>
      </c>
      <c r="L126" s="1">
        <v>100.0</v>
      </c>
      <c r="M126" s="1">
        <v>0.0</v>
      </c>
      <c r="N126" s="1">
        <v>0.0</v>
      </c>
      <c r="O126" s="1">
        <v>92.589811</v>
      </c>
    </row>
    <row r="127">
      <c r="A127" s="1" t="s">
        <v>1048</v>
      </c>
      <c r="B127" s="1" t="s">
        <v>1049</v>
      </c>
      <c r="C127" s="3"/>
      <c r="D127" s="3"/>
      <c r="E127" s="1" t="str">
        <f>IFERROR(__xludf.DUMMYFUNCTION("IFERROR(REGEXEXTRACT(A127, ""res(269|122)""), ""none"")"),"122")</f>
        <v>122</v>
      </c>
      <c r="F127" s="1">
        <v>-15.497532</v>
      </c>
      <c r="G127" s="1">
        <v>11.0</v>
      </c>
      <c r="H127" s="1">
        <v>4.0</v>
      </c>
      <c r="I127" s="1">
        <v>0.363636</v>
      </c>
      <c r="J127" s="1">
        <v>2.0</v>
      </c>
      <c r="K127" s="1">
        <v>-1.243276</v>
      </c>
      <c r="L127" s="1">
        <v>100.0</v>
      </c>
      <c r="M127" s="1">
        <v>0.0</v>
      </c>
      <c r="N127" s="1">
        <v>0.0</v>
      </c>
      <c r="O127" s="1">
        <v>100.622828</v>
      </c>
    </row>
    <row r="128">
      <c r="A128" s="1" t="s">
        <v>255</v>
      </c>
      <c r="B128" s="1" t="s">
        <v>256</v>
      </c>
      <c r="C128" s="3" t="s">
        <v>24</v>
      </c>
      <c r="D128" s="3"/>
      <c r="E128" s="1" t="str">
        <f>IFERROR(__xludf.DUMMYFUNCTION("IFERROR(REGEXEXTRACT(A128, ""res(269|122)""), ""none"")"),"122")</f>
        <v>122</v>
      </c>
      <c r="F128" s="1">
        <v>-15.777823</v>
      </c>
      <c r="G128" s="1">
        <v>9.0</v>
      </c>
      <c r="H128" s="1">
        <v>4.0</v>
      </c>
      <c r="I128" s="1">
        <v>0.333333</v>
      </c>
      <c r="J128" s="1">
        <v>2.0</v>
      </c>
      <c r="K128" s="1">
        <v>-1.671146</v>
      </c>
      <c r="L128" s="1">
        <v>100.0</v>
      </c>
      <c r="M128" s="1">
        <v>0.0</v>
      </c>
      <c r="N128" s="1">
        <v>0.0</v>
      </c>
      <c r="O128" s="1">
        <v>97.884364</v>
      </c>
    </row>
    <row r="129">
      <c r="A129" s="1" t="s">
        <v>1050</v>
      </c>
      <c r="B129" s="1" t="s">
        <v>1051</v>
      </c>
      <c r="C129" s="3"/>
      <c r="D129" s="3"/>
      <c r="E129" s="1" t="str">
        <f>IFERROR(__xludf.DUMMYFUNCTION("IFERROR(REGEXEXTRACT(A129, ""res(269|122)""), ""none"")"),"122")</f>
        <v>122</v>
      </c>
      <c r="F129" s="1">
        <v>-15.111201</v>
      </c>
      <c r="G129" s="1">
        <v>9.0</v>
      </c>
      <c r="H129" s="1">
        <v>4.0</v>
      </c>
      <c r="I129" s="1">
        <v>0.444444</v>
      </c>
      <c r="J129" s="1">
        <v>2.0</v>
      </c>
      <c r="K129" s="1">
        <v>-0.653188999999999</v>
      </c>
      <c r="L129" s="1">
        <v>100.0</v>
      </c>
      <c r="M129" s="1">
        <v>0.0</v>
      </c>
      <c r="N129" s="1">
        <v>0.0</v>
      </c>
      <c r="O129" s="1">
        <v>99.680054</v>
      </c>
    </row>
    <row r="130">
      <c r="C130" s="5"/>
      <c r="D130" s="5"/>
    </row>
    <row r="131">
      <c r="C131" s="5"/>
      <c r="D131" s="5"/>
    </row>
    <row r="132">
      <c r="C132" s="5"/>
      <c r="D132" s="5"/>
    </row>
    <row r="133">
      <c r="C133" s="5"/>
      <c r="D133" s="5"/>
    </row>
    <row r="134">
      <c r="C134" s="5"/>
      <c r="D134" s="5"/>
    </row>
    <row r="135">
      <c r="C135" s="5"/>
      <c r="D135" s="5"/>
    </row>
    <row r="136">
      <c r="C136" s="5"/>
      <c r="D136" s="5"/>
    </row>
    <row r="137">
      <c r="C137" s="5"/>
      <c r="D137" s="5"/>
    </row>
    <row r="138">
      <c r="C138" s="5"/>
      <c r="D138" s="5"/>
    </row>
    <row r="139">
      <c r="C139" s="5"/>
      <c r="D139" s="5"/>
    </row>
    <row r="140">
      <c r="C140" s="5"/>
      <c r="D140" s="5"/>
    </row>
    <row r="141">
      <c r="C141" s="5"/>
      <c r="D141" s="5"/>
    </row>
    <row r="142">
      <c r="C142" s="5"/>
      <c r="D142" s="5"/>
    </row>
    <row r="143">
      <c r="C143" s="5"/>
      <c r="D143" s="5"/>
    </row>
    <row r="144">
      <c r="C144" s="5"/>
      <c r="D144" s="5"/>
    </row>
    <row r="145">
      <c r="C145" s="5"/>
      <c r="D145" s="5"/>
    </row>
    <row r="146">
      <c r="C146" s="5"/>
      <c r="D146" s="5"/>
    </row>
    <row r="147">
      <c r="C147" s="5"/>
      <c r="D147" s="5"/>
    </row>
    <row r="148">
      <c r="C148" s="5"/>
      <c r="D148" s="5"/>
    </row>
    <row r="149">
      <c r="C149" s="5"/>
      <c r="D149" s="5"/>
    </row>
    <row r="150">
      <c r="C150" s="5"/>
      <c r="D150" s="5"/>
    </row>
    <row r="151">
      <c r="C151" s="5"/>
      <c r="D151" s="5"/>
    </row>
    <row r="152">
      <c r="C152" s="5"/>
      <c r="D152" s="5"/>
    </row>
    <row r="153">
      <c r="C153" s="5"/>
      <c r="D153" s="5"/>
    </row>
    <row r="154">
      <c r="C154" s="5"/>
      <c r="D154" s="5"/>
    </row>
    <row r="155">
      <c r="C155" s="5"/>
      <c r="D155" s="5"/>
    </row>
    <row r="156">
      <c r="C156" s="5"/>
      <c r="D156" s="5"/>
    </row>
    <row r="157">
      <c r="C157" s="5"/>
      <c r="D157" s="5"/>
    </row>
    <row r="158">
      <c r="C158" s="5"/>
      <c r="D158" s="5"/>
    </row>
    <row r="159">
      <c r="C159" s="5"/>
      <c r="D159" s="5"/>
    </row>
    <row r="160">
      <c r="C160" s="5"/>
      <c r="D160" s="5"/>
    </row>
    <row r="161">
      <c r="C161" s="5"/>
      <c r="D161" s="5"/>
    </row>
    <row r="162">
      <c r="C162" s="5"/>
      <c r="D162" s="5"/>
    </row>
    <row r="163">
      <c r="C163" s="5"/>
      <c r="D163" s="5"/>
    </row>
    <row r="164">
      <c r="C164" s="5"/>
      <c r="D164" s="5"/>
    </row>
    <row r="165">
      <c r="C165" s="5"/>
      <c r="D165" s="5"/>
    </row>
    <row r="166">
      <c r="C166" s="5"/>
      <c r="D166" s="5"/>
    </row>
    <row r="167">
      <c r="C167" s="5"/>
      <c r="D167" s="5"/>
    </row>
    <row r="168">
      <c r="C168" s="5"/>
      <c r="D168" s="5"/>
    </row>
    <row r="169">
      <c r="C169" s="5"/>
      <c r="D169" s="5"/>
    </row>
    <row r="170">
      <c r="C170" s="5"/>
      <c r="D170" s="5"/>
    </row>
    <row r="171">
      <c r="C171" s="5"/>
      <c r="D171" s="5"/>
    </row>
    <row r="172">
      <c r="C172" s="5"/>
      <c r="D172" s="5"/>
    </row>
    <row r="173">
      <c r="C173" s="5"/>
      <c r="D173" s="5"/>
    </row>
    <row r="174">
      <c r="C174" s="5"/>
      <c r="D174" s="5"/>
    </row>
    <row r="175">
      <c r="C175" s="5"/>
      <c r="D175" s="5"/>
    </row>
    <row r="176">
      <c r="C176" s="5"/>
      <c r="D176" s="5"/>
    </row>
    <row r="177">
      <c r="C177" s="5"/>
      <c r="D177" s="5"/>
    </row>
    <row r="178">
      <c r="C178" s="5"/>
      <c r="D178" s="5"/>
    </row>
    <row r="179">
      <c r="C179" s="5"/>
      <c r="D179" s="5"/>
    </row>
    <row r="180">
      <c r="C180" s="5"/>
      <c r="D180" s="5"/>
    </row>
    <row r="181">
      <c r="C181" s="5"/>
      <c r="D181" s="5"/>
    </row>
    <row r="182">
      <c r="C182" s="5"/>
      <c r="D182" s="5"/>
    </row>
    <row r="183">
      <c r="C183" s="5"/>
      <c r="D183" s="5"/>
    </row>
    <row r="184">
      <c r="C184" s="5"/>
      <c r="D184" s="5"/>
    </row>
    <row r="185">
      <c r="C185" s="5"/>
      <c r="D185" s="5"/>
    </row>
    <row r="186">
      <c r="C186" s="5"/>
      <c r="D186" s="5"/>
    </row>
    <row r="187">
      <c r="C187" s="5"/>
      <c r="D187" s="5"/>
    </row>
    <row r="188">
      <c r="C188" s="5"/>
      <c r="D188" s="5"/>
    </row>
    <row r="189">
      <c r="C189" s="5"/>
      <c r="D189" s="5"/>
    </row>
    <row r="190">
      <c r="C190" s="5"/>
      <c r="D190" s="5"/>
    </row>
    <row r="191">
      <c r="C191" s="5"/>
      <c r="D191" s="5"/>
    </row>
    <row r="192">
      <c r="C192" s="5"/>
      <c r="D192" s="5"/>
    </row>
    <row r="193">
      <c r="C193" s="5"/>
      <c r="D193" s="5"/>
    </row>
    <row r="194">
      <c r="C194" s="5"/>
      <c r="D194" s="5"/>
    </row>
    <row r="195">
      <c r="C195" s="5"/>
      <c r="D195" s="5"/>
    </row>
    <row r="196">
      <c r="C196" s="5"/>
      <c r="D196" s="5"/>
    </row>
    <row r="197">
      <c r="C197" s="5"/>
      <c r="D197" s="5"/>
    </row>
    <row r="198">
      <c r="C198" s="5"/>
      <c r="D198" s="5"/>
    </row>
    <row r="199">
      <c r="C199" s="5"/>
      <c r="D199" s="5"/>
    </row>
    <row r="200">
      <c r="C200" s="5"/>
      <c r="D200" s="5"/>
    </row>
    <row r="201">
      <c r="C201" s="5"/>
      <c r="D201" s="5"/>
    </row>
    <row r="202">
      <c r="C202" s="5"/>
      <c r="D202" s="5"/>
    </row>
    <row r="203">
      <c r="C203" s="5"/>
      <c r="D203" s="5"/>
    </row>
    <row r="204">
      <c r="C204" s="5"/>
      <c r="D204" s="5"/>
    </row>
    <row r="205">
      <c r="C205" s="5"/>
      <c r="D205" s="5"/>
    </row>
    <row r="206">
      <c r="C206" s="5"/>
      <c r="D206" s="5"/>
    </row>
    <row r="207">
      <c r="C207" s="5"/>
      <c r="D207" s="5"/>
    </row>
    <row r="208">
      <c r="C208" s="5"/>
      <c r="D208" s="5"/>
    </row>
    <row r="209">
      <c r="C209" s="5"/>
      <c r="D209" s="5"/>
    </row>
    <row r="210">
      <c r="C210" s="5"/>
      <c r="D210" s="5"/>
    </row>
    <row r="211">
      <c r="C211" s="5"/>
      <c r="D211" s="5"/>
    </row>
    <row r="212">
      <c r="C212" s="5"/>
      <c r="D212" s="5"/>
    </row>
    <row r="213">
      <c r="C213" s="5"/>
      <c r="D213" s="5"/>
    </row>
    <row r="214">
      <c r="C214" s="5"/>
      <c r="D214" s="5"/>
    </row>
    <row r="215">
      <c r="C215" s="5"/>
      <c r="D215" s="5"/>
    </row>
    <row r="216">
      <c r="C216" s="5"/>
      <c r="D216" s="5"/>
    </row>
    <row r="217">
      <c r="C217" s="5"/>
      <c r="D217" s="5"/>
    </row>
    <row r="218">
      <c r="C218" s="5"/>
      <c r="D218" s="5"/>
    </row>
    <row r="219">
      <c r="C219" s="5"/>
      <c r="D219" s="5"/>
    </row>
    <row r="220">
      <c r="C220" s="5"/>
      <c r="D220" s="5"/>
    </row>
    <row r="221">
      <c r="C221" s="5"/>
      <c r="D221" s="5"/>
    </row>
    <row r="222">
      <c r="C222" s="5"/>
      <c r="D222" s="5"/>
    </row>
    <row r="223">
      <c r="C223" s="5"/>
      <c r="D223" s="5"/>
    </row>
    <row r="224">
      <c r="C224" s="5"/>
      <c r="D224" s="5"/>
    </row>
    <row r="225">
      <c r="C225" s="5"/>
      <c r="D225" s="5"/>
    </row>
    <row r="226">
      <c r="C226" s="5"/>
      <c r="D226" s="5"/>
    </row>
    <row r="227">
      <c r="C227" s="5"/>
      <c r="D227" s="5"/>
    </row>
    <row r="228">
      <c r="C228" s="5"/>
      <c r="D228" s="5"/>
    </row>
    <row r="229">
      <c r="C229" s="5"/>
      <c r="D229" s="5"/>
    </row>
    <row r="230">
      <c r="C230" s="5"/>
      <c r="D230" s="5"/>
    </row>
    <row r="231">
      <c r="C231" s="5"/>
      <c r="D231" s="5"/>
    </row>
    <row r="232">
      <c r="C232" s="5"/>
      <c r="D232" s="5"/>
    </row>
    <row r="233">
      <c r="C233" s="5"/>
      <c r="D233" s="5"/>
    </row>
    <row r="234">
      <c r="C234" s="5"/>
      <c r="D234" s="5"/>
    </row>
    <row r="235">
      <c r="C235" s="5"/>
      <c r="D235" s="5"/>
    </row>
    <row r="236">
      <c r="C236" s="5"/>
      <c r="D236" s="5"/>
    </row>
    <row r="237">
      <c r="C237" s="5"/>
      <c r="D237" s="5"/>
    </row>
    <row r="238">
      <c r="C238" s="5"/>
      <c r="D238" s="5"/>
    </row>
    <row r="239">
      <c r="C239" s="5"/>
      <c r="D239" s="5"/>
    </row>
    <row r="240">
      <c r="C240" s="5"/>
      <c r="D240" s="5"/>
    </row>
    <row r="241">
      <c r="C241" s="5"/>
      <c r="D241" s="5"/>
    </row>
    <row r="242">
      <c r="C242" s="5"/>
      <c r="D242" s="5"/>
    </row>
    <row r="243">
      <c r="C243" s="5"/>
      <c r="D243" s="5"/>
    </row>
    <row r="244">
      <c r="C244" s="5"/>
      <c r="D244" s="5"/>
    </row>
    <row r="245">
      <c r="C245" s="5"/>
      <c r="D245" s="5"/>
    </row>
    <row r="246">
      <c r="C246" s="5"/>
      <c r="D246" s="5"/>
    </row>
    <row r="247">
      <c r="C247" s="5"/>
      <c r="D247" s="5"/>
    </row>
    <row r="248">
      <c r="C248" s="5"/>
      <c r="D248" s="5"/>
    </row>
    <row r="249">
      <c r="C249" s="5"/>
      <c r="D249" s="5"/>
    </row>
    <row r="250">
      <c r="C250" s="5"/>
      <c r="D250" s="5"/>
    </row>
    <row r="251">
      <c r="C251" s="5"/>
      <c r="D251" s="5"/>
    </row>
    <row r="252">
      <c r="C252" s="5"/>
      <c r="D252" s="5"/>
    </row>
    <row r="253">
      <c r="C253" s="5"/>
      <c r="D253" s="5"/>
    </row>
    <row r="254">
      <c r="C254" s="5"/>
      <c r="D254" s="5"/>
    </row>
    <row r="255">
      <c r="C255" s="5"/>
      <c r="D255" s="5"/>
    </row>
    <row r="256">
      <c r="C256" s="5"/>
      <c r="D256" s="5"/>
    </row>
    <row r="257">
      <c r="C257" s="5"/>
      <c r="D257" s="5"/>
    </row>
    <row r="258">
      <c r="C258" s="5"/>
      <c r="D258" s="5"/>
    </row>
    <row r="259">
      <c r="C259" s="5"/>
      <c r="D259" s="5"/>
    </row>
    <row r="260">
      <c r="C260" s="5"/>
      <c r="D260" s="5"/>
    </row>
    <row r="261">
      <c r="C261" s="5"/>
      <c r="D261" s="5"/>
    </row>
    <row r="262">
      <c r="C262" s="5"/>
      <c r="D262" s="5"/>
    </row>
    <row r="263">
      <c r="C263" s="5"/>
      <c r="D263" s="5"/>
    </row>
    <row r="264">
      <c r="C264" s="5"/>
      <c r="D264" s="5"/>
    </row>
    <row r="265">
      <c r="C265" s="5"/>
      <c r="D265" s="5"/>
    </row>
    <row r="266">
      <c r="C266" s="5"/>
      <c r="D266" s="5"/>
    </row>
    <row r="267">
      <c r="C267" s="5"/>
      <c r="D267" s="5"/>
    </row>
    <row r="268">
      <c r="C268" s="5"/>
      <c r="D268" s="5"/>
    </row>
    <row r="269">
      <c r="C269" s="5"/>
      <c r="D269" s="5"/>
    </row>
    <row r="270">
      <c r="C270" s="5"/>
      <c r="D270" s="5"/>
    </row>
    <row r="271">
      <c r="C271" s="5"/>
      <c r="D271" s="5"/>
    </row>
    <row r="272">
      <c r="C272" s="5"/>
      <c r="D272" s="5"/>
    </row>
    <row r="273">
      <c r="C273" s="5"/>
      <c r="D273" s="5"/>
    </row>
    <row r="274">
      <c r="C274" s="5"/>
      <c r="D274" s="5"/>
    </row>
    <row r="275">
      <c r="C275" s="5"/>
      <c r="D275" s="5"/>
    </row>
    <row r="276">
      <c r="C276" s="5"/>
      <c r="D276" s="5"/>
    </row>
    <row r="277">
      <c r="C277" s="5"/>
      <c r="D277" s="5"/>
    </row>
    <row r="278">
      <c r="C278" s="5"/>
      <c r="D278" s="5"/>
    </row>
    <row r="279">
      <c r="C279" s="5"/>
      <c r="D279" s="5"/>
    </row>
    <row r="280">
      <c r="C280" s="5"/>
      <c r="D280" s="5"/>
    </row>
    <row r="281">
      <c r="C281" s="5"/>
      <c r="D281" s="5"/>
    </row>
    <row r="282">
      <c r="C282" s="5"/>
      <c r="D282" s="5"/>
    </row>
    <row r="283">
      <c r="C283" s="5"/>
      <c r="D283" s="5"/>
    </row>
    <row r="284">
      <c r="C284" s="5"/>
      <c r="D284" s="5"/>
    </row>
    <row r="285">
      <c r="C285" s="5"/>
      <c r="D285" s="5"/>
    </row>
    <row r="286">
      <c r="C286" s="5"/>
      <c r="D286" s="5"/>
    </row>
    <row r="287">
      <c r="C287" s="5"/>
      <c r="D287" s="5"/>
    </row>
    <row r="288">
      <c r="C288" s="5"/>
      <c r="D288" s="5"/>
    </row>
    <row r="289">
      <c r="C289" s="5"/>
      <c r="D289" s="5"/>
    </row>
    <row r="290">
      <c r="C290" s="5"/>
      <c r="D290" s="5"/>
    </row>
    <row r="291">
      <c r="C291" s="5"/>
      <c r="D291" s="5"/>
    </row>
    <row r="292">
      <c r="C292" s="5"/>
      <c r="D292" s="5"/>
    </row>
    <row r="293">
      <c r="C293" s="5"/>
      <c r="D293" s="5"/>
    </row>
    <row r="294">
      <c r="C294" s="5"/>
      <c r="D294" s="5"/>
    </row>
    <row r="295">
      <c r="C295" s="5"/>
      <c r="D295" s="5"/>
    </row>
    <row r="296">
      <c r="C296" s="5"/>
      <c r="D296" s="5"/>
    </row>
    <row r="297">
      <c r="C297" s="5"/>
      <c r="D297" s="5"/>
    </row>
    <row r="298">
      <c r="C298" s="5"/>
      <c r="D298" s="5"/>
    </row>
    <row r="299">
      <c r="C299" s="5"/>
      <c r="D299" s="5"/>
    </row>
    <row r="300">
      <c r="C300" s="5"/>
      <c r="D300" s="5"/>
    </row>
    <row r="301">
      <c r="C301" s="5"/>
      <c r="D301" s="5"/>
    </row>
    <row r="302">
      <c r="C302" s="5"/>
      <c r="D302" s="5"/>
    </row>
    <row r="303">
      <c r="C303" s="5"/>
      <c r="D303" s="5"/>
    </row>
    <row r="304">
      <c r="C304" s="5"/>
      <c r="D304" s="5"/>
    </row>
    <row r="305">
      <c r="C305" s="5"/>
      <c r="D305" s="5"/>
    </row>
    <row r="306">
      <c r="C306" s="5"/>
      <c r="D306" s="5"/>
    </row>
    <row r="307">
      <c r="C307" s="5"/>
      <c r="D307" s="5"/>
    </row>
    <row r="308">
      <c r="C308" s="5"/>
      <c r="D308" s="5"/>
    </row>
    <row r="309">
      <c r="C309" s="5"/>
      <c r="D309" s="5"/>
    </row>
    <row r="310">
      <c r="C310" s="5"/>
      <c r="D310" s="5"/>
    </row>
    <row r="311">
      <c r="C311" s="5"/>
      <c r="D311" s="5"/>
    </row>
    <row r="312">
      <c r="C312" s="5"/>
      <c r="D312" s="5"/>
    </row>
    <row r="313">
      <c r="C313" s="5"/>
      <c r="D313" s="5"/>
    </row>
    <row r="314">
      <c r="C314" s="5"/>
      <c r="D314" s="5"/>
    </row>
    <row r="315">
      <c r="C315" s="5"/>
      <c r="D315" s="5"/>
    </row>
    <row r="316">
      <c r="C316" s="5"/>
      <c r="D316" s="5"/>
    </row>
    <row r="317">
      <c r="C317" s="5"/>
      <c r="D317" s="5"/>
    </row>
    <row r="318">
      <c r="C318" s="5"/>
      <c r="D318" s="5"/>
    </row>
    <row r="319">
      <c r="C319" s="5"/>
      <c r="D319" s="5"/>
    </row>
    <row r="320">
      <c r="C320" s="5"/>
      <c r="D320" s="5"/>
    </row>
    <row r="321">
      <c r="C321" s="5"/>
      <c r="D321" s="5"/>
    </row>
    <row r="322">
      <c r="C322" s="5"/>
      <c r="D322" s="5"/>
    </row>
    <row r="323">
      <c r="C323" s="5"/>
      <c r="D323" s="5"/>
    </row>
    <row r="324">
      <c r="C324" s="5"/>
      <c r="D324" s="5"/>
    </row>
    <row r="325">
      <c r="C325" s="5"/>
      <c r="D325" s="5"/>
    </row>
    <row r="326">
      <c r="C326" s="5"/>
      <c r="D326" s="5"/>
    </row>
    <row r="327">
      <c r="C327" s="5"/>
      <c r="D327" s="5"/>
    </row>
    <row r="328">
      <c r="C328" s="5"/>
      <c r="D328" s="5"/>
    </row>
    <row r="329">
      <c r="C329" s="5"/>
      <c r="D329" s="5"/>
    </row>
    <row r="330">
      <c r="C330" s="5"/>
      <c r="D330" s="5"/>
    </row>
    <row r="331">
      <c r="C331" s="5"/>
      <c r="D331" s="5"/>
    </row>
    <row r="332">
      <c r="C332" s="5"/>
      <c r="D332" s="5"/>
    </row>
    <row r="333">
      <c r="C333" s="5"/>
      <c r="D333" s="5"/>
    </row>
    <row r="334">
      <c r="C334" s="5"/>
      <c r="D334" s="5"/>
    </row>
    <row r="335">
      <c r="C335" s="5"/>
      <c r="D335" s="5"/>
    </row>
    <row r="336">
      <c r="C336" s="5"/>
      <c r="D336" s="5"/>
    </row>
    <row r="337">
      <c r="C337" s="5"/>
      <c r="D337" s="5"/>
    </row>
    <row r="338">
      <c r="C338" s="5"/>
      <c r="D338" s="5"/>
    </row>
    <row r="339">
      <c r="C339" s="5"/>
      <c r="D339" s="5"/>
    </row>
    <row r="340">
      <c r="C340" s="5"/>
      <c r="D340" s="5"/>
    </row>
    <row r="341">
      <c r="C341" s="5"/>
      <c r="D341" s="5"/>
    </row>
    <row r="342">
      <c r="C342" s="5"/>
      <c r="D342" s="5"/>
    </row>
    <row r="343">
      <c r="C343" s="5"/>
      <c r="D343" s="5"/>
    </row>
    <row r="344">
      <c r="C344" s="5"/>
      <c r="D344" s="5"/>
    </row>
    <row r="345">
      <c r="C345" s="5"/>
      <c r="D345" s="5"/>
    </row>
    <row r="346">
      <c r="C346" s="5"/>
      <c r="D346" s="5"/>
    </row>
    <row r="347">
      <c r="C347" s="5"/>
      <c r="D347" s="5"/>
    </row>
    <row r="348">
      <c r="C348" s="5"/>
      <c r="D348" s="5"/>
    </row>
    <row r="349">
      <c r="C349" s="5"/>
      <c r="D349" s="5"/>
    </row>
    <row r="350">
      <c r="C350" s="5"/>
      <c r="D350" s="5"/>
    </row>
    <row r="351">
      <c r="C351" s="5"/>
      <c r="D351" s="5"/>
    </row>
    <row r="352">
      <c r="C352" s="5"/>
      <c r="D352" s="5"/>
    </row>
    <row r="353">
      <c r="C353" s="5"/>
      <c r="D353" s="5"/>
    </row>
    <row r="354">
      <c r="C354" s="5"/>
      <c r="D354" s="5"/>
    </row>
    <row r="355">
      <c r="C355" s="5"/>
      <c r="D355" s="5"/>
    </row>
    <row r="356">
      <c r="C356" s="5"/>
      <c r="D356" s="5"/>
    </row>
    <row r="357">
      <c r="C357" s="5"/>
      <c r="D357" s="5"/>
    </row>
    <row r="358">
      <c r="C358" s="5"/>
      <c r="D358" s="5"/>
    </row>
    <row r="359">
      <c r="C359" s="5"/>
      <c r="D359" s="5"/>
    </row>
    <row r="360">
      <c r="C360" s="5"/>
      <c r="D360" s="5"/>
    </row>
    <row r="361">
      <c r="C361" s="5"/>
      <c r="D361" s="5"/>
    </row>
    <row r="362">
      <c r="C362" s="5"/>
      <c r="D362" s="5"/>
    </row>
    <row r="363">
      <c r="C363" s="5"/>
      <c r="D363" s="5"/>
    </row>
    <row r="364">
      <c r="C364" s="5"/>
      <c r="D364" s="5"/>
    </row>
    <row r="365">
      <c r="C365" s="5"/>
      <c r="D365" s="5"/>
    </row>
    <row r="366">
      <c r="C366" s="5"/>
      <c r="D366" s="5"/>
    </row>
    <row r="367">
      <c r="C367" s="5"/>
      <c r="D367" s="5"/>
    </row>
    <row r="368">
      <c r="C368" s="5"/>
      <c r="D368" s="5"/>
    </row>
    <row r="369">
      <c r="C369" s="5"/>
      <c r="D369" s="5"/>
    </row>
    <row r="370">
      <c r="C370" s="5"/>
      <c r="D370" s="5"/>
    </row>
    <row r="371">
      <c r="C371" s="5"/>
      <c r="D371" s="5"/>
    </row>
    <row r="372">
      <c r="C372" s="5"/>
      <c r="D372" s="5"/>
    </row>
    <row r="373">
      <c r="C373" s="5"/>
      <c r="D373" s="5"/>
    </row>
    <row r="374">
      <c r="C374" s="5"/>
      <c r="D374" s="5"/>
    </row>
    <row r="375">
      <c r="C375" s="5"/>
      <c r="D375" s="5"/>
    </row>
    <row r="376">
      <c r="C376" s="5"/>
      <c r="D376" s="5"/>
    </row>
    <row r="377">
      <c r="C377" s="5"/>
      <c r="D377" s="5"/>
    </row>
    <row r="378">
      <c r="C378" s="5"/>
      <c r="D378" s="5"/>
    </row>
    <row r="379">
      <c r="C379" s="5"/>
      <c r="D379" s="5"/>
    </row>
    <row r="380">
      <c r="C380" s="5"/>
      <c r="D380" s="5"/>
    </row>
    <row r="381">
      <c r="C381" s="5"/>
      <c r="D381" s="5"/>
    </row>
    <row r="382">
      <c r="C382" s="5"/>
      <c r="D382" s="5"/>
    </row>
    <row r="383">
      <c r="C383" s="5"/>
      <c r="D383" s="5"/>
    </row>
    <row r="384">
      <c r="C384" s="5"/>
      <c r="D384" s="5"/>
    </row>
    <row r="385">
      <c r="C385" s="5"/>
      <c r="D385" s="5"/>
    </row>
    <row r="386">
      <c r="C386" s="5"/>
      <c r="D386" s="5"/>
    </row>
    <row r="387">
      <c r="C387" s="5"/>
      <c r="D387" s="5"/>
    </row>
    <row r="388">
      <c r="C388" s="5"/>
      <c r="D388" s="5"/>
    </row>
    <row r="389">
      <c r="C389" s="5"/>
      <c r="D389" s="5"/>
    </row>
    <row r="390">
      <c r="C390" s="5"/>
      <c r="D390" s="5"/>
    </row>
    <row r="391">
      <c r="C391" s="5"/>
      <c r="D391" s="5"/>
    </row>
    <row r="392">
      <c r="C392" s="5"/>
      <c r="D392" s="5"/>
    </row>
    <row r="393">
      <c r="C393" s="5"/>
      <c r="D393" s="5"/>
    </row>
    <row r="394">
      <c r="C394" s="5"/>
      <c r="D394" s="5"/>
    </row>
    <row r="395">
      <c r="C395" s="5"/>
      <c r="D395" s="5"/>
    </row>
    <row r="396">
      <c r="C396" s="5"/>
      <c r="D396" s="5"/>
    </row>
    <row r="397">
      <c r="C397" s="5"/>
      <c r="D397" s="5"/>
    </row>
    <row r="398">
      <c r="C398" s="5"/>
      <c r="D398" s="5"/>
    </row>
    <row r="399">
      <c r="C399" s="5"/>
      <c r="D399" s="5"/>
    </row>
    <row r="400">
      <c r="C400" s="5"/>
      <c r="D400" s="5"/>
    </row>
    <row r="401">
      <c r="C401" s="5"/>
      <c r="D401" s="5"/>
    </row>
    <row r="402">
      <c r="C402" s="5"/>
      <c r="D402" s="5"/>
    </row>
    <row r="403">
      <c r="C403" s="5"/>
      <c r="D403" s="5"/>
    </row>
    <row r="404">
      <c r="C404" s="5"/>
      <c r="D404" s="5"/>
    </row>
    <row r="405">
      <c r="C405" s="5"/>
      <c r="D405" s="5"/>
    </row>
    <row r="406">
      <c r="C406" s="5"/>
      <c r="D406" s="5"/>
    </row>
    <row r="407">
      <c r="C407" s="5"/>
      <c r="D407" s="5"/>
    </row>
    <row r="408">
      <c r="C408" s="5"/>
      <c r="D408" s="5"/>
    </row>
    <row r="409">
      <c r="C409" s="5"/>
      <c r="D409" s="5"/>
    </row>
    <row r="410">
      <c r="C410" s="5"/>
      <c r="D410" s="5"/>
    </row>
    <row r="411">
      <c r="C411" s="5"/>
      <c r="D411" s="5"/>
    </row>
    <row r="412">
      <c r="C412" s="5"/>
      <c r="D412" s="5"/>
    </row>
    <row r="413">
      <c r="C413" s="5"/>
      <c r="D413" s="5"/>
    </row>
    <row r="414">
      <c r="C414" s="5"/>
      <c r="D414" s="5"/>
    </row>
    <row r="415">
      <c r="C415" s="5"/>
      <c r="D415" s="5"/>
    </row>
    <row r="416">
      <c r="C416" s="5"/>
      <c r="D416" s="5"/>
    </row>
    <row r="417">
      <c r="C417" s="5"/>
      <c r="D417" s="5"/>
    </row>
    <row r="418">
      <c r="C418" s="5"/>
      <c r="D418" s="5"/>
    </row>
    <row r="419">
      <c r="C419" s="5"/>
      <c r="D419" s="5"/>
    </row>
    <row r="420">
      <c r="C420" s="5"/>
      <c r="D420" s="5"/>
    </row>
    <row r="421">
      <c r="C421" s="5"/>
      <c r="D421" s="5"/>
    </row>
    <row r="422">
      <c r="C422" s="5"/>
      <c r="D422" s="5"/>
    </row>
    <row r="423">
      <c r="C423" s="5"/>
      <c r="D423" s="5"/>
    </row>
    <row r="424">
      <c r="C424" s="5"/>
      <c r="D424" s="5"/>
    </row>
    <row r="425">
      <c r="C425" s="5"/>
      <c r="D425" s="5"/>
    </row>
    <row r="426">
      <c r="C426" s="5"/>
      <c r="D426" s="5"/>
    </row>
    <row r="427">
      <c r="C427" s="5"/>
      <c r="D427" s="5"/>
    </row>
    <row r="428">
      <c r="C428" s="5"/>
      <c r="D428" s="5"/>
    </row>
    <row r="429">
      <c r="C429" s="5"/>
      <c r="D429" s="5"/>
    </row>
    <row r="430">
      <c r="C430" s="5"/>
      <c r="D430" s="5"/>
    </row>
    <row r="431">
      <c r="C431" s="5"/>
      <c r="D431" s="5"/>
    </row>
    <row r="432">
      <c r="C432" s="5"/>
      <c r="D432" s="5"/>
    </row>
    <row r="433">
      <c r="C433" s="5"/>
      <c r="D433" s="5"/>
    </row>
    <row r="434">
      <c r="C434" s="5"/>
      <c r="D434" s="5"/>
    </row>
    <row r="435">
      <c r="C435" s="5"/>
      <c r="D435" s="5"/>
    </row>
    <row r="436">
      <c r="C436" s="5"/>
      <c r="D436" s="5"/>
    </row>
    <row r="437">
      <c r="C437" s="5"/>
      <c r="D437" s="5"/>
    </row>
    <row r="438">
      <c r="C438" s="5"/>
      <c r="D438" s="5"/>
    </row>
    <row r="439">
      <c r="C439" s="5"/>
      <c r="D439" s="5"/>
    </row>
    <row r="440">
      <c r="C440" s="5"/>
      <c r="D440" s="5"/>
    </row>
    <row r="441">
      <c r="C441" s="5"/>
      <c r="D441" s="5"/>
    </row>
    <row r="442">
      <c r="C442" s="5"/>
      <c r="D442" s="5"/>
    </row>
    <row r="443">
      <c r="C443" s="5"/>
      <c r="D443" s="5"/>
    </row>
    <row r="444">
      <c r="C444" s="5"/>
      <c r="D444" s="5"/>
    </row>
    <row r="445">
      <c r="C445" s="5"/>
      <c r="D445" s="5"/>
    </row>
    <row r="446">
      <c r="C446" s="5"/>
      <c r="D446" s="5"/>
    </row>
    <row r="447">
      <c r="C447" s="5"/>
      <c r="D447" s="5"/>
    </row>
    <row r="448">
      <c r="C448" s="5"/>
      <c r="D448" s="5"/>
    </row>
    <row r="449">
      <c r="C449" s="5"/>
      <c r="D449" s="5"/>
    </row>
    <row r="450">
      <c r="C450" s="5"/>
      <c r="D450" s="5"/>
    </row>
    <row r="451">
      <c r="C451" s="5"/>
      <c r="D451" s="5"/>
    </row>
    <row r="452">
      <c r="C452" s="5"/>
      <c r="D452" s="5"/>
    </row>
    <row r="453">
      <c r="C453" s="5"/>
      <c r="D453" s="5"/>
    </row>
    <row r="454">
      <c r="C454" s="5"/>
      <c r="D454" s="5"/>
    </row>
    <row r="455">
      <c r="C455" s="5"/>
      <c r="D455" s="5"/>
    </row>
    <row r="456">
      <c r="C456" s="5"/>
      <c r="D456" s="5"/>
    </row>
    <row r="457">
      <c r="C457" s="5"/>
      <c r="D457" s="5"/>
    </row>
    <row r="458">
      <c r="C458" s="5"/>
      <c r="D458" s="5"/>
    </row>
    <row r="459">
      <c r="C459" s="5"/>
      <c r="D459" s="5"/>
    </row>
    <row r="460">
      <c r="C460" s="5"/>
      <c r="D460" s="5"/>
    </row>
    <row r="461">
      <c r="C461" s="5"/>
      <c r="D461" s="5"/>
    </row>
    <row r="462">
      <c r="C462" s="5"/>
      <c r="D462" s="5"/>
    </row>
    <row r="463">
      <c r="C463" s="5"/>
      <c r="D463" s="5"/>
    </row>
    <row r="464">
      <c r="C464" s="5"/>
      <c r="D464" s="5"/>
    </row>
    <row r="465">
      <c r="C465" s="5"/>
      <c r="D465" s="5"/>
    </row>
    <row r="466">
      <c r="C466" s="5"/>
      <c r="D466" s="5"/>
    </row>
    <row r="467">
      <c r="C467" s="5"/>
      <c r="D467" s="5"/>
    </row>
    <row r="468">
      <c r="C468" s="5"/>
      <c r="D468" s="5"/>
    </row>
    <row r="469">
      <c r="C469" s="5"/>
      <c r="D469" s="5"/>
    </row>
    <row r="470">
      <c r="C470" s="5"/>
      <c r="D470" s="5"/>
    </row>
    <row r="471">
      <c r="C471" s="5"/>
      <c r="D471" s="5"/>
    </row>
    <row r="472">
      <c r="C472" s="5"/>
      <c r="D472" s="5"/>
    </row>
    <row r="473">
      <c r="C473" s="5"/>
      <c r="D473" s="5"/>
    </row>
    <row r="474">
      <c r="C474" s="5"/>
      <c r="D474" s="5"/>
    </row>
    <row r="475">
      <c r="C475" s="5"/>
      <c r="D475" s="5"/>
    </row>
    <row r="476">
      <c r="C476" s="5"/>
      <c r="D476" s="5"/>
    </row>
    <row r="477">
      <c r="C477" s="5"/>
      <c r="D477" s="5"/>
    </row>
    <row r="478">
      <c r="C478" s="5"/>
      <c r="D478" s="5"/>
    </row>
    <row r="479">
      <c r="C479" s="5"/>
      <c r="D479" s="5"/>
    </row>
    <row r="480">
      <c r="C480" s="5"/>
      <c r="D480" s="5"/>
    </row>
    <row r="481">
      <c r="C481" s="5"/>
      <c r="D481" s="5"/>
    </row>
    <row r="482">
      <c r="C482" s="5"/>
      <c r="D482" s="5"/>
    </row>
    <row r="483">
      <c r="C483" s="5"/>
      <c r="D483" s="5"/>
    </row>
    <row r="484">
      <c r="C484" s="5"/>
      <c r="D484" s="5"/>
    </row>
    <row r="485">
      <c r="C485" s="5"/>
      <c r="D485" s="5"/>
    </row>
    <row r="486">
      <c r="C486" s="5"/>
      <c r="D486" s="5"/>
    </row>
    <row r="487">
      <c r="C487" s="5"/>
      <c r="D487" s="5"/>
    </row>
    <row r="488">
      <c r="C488" s="5"/>
      <c r="D488" s="5"/>
    </row>
    <row r="489">
      <c r="C489" s="5"/>
      <c r="D489" s="5"/>
    </row>
    <row r="490">
      <c r="C490" s="5"/>
      <c r="D490" s="5"/>
    </row>
    <row r="491">
      <c r="C491" s="5"/>
      <c r="D491" s="5"/>
    </row>
    <row r="492">
      <c r="C492" s="5"/>
      <c r="D492" s="5"/>
    </row>
    <row r="493">
      <c r="C493" s="5"/>
      <c r="D493" s="5"/>
    </row>
    <row r="494">
      <c r="C494" s="5"/>
      <c r="D494" s="5"/>
    </row>
    <row r="495">
      <c r="C495" s="5"/>
      <c r="D495" s="5"/>
    </row>
    <row r="496">
      <c r="C496" s="5"/>
      <c r="D496" s="5"/>
    </row>
    <row r="497">
      <c r="C497" s="5"/>
      <c r="D497" s="5"/>
    </row>
    <row r="498">
      <c r="C498" s="5"/>
      <c r="D498" s="5"/>
    </row>
    <row r="499">
      <c r="C499" s="5"/>
      <c r="D499" s="5"/>
    </row>
    <row r="500">
      <c r="C500" s="5"/>
      <c r="D500" s="5"/>
    </row>
    <row r="501">
      <c r="C501" s="5"/>
      <c r="D501" s="5"/>
    </row>
    <row r="502">
      <c r="C502" s="5"/>
      <c r="D502" s="5"/>
    </row>
    <row r="503">
      <c r="C503" s="5"/>
      <c r="D503" s="5"/>
    </row>
    <row r="504">
      <c r="C504" s="5"/>
      <c r="D504" s="5"/>
    </row>
    <row r="505">
      <c r="C505" s="5"/>
      <c r="D505" s="5"/>
    </row>
    <row r="506">
      <c r="C506" s="5"/>
      <c r="D506" s="5"/>
    </row>
    <row r="507">
      <c r="C507" s="5"/>
      <c r="D507" s="5"/>
    </row>
    <row r="508">
      <c r="C508" s="5"/>
      <c r="D508" s="5"/>
    </row>
    <row r="509">
      <c r="C509" s="5"/>
      <c r="D509" s="5"/>
    </row>
    <row r="510">
      <c r="C510" s="5"/>
      <c r="D510" s="5"/>
    </row>
    <row r="511">
      <c r="C511" s="5"/>
      <c r="D511" s="5"/>
    </row>
    <row r="512">
      <c r="C512" s="5"/>
      <c r="D512" s="5"/>
    </row>
    <row r="513">
      <c r="C513" s="5"/>
      <c r="D513" s="5"/>
    </row>
    <row r="514">
      <c r="C514" s="5"/>
      <c r="D514" s="5"/>
    </row>
    <row r="515">
      <c r="C515" s="5"/>
      <c r="D515" s="5"/>
    </row>
    <row r="516">
      <c r="C516" s="5"/>
      <c r="D516" s="5"/>
    </row>
    <row r="517">
      <c r="C517" s="5"/>
      <c r="D517" s="5"/>
    </row>
    <row r="518">
      <c r="C518" s="5"/>
      <c r="D518" s="5"/>
    </row>
    <row r="519">
      <c r="C519" s="5"/>
      <c r="D519" s="5"/>
    </row>
    <row r="520">
      <c r="C520" s="5"/>
      <c r="D520" s="5"/>
    </row>
    <row r="521">
      <c r="C521" s="5"/>
      <c r="D521" s="5"/>
    </row>
    <row r="522">
      <c r="C522" s="5"/>
      <c r="D522" s="5"/>
    </row>
    <row r="523">
      <c r="C523" s="5"/>
      <c r="D523" s="5"/>
    </row>
    <row r="524">
      <c r="C524" s="5"/>
      <c r="D524" s="5"/>
    </row>
    <row r="525">
      <c r="C525" s="5"/>
      <c r="D525" s="5"/>
    </row>
    <row r="526">
      <c r="C526" s="5"/>
      <c r="D526" s="5"/>
    </row>
    <row r="527">
      <c r="C527" s="5"/>
      <c r="D527" s="5"/>
    </row>
    <row r="528">
      <c r="C528" s="5"/>
      <c r="D528" s="5"/>
    </row>
    <row r="529">
      <c r="C529" s="5"/>
      <c r="D529" s="5"/>
    </row>
    <row r="530">
      <c r="C530" s="5"/>
      <c r="D530" s="5"/>
    </row>
    <row r="531">
      <c r="C531" s="5"/>
      <c r="D531" s="5"/>
    </row>
    <row r="532">
      <c r="C532" s="5"/>
      <c r="D532" s="5"/>
    </row>
    <row r="533">
      <c r="C533" s="5"/>
      <c r="D533" s="5"/>
    </row>
    <row r="534">
      <c r="C534" s="5"/>
      <c r="D534" s="5"/>
    </row>
    <row r="535">
      <c r="C535" s="5"/>
      <c r="D535" s="5"/>
    </row>
    <row r="536">
      <c r="C536" s="5"/>
      <c r="D536" s="5"/>
    </row>
    <row r="537">
      <c r="C537" s="5"/>
      <c r="D537" s="5"/>
    </row>
    <row r="538">
      <c r="C538" s="5"/>
      <c r="D538" s="5"/>
    </row>
    <row r="539">
      <c r="C539" s="5"/>
      <c r="D539" s="5"/>
    </row>
    <row r="540">
      <c r="C540" s="5"/>
      <c r="D540" s="5"/>
    </row>
    <row r="541">
      <c r="C541" s="5"/>
      <c r="D541" s="5"/>
    </row>
    <row r="542">
      <c r="C542" s="5"/>
      <c r="D542" s="5"/>
    </row>
    <row r="543">
      <c r="C543" s="5"/>
      <c r="D543" s="5"/>
    </row>
    <row r="544">
      <c r="C544" s="5"/>
      <c r="D544" s="5"/>
    </row>
    <row r="545">
      <c r="C545" s="5"/>
      <c r="D545" s="5"/>
    </row>
    <row r="546">
      <c r="C546" s="5"/>
      <c r="D546" s="5"/>
    </row>
    <row r="547">
      <c r="C547" s="5"/>
      <c r="D547" s="5"/>
    </row>
    <row r="548">
      <c r="C548" s="5"/>
      <c r="D548" s="5"/>
    </row>
    <row r="549">
      <c r="C549" s="5"/>
      <c r="D549" s="5"/>
    </row>
    <row r="550">
      <c r="C550" s="5"/>
      <c r="D550" s="5"/>
    </row>
    <row r="551">
      <c r="C551" s="5"/>
      <c r="D551" s="5"/>
    </row>
    <row r="552">
      <c r="C552" s="5"/>
      <c r="D552" s="5"/>
    </row>
    <row r="553">
      <c r="C553" s="5"/>
      <c r="D553" s="5"/>
    </row>
    <row r="554">
      <c r="C554" s="5"/>
      <c r="D554" s="5"/>
    </row>
    <row r="555">
      <c r="C555" s="5"/>
      <c r="D555" s="5"/>
    </row>
    <row r="556">
      <c r="C556" s="5"/>
      <c r="D556" s="5"/>
    </row>
    <row r="557">
      <c r="C557" s="5"/>
      <c r="D557" s="5"/>
    </row>
    <row r="558">
      <c r="C558" s="5"/>
      <c r="D558" s="5"/>
    </row>
    <row r="559">
      <c r="C559" s="5"/>
      <c r="D559" s="5"/>
    </row>
    <row r="560">
      <c r="C560" s="5"/>
      <c r="D560" s="5"/>
    </row>
    <row r="561">
      <c r="C561" s="5"/>
      <c r="D561" s="5"/>
    </row>
    <row r="562">
      <c r="C562" s="5"/>
      <c r="D562" s="5"/>
    </row>
    <row r="563">
      <c r="C563" s="5"/>
      <c r="D563" s="5"/>
    </row>
    <row r="564">
      <c r="C564" s="5"/>
      <c r="D564" s="5"/>
    </row>
    <row r="565">
      <c r="C565" s="5"/>
      <c r="D565" s="5"/>
    </row>
    <row r="566">
      <c r="C566" s="5"/>
      <c r="D566" s="5"/>
    </row>
    <row r="567">
      <c r="C567" s="5"/>
      <c r="D567" s="5"/>
    </row>
    <row r="568">
      <c r="C568" s="5"/>
      <c r="D568" s="5"/>
    </row>
    <row r="569">
      <c r="C569" s="5"/>
      <c r="D569" s="5"/>
    </row>
    <row r="570">
      <c r="C570" s="5"/>
      <c r="D570" s="5"/>
    </row>
    <row r="571">
      <c r="C571" s="5"/>
      <c r="D571" s="5"/>
    </row>
    <row r="572">
      <c r="C572" s="5"/>
      <c r="D572" s="5"/>
    </row>
    <row r="573">
      <c r="C573" s="5"/>
      <c r="D573" s="5"/>
    </row>
    <row r="574">
      <c r="C574" s="5"/>
      <c r="D574" s="5"/>
    </row>
    <row r="575">
      <c r="C575" s="5"/>
      <c r="D575" s="5"/>
    </row>
    <row r="576">
      <c r="C576" s="5"/>
      <c r="D576" s="5"/>
    </row>
    <row r="577">
      <c r="C577" s="5"/>
      <c r="D577" s="5"/>
    </row>
    <row r="578">
      <c r="C578" s="5"/>
      <c r="D578" s="5"/>
    </row>
    <row r="579">
      <c r="C579" s="5"/>
      <c r="D579" s="5"/>
    </row>
    <row r="580">
      <c r="C580" s="5"/>
      <c r="D580" s="5"/>
    </row>
    <row r="581">
      <c r="C581" s="5"/>
      <c r="D581" s="5"/>
    </row>
    <row r="582">
      <c r="C582" s="5"/>
      <c r="D582" s="5"/>
    </row>
    <row r="583">
      <c r="C583" s="5"/>
      <c r="D583" s="5"/>
    </row>
    <row r="584">
      <c r="C584" s="5"/>
      <c r="D584" s="5"/>
    </row>
    <row r="585">
      <c r="C585" s="5"/>
      <c r="D585" s="5"/>
    </row>
    <row r="586">
      <c r="C586" s="5"/>
      <c r="D586" s="5"/>
    </row>
    <row r="587">
      <c r="C587" s="5"/>
      <c r="D587" s="5"/>
    </row>
    <row r="588">
      <c r="C588" s="5"/>
      <c r="D588" s="5"/>
    </row>
    <row r="589">
      <c r="C589" s="5"/>
      <c r="D589" s="5"/>
    </row>
    <row r="590">
      <c r="C590" s="5"/>
      <c r="D590" s="5"/>
    </row>
    <row r="591">
      <c r="C591" s="5"/>
      <c r="D591" s="5"/>
    </row>
    <row r="592">
      <c r="C592" s="5"/>
      <c r="D592" s="5"/>
    </row>
    <row r="593">
      <c r="C593" s="5"/>
      <c r="D593" s="5"/>
    </row>
    <row r="594">
      <c r="C594" s="5"/>
      <c r="D594" s="5"/>
    </row>
    <row r="595">
      <c r="C595" s="5"/>
      <c r="D595" s="5"/>
    </row>
    <row r="596">
      <c r="C596" s="5"/>
      <c r="D596" s="5"/>
    </row>
    <row r="597">
      <c r="C597" s="5"/>
      <c r="D597" s="5"/>
    </row>
    <row r="598">
      <c r="C598" s="5"/>
      <c r="D598" s="5"/>
    </row>
    <row r="599">
      <c r="C599" s="5"/>
      <c r="D599" s="5"/>
    </row>
    <row r="600">
      <c r="C600" s="5"/>
      <c r="D600" s="5"/>
    </row>
    <row r="601">
      <c r="C601" s="5"/>
      <c r="D601" s="5"/>
    </row>
    <row r="602">
      <c r="C602" s="5"/>
      <c r="D602" s="5"/>
    </row>
    <row r="603">
      <c r="C603" s="5"/>
      <c r="D603" s="5"/>
    </row>
    <row r="604">
      <c r="C604" s="5"/>
      <c r="D604" s="5"/>
    </row>
    <row r="605">
      <c r="C605" s="5"/>
      <c r="D605" s="5"/>
    </row>
    <row r="606">
      <c r="C606" s="5"/>
      <c r="D606" s="5"/>
    </row>
    <row r="607">
      <c r="C607" s="5"/>
      <c r="D607" s="5"/>
    </row>
    <row r="608">
      <c r="C608" s="5"/>
      <c r="D608" s="5"/>
    </row>
    <row r="609">
      <c r="C609" s="5"/>
      <c r="D609" s="5"/>
    </row>
    <row r="610">
      <c r="C610" s="5"/>
      <c r="D610" s="5"/>
    </row>
    <row r="611">
      <c r="C611" s="5"/>
      <c r="D611" s="5"/>
    </row>
    <row r="612">
      <c r="C612" s="5"/>
      <c r="D612" s="5"/>
    </row>
    <row r="613">
      <c r="C613" s="5"/>
      <c r="D613" s="5"/>
    </row>
    <row r="614">
      <c r="C614" s="5"/>
      <c r="D614" s="5"/>
    </row>
    <row r="615">
      <c r="C615" s="5"/>
      <c r="D615" s="5"/>
    </row>
    <row r="616">
      <c r="C616" s="5"/>
      <c r="D616" s="5"/>
    </row>
    <row r="617">
      <c r="C617" s="5"/>
      <c r="D617" s="5"/>
    </row>
    <row r="618">
      <c r="C618" s="5"/>
      <c r="D618" s="5"/>
    </row>
    <row r="619">
      <c r="C619" s="5"/>
      <c r="D619" s="5"/>
    </row>
    <row r="620">
      <c r="C620" s="5"/>
      <c r="D620" s="5"/>
    </row>
    <row r="621">
      <c r="C621" s="5"/>
      <c r="D621" s="5"/>
    </row>
    <row r="622">
      <c r="C622" s="5"/>
      <c r="D622" s="5"/>
    </row>
    <row r="623">
      <c r="C623" s="5"/>
      <c r="D623" s="5"/>
    </row>
    <row r="624">
      <c r="C624" s="5"/>
      <c r="D624" s="5"/>
    </row>
    <row r="625">
      <c r="C625" s="5"/>
      <c r="D625" s="5"/>
    </row>
    <row r="626">
      <c r="C626" s="5"/>
      <c r="D626" s="5"/>
    </row>
    <row r="627">
      <c r="C627" s="5"/>
      <c r="D627" s="5"/>
    </row>
    <row r="628">
      <c r="C628" s="5"/>
      <c r="D628" s="5"/>
    </row>
    <row r="629">
      <c r="C629" s="5"/>
      <c r="D629" s="5"/>
    </row>
    <row r="630">
      <c r="C630" s="5"/>
      <c r="D630" s="5"/>
    </row>
    <row r="631">
      <c r="C631" s="5"/>
      <c r="D631" s="5"/>
    </row>
    <row r="632">
      <c r="C632" s="5"/>
      <c r="D632" s="5"/>
    </row>
    <row r="633">
      <c r="C633" s="5"/>
      <c r="D633" s="5"/>
    </row>
    <row r="634">
      <c r="C634" s="5"/>
      <c r="D634" s="5"/>
    </row>
    <row r="635">
      <c r="C635" s="5"/>
      <c r="D635" s="5"/>
    </row>
    <row r="636">
      <c r="C636" s="5"/>
      <c r="D636" s="5"/>
    </row>
    <row r="637">
      <c r="C637" s="5"/>
      <c r="D637" s="5"/>
    </row>
    <row r="638">
      <c r="C638" s="5"/>
      <c r="D638" s="5"/>
    </row>
    <row r="639">
      <c r="C639" s="5"/>
      <c r="D639" s="5"/>
    </row>
    <row r="640">
      <c r="C640" s="5"/>
      <c r="D640" s="5"/>
    </row>
    <row r="641">
      <c r="C641" s="5"/>
      <c r="D641" s="5"/>
    </row>
    <row r="642">
      <c r="C642" s="5"/>
      <c r="D642" s="5"/>
    </row>
    <row r="643">
      <c r="C643" s="5"/>
      <c r="D643" s="5"/>
    </row>
    <row r="644">
      <c r="C644" s="5"/>
      <c r="D644" s="5"/>
    </row>
    <row r="645">
      <c r="C645" s="5"/>
      <c r="D645" s="5"/>
    </row>
    <row r="646">
      <c r="C646" s="5"/>
      <c r="D646" s="5"/>
    </row>
    <row r="647">
      <c r="C647" s="5"/>
      <c r="D647" s="5"/>
    </row>
    <row r="648">
      <c r="C648" s="5"/>
      <c r="D648" s="5"/>
    </row>
    <row r="649">
      <c r="C649" s="5"/>
      <c r="D649" s="5"/>
    </row>
    <row r="650">
      <c r="C650" s="5"/>
      <c r="D650" s="5"/>
    </row>
    <row r="651">
      <c r="C651" s="5"/>
      <c r="D651" s="5"/>
    </row>
    <row r="652">
      <c r="C652" s="5"/>
      <c r="D652" s="5"/>
    </row>
    <row r="653">
      <c r="C653" s="5"/>
      <c r="D653" s="5"/>
    </row>
    <row r="654">
      <c r="C654" s="5"/>
      <c r="D654" s="5"/>
    </row>
    <row r="655">
      <c r="C655" s="5"/>
      <c r="D655" s="5"/>
    </row>
    <row r="656">
      <c r="C656" s="5"/>
      <c r="D656" s="5"/>
    </row>
    <row r="657">
      <c r="C657" s="5"/>
      <c r="D657" s="5"/>
    </row>
    <row r="658">
      <c r="C658" s="5"/>
      <c r="D658" s="5"/>
    </row>
    <row r="659">
      <c r="C659" s="5"/>
      <c r="D659" s="5"/>
    </row>
    <row r="660">
      <c r="C660" s="5"/>
      <c r="D660" s="5"/>
    </row>
    <row r="661">
      <c r="C661" s="5"/>
      <c r="D661" s="5"/>
    </row>
    <row r="662">
      <c r="C662" s="5"/>
      <c r="D662" s="5"/>
    </row>
    <row r="663">
      <c r="C663" s="5"/>
      <c r="D663" s="5"/>
    </row>
    <row r="664">
      <c r="C664" s="5"/>
      <c r="D664" s="5"/>
    </row>
    <row r="665">
      <c r="C665" s="5"/>
      <c r="D665" s="5"/>
    </row>
    <row r="666">
      <c r="C666" s="5"/>
      <c r="D666" s="5"/>
    </row>
    <row r="667">
      <c r="C667" s="5"/>
      <c r="D667" s="5"/>
    </row>
    <row r="668">
      <c r="C668" s="5"/>
      <c r="D668" s="5"/>
    </row>
    <row r="669">
      <c r="C669" s="5"/>
      <c r="D669" s="5"/>
    </row>
    <row r="670">
      <c r="C670" s="5"/>
      <c r="D670" s="5"/>
    </row>
    <row r="671">
      <c r="C671" s="5"/>
      <c r="D671" s="5"/>
    </row>
    <row r="672">
      <c r="C672" s="5"/>
      <c r="D672" s="5"/>
    </row>
    <row r="673">
      <c r="C673" s="5"/>
      <c r="D673" s="5"/>
    </row>
    <row r="674">
      <c r="C674" s="5"/>
      <c r="D674" s="5"/>
    </row>
    <row r="675">
      <c r="C675" s="5"/>
      <c r="D675" s="5"/>
    </row>
    <row r="676">
      <c r="C676" s="5"/>
      <c r="D676" s="5"/>
    </row>
    <row r="677">
      <c r="C677" s="5"/>
      <c r="D677" s="5"/>
    </row>
    <row r="678">
      <c r="C678" s="5"/>
      <c r="D678" s="5"/>
    </row>
    <row r="679">
      <c r="C679" s="5"/>
      <c r="D679" s="5"/>
    </row>
    <row r="680">
      <c r="C680" s="5"/>
      <c r="D680" s="5"/>
    </row>
    <row r="681">
      <c r="C681" s="5"/>
      <c r="D681" s="5"/>
    </row>
    <row r="682">
      <c r="C682" s="5"/>
      <c r="D682" s="5"/>
    </row>
    <row r="683">
      <c r="C683" s="5"/>
      <c r="D683" s="5"/>
    </row>
    <row r="684">
      <c r="C684" s="5"/>
      <c r="D684" s="5"/>
    </row>
    <row r="685">
      <c r="C685" s="5"/>
      <c r="D685" s="5"/>
    </row>
    <row r="686">
      <c r="C686" s="5"/>
      <c r="D686" s="5"/>
    </row>
    <row r="687">
      <c r="C687" s="5"/>
      <c r="D687" s="5"/>
    </row>
    <row r="688">
      <c r="C688" s="5"/>
      <c r="D688" s="5"/>
    </row>
    <row r="689">
      <c r="C689" s="5"/>
      <c r="D689" s="5"/>
    </row>
    <row r="690">
      <c r="C690" s="5"/>
      <c r="D690" s="5"/>
    </row>
  </sheetData>
  <conditionalFormatting sqref="C1:C2 D3:D4 C6 D6:D10 C9:C690">
    <cfRule type="containsText" dxfId="0" priority="1" operator="containsText" text="yes">
      <formula>NOT(ISERROR(SEARCH(("yes"),(C1))))</formula>
    </cfRule>
  </conditionalFormatting>
  <conditionalFormatting sqref="C1:C2 D3:D4 C6 D6:D10 C9:C690">
    <cfRule type="containsText" dxfId="1" priority="2" operator="containsText" text="decent">
      <formula>NOT(ISERROR(SEARCH(("decent"),(C1))))</formula>
    </cfRule>
  </conditionalFormatting>
  <conditionalFormatting sqref="C1:C2 D3:D4 C6 D6:D10 C9:C690">
    <cfRule type="containsText" dxfId="2" priority="3" operator="containsText" text="maybe">
      <formula>NOT(ISERROR(SEARCH(("maybe"),(C1))))</formula>
    </cfRule>
  </conditionalFormatting>
  <conditionalFormatting sqref="C1:C2 D3:D4 C6 D6:D10 C9:C690">
    <cfRule type="containsText" dxfId="3" priority="4" operator="containsText" text="no">
      <formula>NOT(ISERROR(SEARCH(("no"),(C1))))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2" max="4" width="20.88"/>
  </cols>
  <sheetData>
    <row r="1">
      <c r="A1" s="1" t="s">
        <v>0</v>
      </c>
      <c r="B1" s="1" t="s">
        <v>1</v>
      </c>
      <c r="C1" s="3" t="s">
        <v>5</v>
      </c>
      <c r="D1" s="3" t="s">
        <v>4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</row>
    <row r="2">
      <c r="A2" s="1" t="s">
        <v>188</v>
      </c>
      <c r="B2" s="1" t="s">
        <v>22</v>
      </c>
      <c r="C2" s="3"/>
      <c r="D2" s="3"/>
      <c r="E2" s="1" t="str">
        <f>IFERROR(__xludf.DUMMYFUNCTION("IFERROR(REGEXEXTRACT(A2, ""res(269|122)""), ""none"")"),"122")</f>
        <v>122</v>
      </c>
      <c r="F2" s="1">
        <v>-15.535781</v>
      </c>
      <c r="G2" s="1">
        <v>9.0</v>
      </c>
      <c r="H2" s="1">
        <v>3.0</v>
      </c>
      <c r="I2" s="1">
        <v>0.444444</v>
      </c>
      <c r="J2" s="1">
        <v>2.0</v>
      </c>
      <c r="K2" s="1">
        <v>-1.719191</v>
      </c>
      <c r="L2" s="1">
        <v>100.0</v>
      </c>
      <c r="M2" s="1">
        <v>0.0</v>
      </c>
      <c r="N2" s="1">
        <v>0.0</v>
      </c>
      <c r="O2" s="1">
        <v>97.189472</v>
      </c>
    </row>
    <row r="3">
      <c r="A3" s="1" t="s">
        <v>882</v>
      </c>
      <c r="B3" s="1" t="s">
        <v>883</v>
      </c>
      <c r="C3" s="3"/>
      <c r="D3" s="3"/>
      <c r="E3" s="1" t="str">
        <f>IFERROR(__xludf.DUMMYFUNCTION("IFERROR(REGEXEXTRACT(A3, ""res(269|122)""), ""none"")"),"122")</f>
        <v>122</v>
      </c>
      <c r="F3" s="1">
        <v>-15.909327</v>
      </c>
      <c r="G3" s="1">
        <v>10.0</v>
      </c>
      <c r="H3" s="1">
        <v>4.0</v>
      </c>
      <c r="I3" s="1">
        <v>0.3</v>
      </c>
      <c r="J3" s="1">
        <v>2.0</v>
      </c>
      <c r="K3" s="1">
        <v>-0.838915</v>
      </c>
      <c r="L3" s="1">
        <v>100.0</v>
      </c>
      <c r="M3" s="1">
        <v>0.0</v>
      </c>
      <c r="N3" s="1">
        <v>0.0</v>
      </c>
      <c r="O3" s="1">
        <v>99.551758</v>
      </c>
    </row>
    <row r="4">
      <c r="A4" s="1" t="s">
        <v>884</v>
      </c>
      <c r="B4" s="1" t="s">
        <v>885</v>
      </c>
      <c r="C4" s="3"/>
      <c r="D4" s="3"/>
      <c r="E4" s="1" t="str">
        <f>IFERROR(__xludf.DUMMYFUNCTION("IFERROR(REGEXEXTRACT(A4, ""res(269|122)""), ""none"")"),"122")</f>
        <v>122</v>
      </c>
      <c r="F4" s="1">
        <v>-15.853293</v>
      </c>
      <c r="G4" s="1">
        <v>10.0</v>
      </c>
      <c r="H4" s="1">
        <v>3.0</v>
      </c>
      <c r="I4" s="1">
        <v>0.3</v>
      </c>
      <c r="J4" s="1">
        <v>3.0</v>
      </c>
      <c r="K4" s="1">
        <v>-0.169824</v>
      </c>
      <c r="L4" s="1">
        <v>100.0</v>
      </c>
      <c r="M4" s="1">
        <v>0.0</v>
      </c>
      <c r="N4" s="1">
        <v>0.0</v>
      </c>
      <c r="O4" s="1">
        <v>100.276883</v>
      </c>
    </row>
    <row r="5">
      <c r="A5" s="1" t="s">
        <v>886</v>
      </c>
      <c r="B5" s="1" t="s">
        <v>887</v>
      </c>
      <c r="C5" s="3"/>
      <c r="D5" s="3"/>
      <c r="E5" s="1" t="str">
        <f>IFERROR(__xludf.DUMMYFUNCTION("IFERROR(REGEXEXTRACT(A5, ""res(269|122)""), ""none"")"),"122")</f>
        <v>122</v>
      </c>
      <c r="F5" s="1">
        <v>-15.314097</v>
      </c>
      <c r="G5" s="1">
        <v>10.0</v>
      </c>
      <c r="H5" s="1">
        <v>4.0</v>
      </c>
      <c r="I5" s="1">
        <v>0.3</v>
      </c>
      <c r="J5" s="1">
        <v>2.0</v>
      </c>
      <c r="K5" s="1">
        <v>-1.339481</v>
      </c>
      <c r="L5" s="1">
        <v>100.0</v>
      </c>
      <c r="M5" s="1">
        <v>0.0</v>
      </c>
      <c r="N5" s="1">
        <v>0.0</v>
      </c>
      <c r="O5" s="1">
        <v>99.646422</v>
      </c>
    </row>
    <row r="6">
      <c r="A6" s="1" t="s">
        <v>189</v>
      </c>
      <c r="B6" s="1" t="s">
        <v>190</v>
      </c>
      <c r="C6" s="3"/>
      <c r="D6" s="3"/>
      <c r="E6" s="1" t="str">
        <f>IFERROR(__xludf.DUMMYFUNCTION("IFERROR(REGEXEXTRACT(A6, ""res(269|122)""), ""none"")"),"122")</f>
        <v>122</v>
      </c>
      <c r="F6" s="1">
        <v>-17.372141</v>
      </c>
      <c r="G6" s="1">
        <v>10.0</v>
      </c>
      <c r="H6" s="1">
        <v>2.0</v>
      </c>
      <c r="I6" s="1">
        <v>0.3</v>
      </c>
      <c r="J6" s="1">
        <v>2.0</v>
      </c>
      <c r="K6" s="1">
        <v>-1.44699499999999</v>
      </c>
      <c r="L6" s="1">
        <v>100.0</v>
      </c>
      <c r="M6" s="1">
        <v>0.0</v>
      </c>
      <c r="N6" s="1">
        <v>0.0</v>
      </c>
      <c r="O6" s="1">
        <v>95.480864</v>
      </c>
    </row>
    <row r="7">
      <c r="A7" s="1" t="s">
        <v>888</v>
      </c>
      <c r="B7" s="1" t="s">
        <v>889</v>
      </c>
      <c r="C7" s="3"/>
      <c r="D7" s="3"/>
      <c r="E7" s="1" t="str">
        <f>IFERROR(__xludf.DUMMYFUNCTION("IFERROR(REGEXEXTRACT(A7, ""res(269|122)""), ""none"")"),"122")</f>
        <v>122</v>
      </c>
      <c r="F7" s="1">
        <v>-15.270707</v>
      </c>
      <c r="G7" s="1">
        <v>10.0</v>
      </c>
      <c r="H7" s="1">
        <v>3.0</v>
      </c>
      <c r="I7" s="1">
        <v>0.4</v>
      </c>
      <c r="J7" s="1">
        <v>2.0</v>
      </c>
      <c r="K7" s="1">
        <v>-1.180542</v>
      </c>
      <c r="L7" s="1">
        <v>100.0</v>
      </c>
      <c r="M7" s="1">
        <v>0.0</v>
      </c>
      <c r="N7" s="1">
        <v>0.0</v>
      </c>
      <c r="O7" s="1">
        <v>98.948751</v>
      </c>
    </row>
    <row r="8">
      <c r="A8" s="1" t="s">
        <v>890</v>
      </c>
      <c r="B8" s="1" t="s">
        <v>891</v>
      </c>
      <c r="C8" s="3"/>
      <c r="D8" s="3"/>
      <c r="E8" s="1" t="str">
        <f>IFERROR(__xludf.DUMMYFUNCTION("IFERROR(REGEXEXTRACT(A8, ""res(269|122)""), ""none"")"),"122")</f>
        <v>122</v>
      </c>
      <c r="F8" s="1">
        <v>-15.966543</v>
      </c>
      <c r="G8" s="1">
        <v>7.0</v>
      </c>
      <c r="H8" s="1">
        <v>5.0</v>
      </c>
      <c r="I8" s="1">
        <v>0.571429</v>
      </c>
      <c r="J8" s="1">
        <v>2.0</v>
      </c>
      <c r="K8" s="1">
        <v>-0.746181</v>
      </c>
      <c r="L8" s="1">
        <v>100.0</v>
      </c>
      <c r="M8" s="1">
        <v>0.0</v>
      </c>
      <c r="N8" s="1">
        <v>0.0</v>
      </c>
      <c r="O8" s="1">
        <v>97.858705</v>
      </c>
    </row>
    <row r="9">
      <c r="A9" s="1" t="s">
        <v>191</v>
      </c>
      <c r="B9" s="1" t="s">
        <v>192</v>
      </c>
      <c r="C9" s="3"/>
      <c r="D9" s="3"/>
      <c r="E9" s="1" t="str">
        <f>IFERROR(__xludf.DUMMYFUNCTION("IFERROR(REGEXEXTRACT(A9, ""res(269|122)""), ""none"")"),"122")</f>
        <v>122</v>
      </c>
      <c r="F9" s="1">
        <v>-15.13854</v>
      </c>
      <c r="G9" s="1">
        <v>9.0</v>
      </c>
      <c r="H9" s="1">
        <v>4.0</v>
      </c>
      <c r="I9" s="1">
        <v>0.333333</v>
      </c>
      <c r="J9" s="1">
        <v>2.0</v>
      </c>
      <c r="K9" s="1">
        <v>-1.065005</v>
      </c>
      <c r="L9" s="1">
        <v>100.0</v>
      </c>
      <c r="M9" s="1">
        <v>0.0</v>
      </c>
      <c r="N9" s="1">
        <v>0.0</v>
      </c>
      <c r="O9" s="1">
        <v>99.129788</v>
      </c>
    </row>
    <row r="10">
      <c r="A10" s="1" t="s">
        <v>193</v>
      </c>
      <c r="B10" s="1" t="s">
        <v>194</v>
      </c>
      <c r="C10" s="3"/>
      <c r="D10" s="3"/>
      <c r="E10" s="1" t="str">
        <f>IFERROR(__xludf.DUMMYFUNCTION("IFERROR(REGEXEXTRACT(A10, ""res(269|122)""), ""none"")"),"122")</f>
        <v>122</v>
      </c>
      <c r="F10" s="1">
        <v>-15.55909</v>
      </c>
      <c r="G10" s="1">
        <v>12.0</v>
      </c>
      <c r="H10" s="1">
        <v>4.0</v>
      </c>
      <c r="I10" s="1">
        <v>0.25</v>
      </c>
      <c r="J10" s="1">
        <v>2.0</v>
      </c>
      <c r="K10" s="1">
        <v>-0.857348</v>
      </c>
      <c r="L10" s="1">
        <v>100.0</v>
      </c>
      <c r="M10" s="1">
        <v>0.0</v>
      </c>
      <c r="N10" s="1">
        <v>0.0</v>
      </c>
      <c r="O10" s="1">
        <v>101.833562</v>
      </c>
    </row>
    <row r="11">
      <c r="A11" s="1" t="s">
        <v>892</v>
      </c>
      <c r="B11" s="1" t="s">
        <v>893</v>
      </c>
      <c r="C11" s="3"/>
      <c r="D11" s="3"/>
      <c r="E11" s="1" t="str">
        <f>IFERROR(__xludf.DUMMYFUNCTION("IFERROR(REGEXEXTRACT(A11, ""res(269|122)""), ""none"")"),"122")</f>
        <v>122</v>
      </c>
      <c r="F11" s="1">
        <v>-15.352621</v>
      </c>
      <c r="G11" s="1">
        <v>9.0</v>
      </c>
      <c r="H11" s="1">
        <v>3.0</v>
      </c>
      <c r="I11" s="1">
        <v>0.333333</v>
      </c>
      <c r="J11" s="1">
        <v>2.0</v>
      </c>
      <c r="K11" s="1">
        <v>-0.609783</v>
      </c>
      <c r="L11" s="1">
        <v>100.0</v>
      </c>
      <c r="M11" s="1">
        <v>0.0</v>
      </c>
      <c r="N11" s="1">
        <v>0.0</v>
      </c>
      <c r="O11" s="1">
        <v>98.370929</v>
      </c>
    </row>
    <row r="12">
      <c r="A12" s="1" t="s">
        <v>894</v>
      </c>
      <c r="B12" s="1" t="s">
        <v>895</v>
      </c>
      <c r="C12" s="3"/>
      <c r="D12" s="3"/>
      <c r="E12" s="1" t="str">
        <f>IFERROR(__xludf.DUMMYFUNCTION("IFERROR(REGEXEXTRACT(A12, ""res(269|122)""), ""none"")"),"122")</f>
        <v>122</v>
      </c>
      <c r="F12" s="1">
        <v>-16.976415</v>
      </c>
      <c r="G12" s="1">
        <v>10.0</v>
      </c>
      <c r="H12" s="1">
        <v>3.0</v>
      </c>
      <c r="I12" s="1">
        <v>0.3</v>
      </c>
      <c r="J12" s="1">
        <v>2.0</v>
      </c>
      <c r="K12" s="1">
        <v>-0.947909</v>
      </c>
      <c r="L12" s="1">
        <v>100.0</v>
      </c>
      <c r="M12" s="1">
        <v>0.0</v>
      </c>
      <c r="N12" s="1">
        <v>0.0</v>
      </c>
      <c r="O12" s="1">
        <v>97.375676</v>
      </c>
    </row>
    <row r="13">
      <c r="A13" s="1" t="s">
        <v>195</v>
      </c>
      <c r="B13" s="1" t="s">
        <v>196</v>
      </c>
      <c r="C13" s="3"/>
      <c r="D13" s="3"/>
      <c r="E13" s="1" t="str">
        <f>IFERROR(__xludf.DUMMYFUNCTION("IFERROR(REGEXEXTRACT(A13, ""res(269|122)""), ""none"")"),"122")</f>
        <v>122</v>
      </c>
      <c r="F13" s="1">
        <v>-16.502904</v>
      </c>
      <c r="G13" s="1">
        <v>8.0</v>
      </c>
      <c r="H13" s="1">
        <v>3.0</v>
      </c>
      <c r="I13" s="1">
        <v>0.25</v>
      </c>
      <c r="J13" s="1">
        <v>3.0</v>
      </c>
      <c r="K13" s="1">
        <v>-0.998347</v>
      </c>
      <c r="L13" s="1">
        <v>100.0</v>
      </c>
      <c r="M13" s="1">
        <v>0.0</v>
      </c>
      <c r="N13" s="1">
        <v>0.0</v>
      </c>
      <c r="O13" s="1">
        <v>96.748749</v>
      </c>
    </row>
    <row r="14">
      <c r="A14" s="1" t="s">
        <v>197</v>
      </c>
      <c r="B14" s="1" t="s">
        <v>94</v>
      </c>
      <c r="C14" s="3"/>
      <c r="D14" s="3"/>
      <c r="E14" s="1" t="str">
        <f>IFERROR(__xludf.DUMMYFUNCTION("IFERROR(REGEXEXTRACT(A14, ""res(269|122)""), ""none"")"),"122")</f>
        <v>122</v>
      </c>
      <c r="F14" s="1">
        <v>-16.222639</v>
      </c>
      <c r="G14" s="1">
        <v>10.0</v>
      </c>
      <c r="H14" s="1">
        <v>3.0</v>
      </c>
      <c r="I14" s="1">
        <v>0.3</v>
      </c>
      <c r="J14" s="1">
        <v>2.0</v>
      </c>
      <c r="K14" s="1">
        <v>-1.763647</v>
      </c>
      <c r="L14" s="1">
        <v>100.0</v>
      </c>
      <c r="M14" s="1">
        <v>0.0</v>
      </c>
      <c r="N14" s="1">
        <v>0.0</v>
      </c>
      <c r="O14" s="1">
        <v>97.313714</v>
      </c>
    </row>
    <row r="15">
      <c r="A15" s="1" t="s">
        <v>198</v>
      </c>
      <c r="B15" s="1" t="s">
        <v>30</v>
      </c>
      <c r="C15" s="3"/>
      <c r="D15" s="3"/>
      <c r="E15" s="1" t="str">
        <f>IFERROR(__xludf.DUMMYFUNCTION("IFERROR(REGEXEXTRACT(A15, ""res(269|122)""), ""none"")"),"122")</f>
        <v>122</v>
      </c>
      <c r="F15" s="1">
        <v>-15.296063</v>
      </c>
      <c r="G15" s="1">
        <v>8.0</v>
      </c>
      <c r="H15" s="1">
        <v>3.0</v>
      </c>
      <c r="I15" s="1">
        <v>0.25</v>
      </c>
      <c r="J15" s="1">
        <v>2.0</v>
      </c>
      <c r="K15" s="1">
        <v>-1.293353</v>
      </c>
      <c r="L15" s="1">
        <v>100.0</v>
      </c>
      <c r="M15" s="1">
        <v>0.0</v>
      </c>
      <c r="N15" s="1">
        <v>0.0</v>
      </c>
      <c r="O15" s="1">
        <v>96.660584</v>
      </c>
    </row>
    <row r="16">
      <c r="A16" s="1" t="s">
        <v>896</v>
      </c>
      <c r="B16" s="1" t="s">
        <v>897</v>
      </c>
      <c r="C16" s="3"/>
      <c r="D16" s="3"/>
      <c r="E16" s="1" t="str">
        <f>IFERROR(__xludf.DUMMYFUNCTION("IFERROR(REGEXEXTRACT(A16, ""res(269|122)""), ""none"")"),"122")</f>
        <v>122</v>
      </c>
      <c r="F16" s="1">
        <v>-15.173012</v>
      </c>
      <c r="G16" s="1">
        <v>10.0</v>
      </c>
      <c r="H16" s="1">
        <v>4.0</v>
      </c>
      <c r="I16" s="1">
        <v>0.3</v>
      </c>
      <c r="J16" s="1">
        <v>2.0</v>
      </c>
      <c r="K16" s="1">
        <v>-1.39177</v>
      </c>
      <c r="L16" s="1">
        <v>100.0</v>
      </c>
      <c r="M16" s="1">
        <v>0.0</v>
      </c>
      <c r="N16" s="1">
        <v>0.0</v>
      </c>
      <c r="O16" s="1">
        <v>99.735218</v>
      </c>
    </row>
    <row r="17">
      <c r="A17" s="1" t="s">
        <v>199</v>
      </c>
      <c r="B17" s="1" t="s">
        <v>200</v>
      </c>
      <c r="C17" s="3"/>
      <c r="D17" s="3"/>
      <c r="E17" s="1" t="str">
        <f>IFERROR(__xludf.DUMMYFUNCTION("IFERROR(REGEXEXTRACT(A17, ""res(269|122)""), ""none"")"),"122")</f>
        <v>122</v>
      </c>
      <c r="F17" s="1">
        <v>-15.047575</v>
      </c>
      <c r="G17" s="1">
        <v>8.0</v>
      </c>
      <c r="H17" s="1">
        <v>4.0</v>
      </c>
      <c r="I17" s="1">
        <v>0.25</v>
      </c>
      <c r="J17" s="1">
        <v>2.0</v>
      </c>
      <c r="K17" s="1">
        <v>-1.824829</v>
      </c>
      <c r="L17" s="1">
        <v>100.0</v>
      </c>
      <c r="M17" s="1">
        <v>0.0</v>
      </c>
      <c r="N17" s="1">
        <v>0.0</v>
      </c>
      <c r="O17" s="1">
        <v>97.377596</v>
      </c>
    </row>
    <row r="18">
      <c r="A18" s="1" t="s">
        <v>898</v>
      </c>
      <c r="B18" s="1" t="s">
        <v>899</v>
      </c>
      <c r="C18" s="3"/>
      <c r="D18" s="3"/>
      <c r="E18" s="1" t="str">
        <f>IFERROR(__xludf.DUMMYFUNCTION("IFERROR(REGEXEXTRACT(A18, ""res(269|122)""), ""none"")"),"122")</f>
        <v>122</v>
      </c>
      <c r="F18" s="1">
        <v>-15.089032</v>
      </c>
      <c r="G18" s="1">
        <v>11.0</v>
      </c>
      <c r="H18" s="1">
        <v>4.0</v>
      </c>
      <c r="I18" s="1">
        <v>0.272727</v>
      </c>
      <c r="J18" s="1">
        <v>2.0</v>
      </c>
      <c r="K18" s="1">
        <v>-0.598739999999999</v>
      </c>
      <c r="L18" s="1">
        <v>100.0</v>
      </c>
      <c r="M18" s="1">
        <v>0.0</v>
      </c>
      <c r="N18" s="1">
        <v>0.0</v>
      </c>
      <c r="O18" s="1">
        <v>101.584955</v>
      </c>
    </row>
    <row r="19">
      <c r="A19" s="1" t="s">
        <v>201</v>
      </c>
      <c r="B19" s="1" t="s">
        <v>35</v>
      </c>
      <c r="C19" s="3"/>
      <c r="D19" s="3"/>
      <c r="E19" s="1" t="str">
        <f>IFERROR(__xludf.DUMMYFUNCTION("IFERROR(REGEXEXTRACT(A19, ""res(269|122)""), ""none"")"),"122")</f>
        <v>122</v>
      </c>
      <c r="F19" s="1">
        <v>-15.950047</v>
      </c>
      <c r="G19" s="1">
        <v>7.0</v>
      </c>
      <c r="H19" s="1">
        <v>3.0</v>
      </c>
      <c r="I19" s="1">
        <v>0.285714</v>
      </c>
      <c r="J19" s="1">
        <v>3.0</v>
      </c>
      <c r="K19" s="1">
        <v>-1.505897</v>
      </c>
      <c r="L19" s="1">
        <v>100.0</v>
      </c>
      <c r="M19" s="1">
        <v>0.0</v>
      </c>
      <c r="N19" s="1">
        <v>0.0</v>
      </c>
      <c r="O19" s="1">
        <v>95.82977</v>
      </c>
    </row>
    <row r="20">
      <c r="A20" s="1" t="s">
        <v>900</v>
      </c>
      <c r="B20" s="1" t="s">
        <v>901</v>
      </c>
      <c r="C20" s="3"/>
      <c r="D20" s="3"/>
      <c r="E20" s="1" t="str">
        <f>IFERROR(__xludf.DUMMYFUNCTION("IFERROR(REGEXEXTRACT(A20, ""res(269|122)""), ""none"")"),"122")</f>
        <v>122</v>
      </c>
      <c r="F20" s="1">
        <v>-15.476784</v>
      </c>
      <c r="G20" s="1">
        <v>9.0</v>
      </c>
      <c r="H20" s="1">
        <v>3.0</v>
      </c>
      <c r="I20" s="1">
        <v>0.333333</v>
      </c>
      <c r="J20" s="1">
        <v>2.0</v>
      </c>
      <c r="K20" s="1">
        <v>-1.337507</v>
      </c>
      <c r="L20" s="1">
        <v>100.0</v>
      </c>
      <c r="M20" s="1">
        <v>0.0</v>
      </c>
      <c r="N20" s="1">
        <v>0.0</v>
      </c>
      <c r="O20" s="1">
        <v>97.519042</v>
      </c>
    </row>
    <row r="21">
      <c r="A21" s="1" t="s">
        <v>902</v>
      </c>
      <c r="B21" s="1" t="s">
        <v>903</v>
      </c>
      <c r="C21" s="3"/>
      <c r="D21" s="3"/>
      <c r="E21" s="1" t="str">
        <f>IFERROR(__xludf.DUMMYFUNCTION("IFERROR(REGEXEXTRACT(A21, ""res(269|122)""), ""none"")"),"122")</f>
        <v>122</v>
      </c>
      <c r="F21" s="1">
        <v>-15.805707</v>
      </c>
      <c r="G21" s="1">
        <v>11.0</v>
      </c>
      <c r="H21" s="1">
        <v>4.0</v>
      </c>
      <c r="I21" s="1">
        <v>0.454545</v>
      </c>
      <c r="J21" s="1">
        <v>2.0</v>
      </c>
      <c r="K21" s="1">
        <v>-1.318406</v>
      </c>
      <c r="L21" s="1">
        <v>100.0</v>
      </c>
      <c r="M21" s="1">
        <v>0.0</v>
      </c>
      <c r="N21" s="1">
        <v>0.0</v>
      </c>
      <c r="O21" s="1">
        <v>100.330432</v>
      </c>
    </row>
    <row r="22">
      <c r="A22" s="1" t="s">
        <v>202</v>
      </c>
      <c r="B22" s="1" t="s">
        <v>203</v>
      </c>
      <c r="C22" s="3"/>
      <c r="D22" s="3"/>
      <c r="E22" s="1" t="str">
        <f>IFERROR(__xludf.DUMMYFUNCTION("IFERROR(REGEXEXTRACT(A22, ""res(269|122)""), ""none"")"),"122")</f>
        <v>122</v>
      </c>
      <c r="F22" s="1">
        <v>-15.642859</v>
      </c>
      <c r="G22" s="1">
        <v>11.0</v>
      </c>
      <c r="H22" s="1">
        <v>3.0</v>
      </c>
      <c r="I22" s="1">
        <v>0.272727</v>
      </c>
      <c r="J22" s="1">
        <v>2.0</v>
      </c>
      <c r="K22" s="1">
        <v>-1.1816</v>
      </c>
      <c r="L22" s="1">
        <v>100.0</v>
      </c>
      <c r="M22" s="1">
        <v>0.0</v>
      </c>
      <c r="N22" s="1">
        <v>0.0</v>
      </c>
      <c r="O22" s="1">
        <v>99.448268</v>
      </c>
    </row>
    <row r="23">
      <c r="A23" s="1" t="s">
        <v>904</v>
      </c>
      <c r="B23" s="1" t="s">
        <v>905</v>
      </c>
      <c r="C23" s="3"/>
      <c r="D23" s="3"/>
      <c r="E23" s="1" t="str">
        <f>IFERROR(__xludf.DUMMYFUNCTION("IFERROR(REGEXEXTRACT(A23, ""res(269|122)""), ""none"")"),"122")</f>
        <v>122</v>
      </c>
      <c r="F23" s="1">
        <v>-15.38509</v>
      </c>
      <c r="G23" s="1">
        <v>9.0</v>
      </c>
      <c r="H23" s="1">
        <v>4.0</v>
      </c>
      <c r="I23" s="1">
        <v>0.333333</v>
      </c>
      <c r="J23" s="1">
        <v>2.0</v>
      </c>
      <c r="K23" s="1">
        <v>-1.023251</v>
      </c>
      <c r="L23" s="1">
        <v>100.0</v>
      </c>
      <c r="M23" s="1">
        <v>0.0</v>
      </c>
      <c r="N23" s="1">
        <v>0.0</v>
      </c>
      <c r="O23" s="1">
        <v>98.924992</v>
      </c>
    </row>
    <row r="24">
      <c r="A24" s="1" t="s">
        <v>906</v>
      </c>
      <c r="B24" s="1" t="s">
        <v>907</v>
      </c>
      <c r="C24" s="3"/>
      <c r="D24" s="3"/>
      <c r="E24" s="1" t="str">
        <f>IFERROR(__xludf.DUMMYFUNCTION("IFERROR(REGEXEXTRACT(A24, ""res(269|122)""), ""none"")"),"122")</f>
        <v>122</v>
      </c>
      <c r="F24" s="1">
        <v>-15.399542</v>
      </c>
      <c r="G24" s="1">
        <v>10.0</v>
      </c>
      <c r="H24" s="1">
        <v>2.0</v>
      </c>
      <c r="I24" s="1">
        <v>0.6</v>
      </c>
      <c r="J24" s="1">
        <v>2.0</v>
      </c>
      <c r="K24" s="1">
        <v>-0.613366</v>
      </c>
      <c r="L24" s="1">
        <v>100.0</v>
      </c>
      <c r="M24" s="1">
        <v>0.0</v>
      </c>
      <c r="N24" s="1">
        <v>0.0</v>
      </c>
      <c r="O24" s="1">
        <v>98.587092</v>
      </c>
    </row>
    <row r="25">
      <c r="A25" s="1" t="s">
        <v>204</v>
      </c>
      <c r="B25" s="1" t="s">
        <v>99</v>
      </c>
      <c r="C25" s="3"/>
      <c r="D25" s="3"/>
      <c r="E25" s="1" t="str">
        <f>IFERROR(__xludf.DUMMYFUNCTION("IFERROR(REGEXEXTRACT(A25, ""res(269|122)""), ""none"")"),"122")</f>
        <v>122</v>
      </c>
      <c r="F25" s="1">
        <v>-15.476613</v>
      </c>
      <c r="G25" s="1">
        <v>12.0</v>
      </c>
      <c r="H25" s="1">
        <v>4.0</v>
      </c>
      <c r="I25" s="1">
        <v>0.333333</v>
      </c>
      <c r="J25" s="1">
        <v>2.0</v>
      </c>
      <c r="K25" s="1">
        <v>-0.623346</v>
      </c>
      <c r="L25" s="1">
        <v>100.0</v>
      </c>
      <c r="M25" s="1">
        <v>0.0</v>
      </c>
      <c r="N25" s="1">
        <v>0.0</v>
      </c>
      <c r="O25" s="1">
        <v>102.233374</v>
      </c>
    </row>
    <row r="26">
      <c r="A26" s="1" t="s">
        <v>205</v>
      </c>
      <c r="B26" s="1" t="s">
        <v>206</v>
      </c>
      <c r="C26" s="3"/>
      <c r="D26" s="3"/>
      <c r="E26" s="1" t="str">
        <f>IFERROR(__xludf.DUMMYFUNCTION("IFERROR(REGEXEXTRACT(A26, ""res(269|122)""), ""none"")"),"122")</f>
        <v>122</v>
      </c>
      <c r="F26" s="1">
        <v>-16.216217</v>
      </c>
      <c r="G26" s="1">
        <v>7.0</v>
      </c>
      <c r="H26" s="1">
        <v>4.0</v>
      </c>
      <c r="I26" s="1">
        <v>0.285714</v>
      </c>
      <c r="J26" s="1">
        <v>2.0</v>
      </c>
      <c r="K26" s="1">
        <v>-0.930066</v>
      </c>
      <c r="L26" s="1">
        <v>100.0</v>
      </c>
      <c r="M26" s="1">
        <v>0.0</v>
      </c>
      <c r="N26" s="1">
        <v>0.0</v>
      </c>
      <c r="O26" s="1">
        <v>96.139431</v>
      </c>
    </row>
    <row r="27">
      <c r="A27" s="1" t="s">
        <v>207</v>
      </c>
      <c r="B27" s="1" t="s">
        <v>208</v>
      </c>
      <c r="C27" s="3"/>
      <c r="D27" s="3"/>
      <c r="E27" s="1" t="str">
        <f>IFERROR(__xludf.DUMMYFUNCTION("IFERROR(REGEXEXTRACT(A27, ""res(269|122)""), ""none"")"),"122")</f>
        <v>122</v>
      </c>
      <c r="F27" s="1">
        <v>-15.113702</v>
      </c>
      <c r="G27" s="1">
        <v>8.0</v>
      </c>
      <c r="H27" s="1">
        <v>3.0</v>
      </c>
      <c r="I27" s="1">
        <v>0.25</v>
      </c>
      <c r="J27" s="1">
        <v>2.0</v>
      </c>
      <c r="K27" s="1">
        <v>-0.761492</v>
      </c>
      <c r="L27" s="1">
        <v>100.0</v>
      </c>
      <c r="M27" s="1">
        <v>0.0</v>
      </c>
      <c r="N27" s="1">
        <v>0.0</v>
      </c>
      <c r="O27" s="1">
        <v>97.374806</v>
      </c>
    </row>
    <row r="28">
      <c r="A28" s="1" t="s">
        <v>908</v>
      </c>
      <c r="B28" s="1" t="s">
        <v>909</v>
      </c>
      <c r="C28" s="3"/>
      <c r="D28" s="3"/>
      <c r="E28" s="1" t="str">
        <f>IFERROR(__xludf.DUMMYFUNCTION("IFERROR(REGEXEXTRACT(A28, ""res(269|122)""), ""none"")"),"122")</f>
        <v>122</v>
      </c>
      <c r="F28" s="1">
        <v>-15.31518</v>
      </c>
      <c r="G28" s="1">
        <v>8.0</v>
      </c>
      <c r="H28" s="1">
        <v>4.0</v>
      </c>
      <c r="I28" s="1">
        <v>0.375</v>
      </c>
      <c r="J28" s="1">
        <v>2.0</v>
      </c>
      <c r="K28" s="1">
        <v>-1.223903</v>
      </c>
      <c r="L28" s="1">
        <v>100.0</v>
      </c>
      <c r="M28" s="1">
        <v>0.0</v>
      </c>
      <c r="N28" s="1">
        <v>0.0</v>
      </c>
      <c r="O28" s="1">
        <v>97.835917</v>
      </c>
    </row>
    <row r="29">
      <c r="A29" s="1" t="s">
        <v>209</v>
      </c>
      <c r="B29" s="1" t="s">
        <v>210</v>
      </c>
      <c r="C29" s="3"/>
      <c r="D29" s="3"/>
      <c r="E29" s="1" t="str">
        <f>IFERROR(__xludf.DUMMYFUNCTION("IFERROR(REGEXEXTRACT(A29, ""res(269|122)""), ""none"")"),"122")</f>
        <v>122</v>
      </c>
      <c r="F29" s="1">
        <v>-15.419001</v>
      </c>
      <c r="G29" s="1">
        <v>8.0</v>
      </c>
      <c r="H29" s="1">
        <v>5.0</v>
      </c>
      <c r="I29" s="1">
        <v>0.5</v>
      </c>
      <c r="J29" s="1">
        <v>3.0</v>
      </c>
      <c r="K29" s="1">
        <v>-1.097048</v>
      </c>
      <c r="L29" s="1">
        <v>100.0</v>
      </c>
      <c r="M29" s="1">
        <v>0.0</v>
      </c>
      <c r="N29" s="1">
        <v>0.0</v>
      </c>
      <c r="O29" s="1">
        <v>99.983951</v>
      </c>
    </row>
    <row r="30">
      <c r="A30" s="1" t="s">
        <v>910</v>
      </c>
      <c r="B30" s="1" t="s">
        <v>911</v>
      </c>
      <c r="C30" s="3"/>
      <c r="D30" s="3"/>
      <c r="E30" s="1" t="str">
        <f>IFERROR(__xludf.DUMMYFUNCTION("IFERROR(REGEXEXTRACT(A30, ""res(269|122)""), ""none"")"),"122")</f>
        <v>122</v>
      </c>
      <c r="F30" s="1">
        <v>-15.898066</v>
      </c>
      <c r="G30" s="1">
        <v>10.0</v>
      </c>
      <c r="H30" s="1">
        <v>5.0</v>
      </c>
      <c r="I30" s="1">
        <v>0.3</v>
      </c>
      <c r="J30" s="1">
        <v>2.0</v>
      </c>
      <c r="K30" s="1">
        <v>-0.756596</v>
      </c>
      <c r="L30" s="1">
        <v>100.0</v>
      </c>
      <c r="M30" s="1">
        <v>0.0</v>
      </c>
      <c r="N30" s="1">
        <v>0.0</v>
      </c>
      <c r="O30" s="1">
        <v>100.645338</v>
      </c>
    </row>
    <row r="31">
      <c r="A31" s="1" t="s">
        <v>912</v>
      </c>
      <c r="B31" s="1" t="s">
        <v>913</v>
      </c>
      <c r="C31" s="3"/>
      <c r="D31" s="3"/>
      <c r="E31" s="1" t="str">
        <f>IFERROR(__xludf.DUMMYFUNCTION("IFERROR(REGEXEXTRACT(A31, ""res(269|122)""), ""none"")"),"122")</f>
        <v>122</v>
      </c>
      <c r="F31" s="1">
        <v>-15.987933</v>
      </c>
      <c r="G31" s="1">
        <v>8.0</v>
      </c>
      <c r="H31" s="1">
        <v>4.0</v>
      </c>
      <c r="I31" s="1">
        <v>0.25</v>
      </c>
      <c r="J31" s="1">
        <v>2.0</v>
      </c>
      <c r="K31" s="1">
        <v>-1.336909</v>
      </c>
      <c r="L31" s="1">
        <v>100.0</v>
      </c>
      <c r="M31" s="1">
        <v>0.0</v>
      </c>
      <c r="N31" s="1">
        <v>0.0</v>
      </c>
      <c r="O31" s="1">
        <v>96.925158</v>
      </c>
    </row>
    <row r="32">
      <c r="A32" s="1" t="s">
        <v>914</v>
      </c>
      <c r="B32" s="1" t="s">
        <v>915</v>
      </c>
      <c r="C32" s="3"/>
      <c r="D32" s="3"/>
      <c r="E32" s="1" t="str">
        <f>IFERROR(__xludf.DUMMYFUNCTION("IFERROR(REGEXEXTRACT(A32, ""res(269|122)""), ""none"")"),"122")</f>
        <v>122</v>
      </c>
      <c r="F32" s="1">
        <v>-15.292696</v>
      </c>
      <c r="G32" s="1">
        <v>11.0</v>
      </c>
      <c r="H32" s="1">
        <v>2.0</v>
      </c>
      <c r="I32" s="1">
        <v>0.272727</v>
      </c>
      <c r="J32" s="1">
        <v>2.0</v>
      </c>
      <c r="K32" s="1">
        <v>-0.566388</v>
      </c>
      <c r="L32" s="1">
        <v>100.0</v>
      </c>
      <c r="M32" s="1">
        <v>0.0</v>
      </c>
      <c r="N32" s="1">
        <v>0.0</v>
      </c>
      <c r="O32" s="1">
        <v>99.413643</v>
      </c>
    </row>
    <row r="33">
      <c r="A33" s="1" t="s">
        <v>916</v>
      </c>
      <c r="B33" s="1" t="s">
        <v>917</v>
      </c>
      <c r="C33" s="3"/>
      <c r="D33" s="3"/>
      <c r="E33" s="1" t="str">
        <f>IFERROR(__xludf.DUMMYFUNCTION("IFERROR(REGEXEXTRACT(A33, ""res(269|122)""), ""none"")"),"122")</f>
        <v>122</v>
      </c>
      <c r="F33" s="1">
        <v>-15.186457</v>
      </c>
      <c r="G33" s="1">
        <v>8.0</v>
      </c>
      <c r="H33" s="1">
        <v>2.0</v>
      </c>
      <c r="I33" s="1">
        <v>0.25</v>
      </c>
      <c r="J33" s="1">
        <v>2.0</v>
      </c>
      <c r="K33" s="1">
        <v>-1.2613</v>
      </c>
      <c r="L33" s="1">
        <v>100.0</v>
      </c>
      <c r="M33" s="1">
        <v>0.0</v>
      </c>
      <c r="N33" s="1">
        <v>0.0</v>
      </c>
      <c r="O33" s="1">
        <v>95.802243</v>
      </c>
    </row>
    <row r="34">
      <c r="A34" s="1" t="s">
        <v>918</v>
      </c>
      <c r="B34" s="1" t="s">
        <v>919</v>
      </c>
      <c r="C34" s="3"/>
      <c r="D34" s="3"/>
      <c r="E34" s="1" t="str">
        <f>IFERROR(__xludf.DUMMYFUNCTION("IFERROR(REGEXEXTRACT(A34, ""res(269|122)""), ""none"")"),"122")</f>
        <v>122</v>
      </c>
      <c r="F34" s="1">
        <v>-16.198358</v>
      </c>
      <c r="G34" s="1">
        <v>8.0</v>
      </c>
      <c r="H34" s="1">
        <v>4.0</v>
      </c>
      <c r="I34" s="1">
        <v>0.25</v>
      </c>
      <c r="J34" s="1">
        <v>2.0</v>
      </c>
      <c r="K34" s="1">
        <v>-0.652775</v>
      </c>
      <c r="L34" s="1">
        <v>100.0</v>
      </c>
      <c r="M34" s="1">
        <v>0.0</v>
      </c>
      <c r="N34" s="1">
        <v>0.0</v>
      </c>
      <c r="O34" s="1">
        <v>97.398867</v>
      </c>
    </row>
    <row r="35">
      <c r="A35" s="1" t="s">
        <v>920</v>
      </c>
      <c r="B35" s="1" t="s">
        <v>921</v>
      </c>
      <c r="C35" s="3"/>
      <c r="D35" s="3"/>
      <c r="E35" s="1" t="str">
        <f>IFERROR(__xludf.DUMMYFUNCTION("IFERROR(REGEXEXTRACT(A35, ""res(269|122)""), ""none"")"),"122")</f>
        <v>122</v>
      </c>
      <c r="F35" s="1">
        <v>-16.731063</v>
      </c>
      <c r="G35" s="1">
        <v>8.0</v>
      </c>
      <c r="H35" s="1">
        <v>4.0</v>
      </c>
      <c r="I35" s="1">
        <v>0.25</v>
      </c>
      <c r="J35" s="1">
        <v>2.0</v>
      </c>
      <c r="K35" s="1">
        <v>-0.330589</v>
      </c>
      <c r="L35" s="1">
        <v>100.0</v>
      </c>
      <c r="M35" s="1">
        <v>0.0</v>
      </c>
      <c r="N35" s="1">
        <v>0.0</v>
      </c>
      <c r="O35" s="1">
        <v>97.188348</v>
      </c>
    </row>
    <row r="36">
      <c r="A36" s="1" t="s">
        <v>211</v>
      </c>
      <c r="B36" s="1" t="s">
        <v>212</v>
      </c>
      <c r="C36" s="3"/>
      <c r="D36" s="3"/>
      <c r="E36" s="1" t="str">
        <f>IFERROR(__xludf.DUMMYFUNCTION("IFERROR(REGEXEXTRACT(A36, ""res(269|122)""), ""none"")"),"122")</f>
        <v>122</v>
      </c>
      <c r="F36" s="1">
        <v>-15.695975</v>
      </c>
      <c r="G36" s="1">
        <v>7.0</v>
      </c>
      <c r="H36" s="1">
        <v>5.0</v>
      </c>
      <c r="I36" s="1">
        <v>0.428571</v>
      </c>
      <c r="J36" s="1">
        <v>2.0</v>
      </c>
      <c r="K36" s="1">
        <v>-0.51858</v>
      </c>
      <c r="L36" s="1">
        <v>100.0</v>
      </c>
      <c r="M36" s="1">
        <v>0.0</v>
      </c>
      <c r="N36" s="1">
        <v>0.0</v>
      </c>
      <c r="O36" s="1">
        <v>98.214016</v>
      </c>
    </row>
    <row r="37">
      <c r="A37" s="1" t="s">
        <v>922</v>
      </c>
      <c r="B37" s="1" t="s">
        <v>923</v>
      </c>
      <c r="C37" s="3"/>
      <c r="D37" s="3"/>
      <c r="E37" s="1" t="str">
        <f>IFERROR(__xludf.DUMMYFUNCTION("IFERROR(REGEXEXTRACT(A37, ""res(269|122)""), ""none"")"),"122")</f>
        <v>122</v>
      </c>
      <c r="F37" s="1">
        <v>-15.855765</v>
      </c>
      <c r="G37" s="1">
        <v>7.0</v>
      </c>
      <c r="H37" s="1">
        <v>3.0</v>
      </c>
      <c r="I37" s="1">
        <v>0.285714</v>
      </c>
      <c r="J37" s="1">
        <v>2.0</v>
      </c>
      <c r="K37" s="1">
        <v>-0.404817</v>
      </c>
      <c r="L37" s="1">
        <v>100.0</v>
      </c>
      <c r="M37" s="1">
        <v>0.0</v>
      </c>
      <c r="N37" s="1">
        <v>0.0</v>
      </c>
      <c r="O37" s="1">
        <v>96.025132</v>
      </c>
    </row>
    <row r="38">
      <c r="A38" s="1" t="s">
        <v>924</v>
      </c>
      <c r="B38" s="1" t="s">
        <v>925</v>
      </c>
      <c r="C38" s="3"/>
      <c r="D38" s="3"/>
      <c r="E38" s="1" t="str">
        <f>IFERROR(__xludf.DUMMYFUNCTION("IFERROR(REGEXEXTRACT(A38, ""res(269|122)""), ""none"")"),"122")</f>
        <v>122</v>
      </c>
      <c r="F38" s="1">
        <v>-16.725242</v>
      </c>
      <c r="G38" s="1">
        <v>10.0</v>
      </c>
      <c r="H38" s="1">
        <v>4.0</v>
      </c>
      <c r="I38" s="1">
        <v>0.3</v>
      </c>
      <c r="J38" s="1">
        <v>2.0</v>
      </c>
      <c r="K38" s="1">
        <v>-1.11447299999999</v>
      </c>
      <c r="L38" s="1">
        <v>100.0</v>
      </c>
      <c r="M38" s="1">
        <v>0.0</v>
      </c>
      <c r="N38" s="1">
        <v>0.0</v>
      </c>
      <c r="O38" s="1">
        <v>98.460285</v>
      </c>
    </row>
    <row r="39">
      <c r="A39" s="1" t="s">
        <v>926</v>
      </c>
      <c r="B39" s="1" t="s">
        <v>927</v>
      </c>
      <c r="C39" s="3"/>
      <c r="D39" s="3"/>
      <c r="E39" s="1" t="str">
        <f>IFERROR(__xludf.DUMMYFUNCTION("IFERROR(REGEXEXTRACT(A39, ""res(269|122)""), ""none"")"),"122")</f>
        <v>122</v>
      </c>
      <c r="F39" s="1">
        <v>-15.350543</v>
      </c>
      <c r="G39" s="1">
        <v>9.0</v>
      </c>
      <c r="H39" s="1">
        <v>4.0</v>
      </c>
      <c r="I39" s="1">
        <v>0.333333</v>
      </c>
      <c r="J39" s="1">
        <v>2.0</v>
      </c>
      <c r="K39" s="1">
        <v>-0.784927</v>
      </c>
      <c r="L39" s="1">
        <v>100.0</v>
      </c>
      <c r="M39" s="1">
        <v>0.0</v>
      </c>
      <c r="N39" s="1">
        <v>0.0</v>
      </c>
      <c r="O39" s="1">
        <v>99.197863</v>
      </c>
    </row>
    <row r="40">
      <c r="A40" s="1" t="s">
        <v>928</v>
      </c>
      <c r="B40" s="1" t="s">
        <v>929</v>
      </c>
      <c r="C40" s="3"/>
      <c r="D40" s="3"/>
      <c r="E40" s="1" t="str">
        <f>IFERROR(__xludf.DUMMYFUNCTION("IFERROR(REGEXEXTRACT(A40, ""res(269|122)""), ""none"")"),"122")</f>
        <v>122</v>
      </c>
      <c r="F40" s="1">
        <v>-16.543963</v>
      </c>
      <c r="G40" s="1">
        <v>7.0</v>
      </c>
      <c r="H40" s="1">
        <v>4.0</v>
      </c>
      <c r="I40" s="1">
        <v>0.285714</v>
      </c>
      <c r="J40" s="1">
        <v>2.0</v>
      </c>
      <c r="K40" s="1">
        <v>-1.827052</v>
      </c>
      <c r="L40" s="1">
        <v>100.0</v>
      </c>
      <c r="M40" s="1">
        <v>0.0</v>
      </c>
      <c r="N40" s="1">
        <v>0.0</v>
      </c>
      <c r="O40" s="1">
        <v>94.914699</v>
      </c>
    </row>
    <row r="41">
      <c r="A41" s="1" t="s">
        <v>930</v>
      </c>
      <c r="B41" s="1" t="s">
        <v>931</v>
      </c>
      <c r="C41" s="3"/>
      <c r="D41" s="3"/>
      <c r="E41" s="1" t="str">
        <f>IFERROR(__xludf.DUMMYFUNCTION("IFERROR(REGEXEXTRACT(A41, ""res(269|122)""), ""none"")"),"122")</f>
        <v>122</v>
      </c>
      <c r="F41" s="1">
        <v>-16.543963</v>
      </c>
      <c r="G41" s="1">
        <v>7.0</v>
      </c>
      <c r="H41" s="1">
        <v>4.0</v>
      </c>
      <c r="I41" s="1">
        <v>0.285714</v>
      </c>
      <c r="J41" s="1">
        <v>2.0</v>
      </c>
      <c r="K41" s="1">
        <v>-1.827052</v>
      </c>
      <c r="L41" s="1">
        <v>100.0</v>
      </c>
      <c r="M41" s="1">
        <v>0.0</v>
      </c>
      <c r="N41" s="1">
        <v>0.0</v>
      </c>
      <c r="O41" s="1">
        <v>94.914699</v>
      </c>
    </row>
    <row r="42">
      <c r="A42" s="1" t="s">
        <v>213</v>
      </c>
      <c r="B42" s="1" t="s">
        <v>40</v>
      </c>
      <c r="C42" s="3"/>
      <c r="D42" s="3"/>
      <c r="E42" s="1" t="str">
        <f>IFERROR(__xludf.DUMMYFUNCTION("IFERROR(REGEXEXTRACT(A42, ""res(269|122)""), ""none"")"),"122")</f>
        <v>122</v>
      </c>
      <c r="F42" s="1">
        <v>-15.040718</v>
      </c>
      <c r="G42" s="1">
        <v>6.0</v>
      </c>
      <c r="H42" s="1">
        <v>3.0</v>
      </c>
      <c r="I42" s="1">
        <v>0.333333</v>
      </c>
      <c r="J42" s="1">
        <v>2.0</v>
      </c>
      <c r="K42" s="1">
        <v>-1.138986</v>
      </c>
      <c r="L42" s="1">
        <v>100.0</v>
      </c>
      <c r="M42" s="1">
        <v>0.0</v>
      </c>
      <c r="N42" s="1">
        <v>0.0</v>
      </c>
      <c r="O42" s="1">
        <v>95.153629</v>
      </c>
    </row>
    <row r="43">
      <c r="A43" s="1" t="s">
        <v>932</v>
      </c>
      <c r="B43" s="1" t="s">
        <v>933</v>
      </c>
      <c r="C43" s="3"/>
      <c r="D43" s="3"/>
      <c r="E43" s="1" t="str">
        <f>IFERROR(__xludf.DUMMYFUNCTION("IFERROR(REGEXEXTRACT(A43, ""res(269|122)""), ""none"")"),"122")</f>
        <v>122</v>
      </c>
      <c r="F43" s="1">
        <v>-15.00123</v>
      </c>
      <c r="G43" s="1">
        <v>9.0</v>
      </c>
      <c r="H43" s="1">
        <v>4.0</v>
      </c>
      <c r="I43" s="1">
        <v>0.333333</v>
      </c>
      <c r="J43" s="1">
        <v>2.0</v>
      </c>
      <c r="K43" s="1">
        <v>-0.988256</v>
      </c>
      <c r="L43" s="1">
        <v>100.0</v>
      </c>
      <c r="M43" s="1">
        <v>0.0</v>
      </c>
      <c r="N43" s="1">
        <v>0.0</v>
      </c>
      <c r="O43" s="1">
        <v>99.343847</v>
      </c>
    </row>
    <row r="44">
      <c r="A44" s="1" t="s">
        <v>214</v>
      </c>
      <c r="B44" s="1" t="s">
        <v>44</v>
      </c>
      <c r="C44" s="3"/>
      <c r="D44" s="3"/>
      <c r="E44" s="1" t="str">
        <f>IFERROR(__xludf.DUMMYFUNCTION("IFERROR(REGEXEXTRACT(A44, ""res(269|122)""), ""none"")"),"122")</f>
        <v>122</v>
      </c>
      <c r="F44" s="1">
        <v>-15.260381</v>
      </c>
      <c r="G44" s="1">
        <v>8.0</v>
      </c>
      <c r="H44" s="1">
        <v>3.0</v>
      </c>
      <c r="I44" s="1">
        <v>0.25</v>
      </c>
      <c r="J44" s="1">
        <v>3.0</v>
      </c>
      <c r="K44" s="1">
        <v>-1.428861</v>
      </c>
      <c r="L44" s="1">
        <v>100.0</v>
      </c>
      <c r="M44" s="1">
        <v>0.0</v>
      </c>
      <c r="N44" s="1">
        <v>0.0</v>
      </c>
      <c r="O44" s="1">
        <v>97.560758</v>
      </c>
    </row>
    <row r="45">
      <c r="A45" s="1" t="s">
        <v>934</v>
      </c>
      <c r="B45" s="1" t="s">
        <v>935</v>
      </c>
      <c r="C45" s="3"/>
      <c r="D45" s="3"/>
      <c r="E45" s="1" t="str">
        <f>IFERROR(__xludf.DUMMYFUNCTION("IFERROR(REGEXEXTRACT(A45, ""res(269|122)""), ""none"")"),"122")</f>
        <v>122</v>
      </c>
      <c r="F45" s="1">
        <v>-15.938727</v>
      </c>
      <c r="G45" s="1">
        <v>8.0</v>
      </c>
      <c r="H45" s="1">
        <v>1.0</v>
      </c>
      <c r="I45" s="1">
        <v>0.25</v>
      </c>
      <c r="J45" s="1">
        <v>2.0</v>
      </c>
      <c r="K45" s="1">
        <v>-0.174925</v>
      </c>
      <c r="L45" s="1">
        <v>100.0</v>
      </c>
      <c r="M45" s="1">
        <v>0.0</v>
      </c>
      <c r="N45" s="1">
        <v>0.0</v>
      </c>
      <c r="O45" s="1">
        <v>95.136348</v>
      </c>
    </row>
    <row r="46">
      <c r="A46" s="1" t="s">
        <v>936</v>
      </c>
      <c r="B46" s="1" t="s">
        <v>937</v>
      </c>
      <c r="C46" s="3"/>
      <c r="D46" s="3"/>
      <c r="E46" s="1" t="str">
        <f>IFERROR(__xludf.DUMMYFUNCTION("IFERROR(REGEXEXTRACT(A46, ""res(269|122)""), ""none"")"),"122")</f>
        <v>122</v>
      </c>
      <c r="F46" s="1">
        <v>-15.860614</v>
      </c>
      <c r="G46" s="1">
        <v>10.0</v>
      </c>
      <c r="H46" s="1">
        <v>4.0</v>
      </c>
      <c r="I46" s="1">
        <v>0.3</v>
      </c>
      <c r="J46" s="1">
        <v>2.0</v>
      </c>
      <c r="K46" s="1">
        <v>-1.47230399999999</v>
      </c>
      <c r="L46" s="1">
        <v>100.0</v>
      </c>
      <c r="M46" s="1">
        <v>0.0</v>
      </c>
      <c r="N46" s="1">
        <v>0.0</v>
      </c>
      <c r="O46" s="1">
        <v>98.967082</v>
      </c>
    </row>
    <row r="47">
      <c r="A47" s="1" t="s">
        <v>938</v>
      </c>
      <c r="B47" s="1" t="s">
        <v>939</v>
      </c>
      <c r="C47" s="3"/>
      <c r="D47" s="3"/>
      <c r="E47" s="1" t="str">
        <f>IFERROR(__xludf.DUMMYFUNCTION("IFERROR(REGEXEXTRACT(A47, ""res(269|122)""), ""none"")"),"122")</f>
        <v>122</v>
      </c>
      <c r="F47" s="1">
        <v>-15.843518</v>
      </c>
      <c r="G47" s="1">
        <v>6.0</v>
      </c>
      <c r="H47" s="1">
        <v>3.0</v>
      </c>
      <c r="I47" s="1">
        <v>0.333333</v>
      </c>
      <c r="J47" s="1">
        <v>2.0</v>
      </c>
      <c r="K47" s="1">
        <v>-0.907249</v>
      </c>
      <c r="L47" s="1">
        <v>100.0</v>
      </c>
      <c r="M47" s="1">
        <v>0.0</v>
      </c>
      <c r="N47" s="1">
        <v>0.0</v>
      </c>
      <c r="O47" s="1">
        <v>94.582566</v>
      </c>
    </row>
    <row r="48">
      <c r="A48" s="1" t="s">
        <v>940</v>
      </c>
      <c r="B48" s="1" t="s">
        <v>941</v>
      </c>
      <c r="C48" s="3"/>
      <c r="D48" s="3"/>
      <c r="E48" s="1" t="str">
        <f>IFERROR(__xludf.DUMMYFUNCTION("IFERROR(REGEXEXTRACT(A48, ""res(269|122)""), ""none"")"),"122")</f>
        <v>122</v>
      </c>
      <c r="F48" s="1">
        <v>-15.895796</v>
      </c>
      <c r="G48" s="1">
        <v>7.0</v>
      </c>
      <c r="H48" s="1">
        <v>3.0</v>
      </c>
      <c r="I48" s="1">
        <v>0.285714</v>
      </c>
      <c r="J48" s="1">
        <v>2.0</v>
      </c>
      <c r="K48" s="1">
        <v>-1.042085</v>
      </c>
      <c r="L48" s="1">
        <v>100.0</v>
      </c>
      <c r="M48" s="1">
        <v>0.0</v>
      </c>
      <c r="N48" s="1">
        <v>0.0</v>
      </c>
      <c r="O48" s="1">
        <v>95.347833</v>
      </c>
    </row>
    <row r="49">
      <c r="A49" s="1" t="s">
        <v>942</v>
      </c>
      <c r="B49" s="1" t="s">
        <v>943</v>
      </c>
      <c r="C49" s="3"/>
      <c r="D49" s="3"/>
      <c r="E49" s="1" t="str">
        <f>IFERROR(__xludf.DUMMYFUNCTION("IFERROR(REGEXEXTRACT(A49, ""res(269|122)""), ""none"")"),"122")</f>
        <v>122</v>
      </c>
      <c r="F49" s="1">
        <v>-17.273811</v>
      </c>
      <c r="G49" s="1">
        <v>7.0</v>
      </c>
      <c r="H49" s="1">
        <v>3.0</v>
      </c>
      <c r="I49" s="1">
        <v>0.285714</v>
      </c>
      <c r="J49" s="1">
        <v>2.0</v>
      </c>
      <c r="K49" s="1">
        <v>-0.836087999999999</v>
      </c>
      <c r="L49" s="1">
        <v>100.0</v>
      </c>
      <c r="M49" s="1">
        <v>0.0</v>
      </c>
      <c r="N49" s="1">
        <v>0.0</v>
      </c>
      <c r="O49" s="1">
        <v>94.175815</v>
      </c>
    </row>
    <row r="50">
      <c r="A50" s="1" t="s">
        <v>215</v>
      </c>
      <c r="B50" s="1" t="s">
        <v>216</v>
      </c>
      <c r="C50" s="3"/>
      <c r="D50" s="3"/>
      <c r="E50" s="1" t="str">
        <f>IFERROR(__xludf.DUMMYFUNCTION("IFERROR(REGEXEXTRACT(A50, ""res(269|122)""), ""none"")"),"122")</f>
        <v>122</v>
      </c>
      <c r="F50" s="1">
        <v>-16.747691</v>
      </c>
      <c r="G50" s="1">
        <v>10.0</v>
      </c>
      <c r="H50" s="1">
        <v>4.0</v>
      </c>
      <c r="I50" s="1">
        <v>0.4</v>
      </c>
      <c r="J50" s="1">
        <v>2.0</v>
      </c>
      <c r="K50" s="1">
        <v>-1.533959</v>
      </c>
      <c r="L50" s="1">
        <v>100.0</v>
      </c>
      <c r="M50" s="1">
        <v>0.0</v>
      </c>
      <c r="N50" s="1">
        <v>0.0</v>
      </c>
      <c r="O50" s="1">
        <v>98.11835</v>
      </c>
    </row>
    <row r="51">
      <c r="A51" s="1" t="s">
        <v>217</v>
      </c>
      <c r="B51" s="1" t="s">
        <v>218</v>
      </c>
      <c r="C51" s="3"/>
      <c r="D51" s="3"/>
      <c r="E51" s="1" t="str">
        <f>IFERROR(__xludf.DUMMYFUNCTION("IFERROR(REGEXEXTRACT(A51, ""res(269|122)""), ""none"")"),"122")</f>
        <v>122</v>
      </c>
      <c r="F51" s="1">
        <v>-15.251888</v>
      </c>
      <c r="G51" s="1">
        <v>10.0</v>
      </c>
      <c r="H51" s="1">
        <v>4.0</v>
      </c>
      <c r="I51" s="1">
        <v>0.4</v>
      </c>
      <c r="J51" s="1">
        <v>2.0</v>
      </c>
      <c r="K51" s="1">
        <v>-0.922495</v>
      </c>
      <c r="L51" s="1">
        <v>100.0</v>
      </c>
      <c r="M51" s="1">
        <v>0.0</v>
      </c>
      <c r="N51" s="1">
        <v>0.0</v>
      </c>
      <c r="O51" s="1">
        <v>100.225617</v>
      </c>
    </row>
    <row r="52">
      <c r="A52" s="1" t="s">
        <v>219</v>
      </c>
      <c r="B52" s="1" t="s">
        <v>220</v>
      </c>
      <c r="C52" s="3"/>
      <c r="D52" s="3"/>
      <c r="E52" s="1" t="str">
        <f>IFERROR(__xludf.DUMMYFUNCTION("IFERROR(REGEXEXTRACT(A52, ""res(269|122)""), ""none"")"),"122")</f>
        <v>122</v>
      </c>
      <c r="F52" s="1">
        <v>-15.933583</v>
      </c>
      <c r="G52" s="1">
        <v>10.0</v>
      </c>
      <c r="H52" s="1">
        <v>4.0</v>
      </c>
      <c r="I52" s="1">
        <v>0.4</v>
      </c>
      <c r="J52" s="1">
        <v>3.0</v>
      </c>
      <c r="K52" s="1">
        <v>-0.861401</v>
      </c>
      <c r="L52" s="1">
        <v>100.0</v>
      </c>
      <c r="M52" s="1">
        <v>0.0</v>
      </c>
      <c r="N52" s="1">
        <v>0.0</v>
      </c>
      <c r="O52" s="1">
        <v>100.605016</v>
      </c>
    </row>
    <row r="53">
      <c r="A53" s="1" t="s">
        <v>944</v>
      </c>
      <c r="B53" s="1" t="s">
        <v>945</v>
      </c>
      <c r="C53" s="3"/>
      <c r="D53" s="3"/>
      <c r="E53" s="1" t="str">
        <f>IFERROR(__xludf.DUMMYFUNCTION("IFERROR(REGEXEXTRACT(A53, ""res(269|122)""), ""none"")"),"122")</f>
        <v>122</v>
      </c>
      <c r="F53" s="1">
        <v>-15.995015</v>
      </c>
      <c r="G53" s="1">
        <v>9.0</v>
      </c>
      <c r="H53" s="1">
        <v>4.0</v>
      </c>
      <c r="I53" s="1">
        <v>0.333333</v>
      </c>
      <c r="J53" s="1">
        <v>3.0</v>
      </c>
      <c r="K53" s="1">
        <v>-0.936516</v>
      </c>
      <c r="L53" s="1">
        <v>100.0</v>
      </c>
      <c r="M53" s="1">
        <v>0.0</v>
      </c>
      <c r="N53" s="1">
        <v>0.0</v>
      </c>
      <c r="O53" s="1">
        <v>99.401802</v>
      </c>
    </row>
    <row r="54">
      <c r="A54" s="1" t="s">
        <v>946</v>
      </c>
      <c r="B54" s="1" t="s">
        <v>947</v>
      </c>
      <c r="C54" s="3"/>
      <c r="D54" s="3"/>
      <c r="E54" s="1" t="str">
        <f>IFERROR(__xludf.DUMMYFUNCTION("IFERROR(REGEXEXTRACT(A54, ""res(269|122)""), ""none"")"),"122")</f>
        <v>122</v>
      </c>
      <c r="F54" s="1">
        <v>-15.980019</v>
      </c>
      <c r="G54" s="1">
        <v>10.0</v>
      </c>
      <c r="H54" s="1">
        <v>3.0</v>
      </c>
      <c r="I54" s="1">
        <v>0.3</v>
      </c>
      <c r="J54" s="1">
        <v>2.0</v>
      </c>
      <c r="K54" s="1">
        <v>-0.742691</v>
      </c>
      <c r="L54" s="1">
        <v>100.0</v>
      </c>
      <c r="M54" s="1">
        <v>0.0</v>
      </c>
      <c r="N54" s="1">
        <v>0.0</v>
      </c>
      <c r="O54" s="1">
        <v>98.57729</v>
      </c>
    </row>
    <row r="55">
      <c r="A55" s="1" t="s">
        <v>948</v>
      </c>
      <c r="B55" s="1" t="s">
        <v>949</v>
      </c>
      <c r="C55" s="3"/>
      <c r="D55" s="3"/>
      <c r="E55" s="1" t="str">
        <f>IFERROR(__xludf.DUMMYFUNCTION("IFERROR(REGEXEXTRACT(A55, ""res(269|122)""), ""none"")"),"122")</f>
        <v>122</v>
      </c>
      <c r="F55" s="1">
        <v>-15.786352</v>
      </c>
      <c r="G55" s="1">
        <v>7.0</v>
      </c>
      <c r="H55" s="1">
        <v>4.0</v>
      </c>
      <c r="I55" s="1">
        <v>0.285714</v>
      </c>
      <c r="J55" s="1">
        <v>3.0</v>
      </c>
      <c r="K55" s="1">
        <v>-1.391272</v>
      </c>
      <c r="L55" s="1">
        <v>100.0</v>
      </c>
      <c r="M55" s="1">
        <v>0.0</v>
      </c>
      <c r="N55" s="1">
        <v>0.0</v>
      </c>
      <c r="O55" s="1">
        <v>97.10809</v>
      </c>
    </row>
    <row r="56">
      <c r="A56" s="1" t="s">
        <v>950</v>
      </c>
      <c r="B56" s="1" t="s">
        <v>951</v>
      </c>
      <c r="C56" s="3"/>
      <c r="D56" s="3"/>
      <c r="E56" s="1" t="str">
        <f>IFERROR(__xludf.DUMMYFUNCTION("IFERROR(REGEXEXTRACT(A56, ""res(269|122)""), ""none"")"),"122")</f>
        <v>122</v>
      </c>
      <c r="F56" s="1">
        <v>-15.195113</v>
      </c>
      <c r="G56" s="1">
        <v>8.0</v>
      </c>
      <c r="H56" s="1">
        <v>3.0</v>
      </c>
      <c r="I56" s="1">
        <v>0.25</v>
      </c>
      <c r="J56" s="1">
        <v>2.0</v>
      </c>
      <c r="K56" s="1">
        <v>-1.197714</v>
      </c>
      <c r="L56" s="1">
        <v>100.0</v>
      </c>
      <c r="M56" s="1">
        <v>0.0</v>
      </c>
      <c r="N56" s="1">
        <v>0.0</v>
      </c>
      <c r="O56" s="1">
        <v>96.857173</v>
      </c>
    </row>
    <row r="57">
      <c r="A57" s="1" t="s">
        <v>221</v>
      </c>
      <c r="B57" s="1" t="s">
        <v>222</v>
      </c>
      <c r="C57" s="3"/>
      <c r="D57" s="3"/>
      <c r="E57" s="1" t="str">
        <f>IFERROR(__xludf.DUMMYFUNCTION("IFERROR(REGEXEXTRACT(A57, ""res(269|122)""), ""none"")"),"122")</f>
        <v>122</v>
      </c>
      <c r="F57" s="1">
        <v>-15.3418</v>
      </c>
      <c r="G57" s="1">
        <v>9.0</v>
      </c>
      <c r="H57" s="1">
        <v>4.0</v>
      </c>
      <c r="I57" s="1">
        <v>0.333333</v>
      </c>
      <c r="J57" s="1">
        <v>2.0</v>
      </c>
      <c r="K57" s="1">
        <v>-1.486109</v>
      </c>
      <c r="L57" s="1">
        <v>100.0</v>
      </c>
      <c r="M57" s="1">
        <v>0.0</v>
      </c>
      <c r="N57" s="1">
        <v>0.0</v>
      </c>
      <c r="O57" s="1">
        <v>98.505424</v>
      </c>
    </row>
    <row r="58">
      <c r="A58" s="1" t="s">
        <v>223</v>
      </c>
      <c r="B58" s="1" t="s">
        <v>49</v>
      </c>
      <c r="C58" s="3"/>
      <c r="D58" s="3"/>
      <c r="E58" s="1" t="str">
        <f>IFERROR(__xludf.DUMMYFUNCTION("IFERROR(REGEXEXTRACT(A58, ""res(269|122)""), ""none"")"),"122")</f>
        <v>122</v>
      </c>
      <c r="F58" s="1">
        <v>-16.481134</v>
      </c>
      <c r="G58" s="1">
        <v>7.0</v>
      </c>
      <c r="H58" s="1">
        <v>3.0</v>
      </c>
      <c r="I58" s="1">
        <v>0.285714</v>
      </c>
      <c r="J58" s="1">
        <v>2.0</v>
      </c>
      <c r="K58" s="1">
        <v>-1.079586</v>
      </c>
      <c r="L58" s="1">
        <v>100.0</v>
      </c>
      <c r="M58" s="1">
        <v>0.0</v>
      </c>
      <c r="N58" s="1">
        <v>0.0</v>
      </c>
      <c r="O58" s="1">
        <v>94.724994</v>
      </c>
    </row>
    <row r="59">
      <c r="A59" s="1" t="s">
        <v>224</v>
      </c>
      <c r="B59" s="1" t="s">
        <v>53</v>
      </c>
      <c r="C59" s="3"/>
      <c r="D59" s="3"/>
      <c r="E59" s="1" t="str">
        <f>IFERROR(__xludf.DUMMYFUNCTION("IFERROR(REGEXEXTRACT(A59, ""res(269|122)""), ""none"")"),"122")</f>
        <v>122</v>
      </c>
      <c r="F59" s="1">
        <v>-15.209335</v>
      </c>
      <c r="G59" s="1">
        <v>9.0</v>
      </c>
      <c r="H59" s="1">
        <v>3.0</v>
      </c>
      <c r="I59" s="1">
        <v>0.555556</v>
      </c>
      <c r="J59" s="1">
        <v>2.0</v>
      </c>
      <c r="K59" s="1">
        <v>-0.616797</v>
      </c>
      <c r="L59" s="1">
        <v>100.0</v>
      </c>
      <c r="M59" s="1">
        <v>0.0</v>
      </c>
      <c r="N59" s="1">
        <v>0.0</v>
      </c>
      <c r="O59" s="1">
        <v>98.729424</v>
      </c>
    </row>
    <row r="60">
      <c r="A60" s="1" t="s">
        <v>952</v>
      </c>
      <c r="B60" s="1" t="s">
        <v>953</v>
      </c>
      <c r="C60" s="3"/>
      <c r="D60" s="3"/>
      <c r="E60" s="1" t="str">
        <f>IFERROR(__xludf.DUMMYFUNCTION("IFERROR(REGEXEXTRACT(A60, ""res(269|122)""), ""none"")"),"122")</f>
        <v>122</v>
      </c>
      <c r="F60" s="1">
        <v>-15.627624</v>
      </c>
      <c r="G60" s="1">
        <v>11.0</v>
      </c>
      <c r="H60" s="1">
        <v>3.0</v>
      </c>
      <c r="I60" s="1">
        <v>0.272727</v>
      </c>
      <c r="J60" s="1">
        <v>2.0</v>
      </c>
      <c r="K60" s="1">
        <v>-1.090456</v>
      </c>
      <c r="L60" s="1">
        <v>100.0</v>
      </c>
      <c r="M60" s="1">
        <v>0.0</v>
      </c>
      <c r="N60" s="1">
        <v>0.0</v>
      </c>
      <c r="O60" s="1">
        <v>99.554647</v>
      </c>
    </row>
    <row r="61">
      <c r="A61" s="1" t="s">
        <v>225</v>
      </c>
      <c r="B61" s="1" t="s">
        <v>226</v>
      </c>
      <c r="C61" s="3"/>
      <c r="D61" s="3"/>
      <c r="E61" s="1" t="str">
        <f>IFERROR(__xludf.DUMMYFUNCTION("IFERROR(REGEXEXTRACT(A61, ""res(269|122)""), ""none"")"),"122")</f>
        <v>122</v>
      </c>
      <c r="F61" s="1">
        <v>-16.256898</v>
      </c>
      <c r="G61" s="1">
        <v>11.0</v>
      </c>
      <c r="H61" s="1">
        <v>4.0</v>
      </c>
      <c r="I61" s="1">
        <v>0.272727</v>
      </c>
      <c r="J61" s="1">
        <v>2.0</v>
      </c>
      <c r="K61" s="1">
        <v>-1.787076</v>
      </c>
      <c r="L61" s="1">
        <v>100.0</v>
      </c>
      <c r="M61" s="1">
        <v>0.0</v>
      </c>
      <c r="N61" s="1">
        <v>0.0</v>
      </c>
      <c r="O61" s="1">
        <v>99.228753</v>
      </c>
    </row>
    <row r="62">
      <c r="A62" s="1" t="s">
        <v>954</v>
      </c>
      <c r="B62" s="1" t="s">
        <v>955</v>
      </c>
      <c r="C62" s="3"/>
      <c r="D62" s="3"/>
      <c r="E62" s="1" t="str">
        <f>IFERROR(__xludf.DUMMYFUNCTION("IFERROR(REGEXEXTRACT(A62, ""res(269|122)""), ""none"")"),"122")</f>
        <v>122</v>
      </c>
      <c r="F62" s="1">
        <v>-15.589483</v>
      </c>
      <c r="G62" s="1">
        <v>11.0</v>
      </c>
      <c r="H62" s="1">
        <v>4.0</v>
      </c>
      <c r="I62" s="1">
        <v>0.363636</v>
      </c>
      <c r="J62" s="1">
        <v>3.0</v>
      </c>
      <c r="K62" s="1">
        <v>-1.049205</v>
      </c>
      <c r="L62" s="1">
        <v>100.0</v>
      </c>
      <c r="M62" s="1">
        <v>0.0</v>
      </c>
      <c r="N62" s="1">
        <v>0.0</v>
      </c>
      <c r="O62" s="1">
        <v>101.724948</v>
      </c>
    </row>
    <row r="63">
      <c r="A63" s="1" t="s">
        <v>956</v>
      </c>
      <c r="B63" s="1" t="s">
        <v>957</v>
      </c>
      <c r="C63" s="3"/>
      <c r="D63" s="3"/>
      <c r="E63" s="1" t="str">
        <f>IFERROR(__xludf.DUMMYFUNCTION("IFERROR(REGEXEXTRACT(A63, ""res(269|122)""), ""none"")"),"122")</f>
        <v>122</v>
      </c>
      <c r="F63" s="1">
        <v>-16.073073</v>
      </c>
      <c r="G63" s="1">
        <v>9.0</v>
      </c>
      <c r="H63" s="1">
        <v>4.0</v>
      </c>
      <c r="I63" s="1">
        <v>0.333333</v>
      </c>
      <c r="J63" s="1">
        <v>2.0</v>
      </c>
      <c r="K63" s="1">
        <v>-1.417971</v>
      </c>
      <c r="L63" s="1">
        <v>100.0</v>
      </c>
      <c r="M63" s="1">
        <v>0.0</v>
      </c>
      <c r="N63" s="1">
        <v>0.0</v>
      </c>
      <c r="O63" s="1">
        <v>97.842289</v>
      </c>
    </row>
    <row r="64">
      <c r="A64" s="1" t="s">
        <v>227</v>
      </c>
      <c r="B64" s="1" t="s">
        <v>228</v>
      </c>
      <c r="C64" s="3"/>
      <c r="D64" s="3"/>
      <c r="E64" s="1" t="str">
        <f>IFERROR(__xludf.DUMMYFUNCTION("IFERROR(REGEXEXTRACT(A64, ""res(269|122)""), ""none"")"),"122")</f>
        <v>122</v>
      </c>
      <c r="F64" s="1">
        <v>-17.376492</v>
      </c>
      <c r="G64" s="1">
        <v>6.0</v>
      </c>
      <c r="H64" s="1">
        <v>3.0</v>
      </c>
      <c r="I64" s="1">
        <v>0.333333</v>
      </c>
      <c r="J64" s="1">
        <v>2.0</v>
      </c>
      <c r="K64" s="1">
        <v>-0.775723</v>
      </c>
      <c r="L64" s="1">
        <v>100.0</v>
      </c>
      <c r="M64" s="1">
        <v>0.0</v>
      </c>
      <c r="N64" s="1">
        <v>0.0</v>
      </c>
      <c r="O64" s="1">
        <v>93.181118</v>
      </c>
    </row>
    <row r="65">
      <c r="A65" s="1" t="s">
        <v>958</v>
      </c>
      <c r="B65" s="1" t="s">
        <v>959</v>
      </c>
      <c r="C65" s="3"/>
      <c r="D65" s="3"/>
      <c r="E65" s="1" t="str">
        <f>IFERROR(__xludf.DUMMYFUNCTION("IFERROR(REGEXEXTRACT(A65, ""res(269|122)""), ""none"")"),"122")</f>
        <v>122</v>
      </c>
      <c r="F65" s="1">
        <v>-15.665856</v>
      </c>
      <c r="G65" s="1">
        <v>8.0</v>
      </c>
      <c r="H65" s="1">
        <v>4.0</v>
      </c>
      <c r="I65" s="1">
        <v>0.375</v>
      </c>
      <c r="J65" s="1">
        <v>2.0</v>
      </c>
      <c r="K65" s="1">
        <v>-1.024371</v>
      </c>
      <c r="L65" s="1">
        <v>100.0</v>
      </c>
      <c r="M65" s="1">
        <v>0.0</v>
      </c>
      <c r="N65" s="1">
        <v>0.0</v>
      </c>
      <c r="O65" s="1">
        <v>97.684773</v>
      </c>
    </row>
    <row r="66">
      <c r="A66" s="1" t="s">
        <v>960</v>
      </c>
      <c r="B66" s="1" t="s">
        <v>961</v>
      </c>
      <c r="C66" s="3"/>
      <c r="D66" s="3"/>
      <c r="E66" s="1" t="str">
        <f>IFERROR(__xludf.DUMMYFUNCTION("IFERROR(REGEXEXTRACT(A66, ""res(269|122)""), ""none"")"),"122")</f>
        <v>122</v>
      </c>
      <c r="F66" s="1">
        <v>-15.416224</v>
      </c>
      <c r="G66" s="1">
        <v>7.0</v>
      </c>
      <c r="H66" s="1">
        <v>4.0</v>
      </c>
      <c r="I66" s="1">
        <v>0.285714</v>
      </c>
      <c r="J66" s="1">
        <v>2.0</v>
      </c>
      <c r="K66" s="1">
        <v>-1.441148</v>
      </c>
      <c r="L66" s="1">
        <v>100.0</v>
      </c>
      <c r="M66" s="1">
        <v>0.0</v>
      </c>
      <c r="N66" s="1">
        <v>0.0</v>
      </c>
      <c r="O66" s="1">
        <v>96.428342</v>
      </c>
    </row>
    <row r="67">
      <c r="A67" s="1" t="s">
        <v>962</v>
      </c>
      <c r="B67" s="1" t="s">
        <v>963</v>
      </c>
      <c r="C67" s="3"/>
      <c r="D67" s="3"/>
      <c r="E67" s="1" t="str">
        <f>IFERROR(__xludf.DUMMYFUNCTION("IFERROR(REGEXEXTRACT(A67, ""res(269|122)""), ""none"")"),"122")</f>
        <v>122</v>
      </c>
      <c r="F67" s="1">
        <v>-15.514751</v>
      </c>
      <c r="G67" s="1">
        <v>9.0</v>
      </c>
      <c r="H67" s="1">
        <v>3.0</v>
      </c>
      <c r="I67" s="1">
        <v>0.444444</v>
      </c>
      <c r="J67" s="1">
        <v>2.0</v>
      </c>
      <c r="K67" s="1">
        <v>-1.020103</v>
      </c>
      <c r="L67" s="1">
        <v>100.0</v>
      </c>
      <c r="M67" s="1">
        <v>0.0</v>
      </c>
      <c r="N67" s="1">
        <v>0.0</v>
      </c>
      <c r="O67" s="1">
        <v>97.90959</v>
      </c>
    </row>
    <row r="68">
      <c r="A68" s="1" t="s">
        <v>964</v>
      </c>
      <c r="B68" s="1" t="s">
        <v>965</v>
      </c>
      <c r="C68" s="3"/>
      <c r="D68" s="3"/>
      <c r="E68" s="1" t="str">
        <f>IFERROR(__xludf.DUMMYFUNCTION("IFERROR(REGEXEXTRACT(A68, ""res(269|122)""), ""none"")"),"122")</f>
        <v>122</v>
      </c>
      <c r="F68" s="1">
        <v>-16.09571</v>
      </c>
      <c r="G68" s="1">
        <v>10.0</v>
      </c>
      <c r="H68" s="1">
        <v>4.0</v>
      </c>
      <c r="I68" s="1">
        <v>0.3</v>
      </c>
      <c r="J68" s="1">
        <v>2.0</v>
      </c>
      <c r="K68" s="1">
        <v>-1.536609</v>
      </c>
      <c r="L68" s="1">
        <v>100.0</v>
      </c>
      <c r="M68" s="1">
        <v>0.0</v>
      </c>
      <c r="N68" s="1">
        <v>0.0</v>
      </c>
      <c r="O68" s="1">
        <v>98.667681</v>
      </c>
    </row>
    <row r="69">
      <c r="A69" s="1" t="s">
        <v>229</v>
      </c>
      <c r="B69" s="1" t="s">
        <v>58</v>
      </c>
      <c r="C69" s="3"/>
      <c r="D69" s="3"/>
      <c r="E69" s="1" t="str">
        <f>IFERROR(__xludf.DUMMYFUNCTION("IFERROR(REGEXEXTRACT(A69, ""res(269|122)""), ""none"")"),"122")</f>
        <v>122</v>
      </c>
      <c r="F69" s="1">
        <v>-17.724274</v>
      </c>
      <c r="G69" s="1">
        <v>8.0</v>
      </c>
      <c r="H69" s="1">
        <v>3.0</v>
      </c>
      <c r="I69" s="1">
        <v>0.25</v>
      </c>
      <c r="J69" s="1">
        <v>2.0</v>
      </c>
      <c r="K69" s="1">
        <v>-1.29152999999999</v>
      </c>
      <c r="L69" s="1">
        <v>100.0</v>
      </c>
      <c r="M69" s="1">
        <v>0.0</v>
      </c>
      <c r="N69" s="1">
        <v>0.0</v>
      </c>
      <c r="O69" s="1">
        <v>94.234196</v>
      </c>
    </row>
    <row r="70">
      <c r="A70" s="1" t="s">
        <v>966</v>
      </c>
      <c r="B70" s="1" t="s">
        <v>967</v>
      </c>
      <c r="C70" s="3"/>
      <c r="D70" s="3"/>
      <c r="E70" s="1" t="str">
        <f>IFERROR(__xludf.DUMMYFUNCTION("IFERROR(REGEXEXTRACT(A70, ""res(269|122)""), ""none"")"),"122")</f>
        <v>122</v>
      </c>
      <c r="F70" s="1">
        <v>-15.555635</v>
      </c>
      <c r="G70" s="1">
        <v>8.0</v>
      </c>
      <c r="H70" s="1">
        <v>3.0</v>
      </c>
      <c r="I70" s="1">
        <v>0.375</v>
      </c>
      <c r="J70" s="1">
        <v>3.0</v>
      </c>
      <c r="K70" s="1">
        <v>-1.23752999999999</v>
      </c>
      <c r="L70" s="1">
        <v>100.0</v>
      </c>
      <c r="M70" s="1">
        <v>0.0</v>
      </c>
      <c r="N70" s="1">
        <v>0.0</v>
      </c>
      <c r="O70" s="1">
        <v>97.581835</v>
      </c>
    </row>
    <row r="71">
      <c r="A71" s="1" t="s">
        <v>968</v>
      </c>
      <c r="B71" s="1" t="s">
        <v>969</v>
      </c>
      <c r="C71" s="3"/>
      <c r="D71" s="3"/>
      <c r="E71" s="1" t="str">
        <f>IFERROR(__xludf.DUMMYFUNCTION("IFERROR(REGEXEXTRACT(A71, ""res(269|122)""), ""none"")"),"122")</f>
        <v>122</v>
      </c>
      <c r="F71" s="1">
        <v>-15.464987</v>
      </c>
      <c r="G71" s="1">
        <v>7.0</v>
      </c>
      <c r="H71" s="1">
        <v>4.0</v>
      </c>
      <c r="I71" s="1">
        <v>0.285714</v>
      </c>
      <c r="J71" s="1">
        <v>2.0</v>
      </c>
      <c r="K71" s="1">
        <v>-0.843909</v>
      </c>
      <c r="L71" s="1">
        <v>100.0</v>
      </c>
      <c r="M71" s="1">
        <v>0.0</v>
      </c>
      <c r="N71" s="1">
        <v>0.0</v>
      </c>
      <c r="O71" s="1">
        <v>96.976818</v>
      </c>
    </row>
    <row r="72">
      <c r="A72" s="1" t="s">
        <v>970</v>
      </c>
      <c r="B72" s="1" t="s">
        <v>971</v>
      </c>
      <c r="C72" s="3"/>
      <c r="D72" s="3"/>
      <c r="E72" s="1" t="str">
        <f>IFERROR(__xludf.DUMMYFUNCTION("IFERROR(REGEXEXTRACT(A72, ""res(269|122)""), ""none"")"),"122")</f>
        <v>122</v>
      </c>
      <c r="F72" s="1">
        <v>-15.230464</v>
      </c>
      <c r="G72" s="1">
        <v>9.0</v>
      </c>
      <c r="H72" s="1">
        <v>2.0</v>
      </c>
      <c r="I72" s="1">
        <v>0.333333</v>
      </c>
      <c r="J72" s="1">
        <v>2.0</v>
      </c>
      <c r="K72" s="1">
        <v>-0.81196</v>
      </c>
      <c r="L72" s="1">
        <v>100.0</v>
      </c>
      <c r="M72" s="1">
        <v>0.0</v>
      </c>
      <c r="N72" s="1">
        <v>0.0</v>
      </c>
      <c r="O72" s="1">
        <v>97.290909</v>
      </c>
    </row>
    <row r="73">
      <c r="A73" s="1" t="s">
        <v>972</v>
      </c>
      <c r="B73" s="1" t="s">
        <v>973</v>
      </c>
      <c r="C73" s="3"/>
      <c r="D73" s="3"/>
      <c r="E73" s="1" t="str">
        <f>IFERROR(__xludf.DUMMYFUNCTION("IFERROR(REGEXEXTRACT(A73, ""res(269|122)""), ""none"")"),"122")</f>
        <v>122</v>
      </c>
      <c r="F73" s="1">
        <v>-16.931881</v>
      </c>
      <c r="G73" s="1">
        <v>10.0</v>
      </c>
      <c r="H73" s="1">
        <v>4.0</v>
      </c>
      <c r="I73" s="1">
        <v>0.3</v>
      </c>
      <c r="J73" s="1">
        <v>2.0</v>
      </c>
      <c r="K73" s="1">
        <v>-0.442768999999999</v>
      </c>
      <c r="L73" s="1">
        <v>100.0</v>
      </c>
      <c r="M73" s="1">
        <v>0.0</v>
      </c>
      <c r="N73" s="1">
        <v>0.0</v>
      </c>
      <c r="O73" s="1">
        <v>98.92535</v>
      </c>
    </row>
    <row r="74">
      <c r="A74" s="1" t="s">
        <v>974</v>
      </c>
      <c r="B74" s="1" t="s">
        <v>975</v>
      </c>
      <c r="C74" s="3"/>
      <c r="D74" s="3"/>
      <c r="E74" s="1" t="str">
        <f>IFERROR(__xludf.DUMMYFUNCTION("IFERROR(REGEXEXTRACT(A74, ""res(269|122)""), ""none"")"),"122")</f>
        <v>122</v>
      </c>
      <c r="F74" s="1">
        <v>-17.518199</v>
      </c>
      <c r="G74" s="1">
        <v>11.0</v>
      </c>
      <c r="H74" s="1">
        <v>3.0</v>
      </c>
      <c r="I74" s="1">
        <v>0.272727</v>
      </c>
      <c r="J74" s="1">
        <v>2.0</v>
      </c>
      <c r="K74" s="1">
        <v>-1.13703</v>
      </c>
      <c r="L74" s="1">
        <v>100.0</v>
      </c>
      <c r="M74" s="1">
        <v>0.0</v>
      </c>
      <c r="N74" s="1">
        <v>0.0</v>
      </c>
      <c r="O74" s="1">
        <v>97.617498</v>
      </c>
    </row>
    <row r="75">
      <c r="A75" s="1" t="s">
        <v>976</v>
      </c>
      <c r="B75" s="1" t="s">
        <v>977</v>
      </c>
      <c r="C75" s="3"/>
      <c r="D75" s="3"/>
      <c r="E75" s="1" t="str">
        <f>IFERROR(__xludf.DUMMYFUNCTION("IFERROR(REGEXEXTRACT(A75, ""res(269|122)""), ""none"")"),"122")</f>
        <v>122</v>
      </c>
      <c r="F75" s="1">
        <v>-17.440245</v>
      </c>
      <c r="G75" s="1">
        <v>11.0</v>
      </c>
      <c r="H75" s="1">
        <v>4.0</v>
      </c>
      <c r="I75" s="1">
        <v>0.363636</v>
      </c>
      <c r="J75" s="1">
        <v>2.0</v>
      </c>
      <c r="K75" s="1">
        <v>-0.623826</v>
      </c>
      <c r="L75" s="1">
        <v>100.0</v>
      </c>
      <c r="M75" s="1">
        <v>0.0</v>
      </c>
      <c r="N75" s="1">
        <v>0.0</v>
      </c>
      <c r="O75" s="1">
        <v>99.299565</v>
      </c>
    </row>
    <row r="76">
      <c r="A76" s="1" t="s">
        <v>978</v>
      </c>
      <c r="B76" s="1" t="s">
        <v>979</v>
      </c>
      <c r="C76" s="3"/>
      <c r="D76" s="3"/>
      <c r="E76" s="1" t="str">
        <f>IFERROR(__xludf.DUMMYFUNCTION("IFERROR(REGEXEXTRACT(A76, ""res(269|122)""), ""none"")"),"122")</f>
        <v>122</v>
      </c>
      <c r="F76" s="1">
        <v>-15.049047</v>
      </c>
      <c r="G76" s="1">
        <v>10.0</v>
      </c>
      <c r="H76" s="1">
        <v>4.0</v>
      </c>
      <c r="I76" s="1">
        <v>0.4</v>
      </c>
      <c r="J76" s="1">
        <v>2.0</v>
      </c>
      <c r="K76" s="1">
        <v>-0.37732</v>
      </c>
      <c r="L76" s="1">
        <v>100.0</v>
      </c>
      <c r="M76" s="1">
        <v>0.0</v>
      </c>
      <c r="N76" s="1">
        <v>0.0</v>
      </c>
      <c r="O76" s="1">
        <v>100.973633</v>
      </c>
    </row>
    <row r="77">
      <c r="A77" s="1" t="s">
        <v>980</v>
      </c>
      <c r="B77" s="1" t="s">
        <v>981</v>
      </c>
      <c r="C77" s="3"/>
      <c r="D77" s="3"/>
      <c r="E77" s="1" t="str">
        <f>IFERROR(__xludf.DUMMYFUNCTION("IFERROR(REGEXEXTRACT(A77, ""res(269|122)""), ""none"")"),"122")</f>
        <v>122</v>
      </c>
      <c r="F77" s="1">
        <v>-15.403036</v>
      </c>
      <c r="G77" s="1">
        <v>7.0</v>
      </c>
      <c r="H77" s="1">
        <v>3.0</v>
      </c>
      <c r="I77" s="1">
        <v>0.285714</v>
      </c>
      <c r="J77" s="1">
        <v>2.0</v>
      </c>
      <c r="K77" s="1">
        <v>-1.077382</v>
      </c>
      <c r="L77" s="1">
        <v>100.0</v>
      </c>
      <c r="M77" s="1">
        <v>0.0</v>
      </c>
      <c r="N77" s="1">
        <v>0.0</v>
      </c>
      <c r="O77" s="1">
        <v>95.805296</v>
      </c>
    </row>
    <row r="78">
      <c r="A78" s="1" t="s">
        <v>982</v>
      </c>
      <c r="B78" s="1" t="s">
        <v>983</v>
      </c>
      <c r="C78" s="3"/>
      <c r="D78" s="3"/>
      <c r="E78" s="1" t="str">
        <f>IFERROR(__xludf.DUMMYFUNCTION("IFERROR(REGEXEXTRACT(A78, ""res(269|122)""), ""none"")"),"122")</f>
        <v>122</v>
      </c>
      <c r="F78" s="1">
        <v>-15.302094</v>
      </c>
      <c r="G78" s="1">
        <v>7.0</v>
      </c>
      <c r="H78" s="1">
        <v>3.0</v>
      </c>
      <c r="I78" s="1">
        <v>0.285714</v>
      </c>
      <c r="J78" s="1">
        <v>2.0</v>
      </c>
      <c r="K78" s="1">
        <v>-0.935695</v>
      </c>
      <c r="L78" s="1">
        <v>100.0</v>
      </c>
      <c r="M78" s="1">
        <v>0.0</v>
      </c>
      <c r="N78" s="1">
        <v>0.0</v>
      </c>
      <c r="O78" s="1">
        <v>96.047925</v>
      </c>
    </row>
    <row r="79">
      <c r="A79" s="1" t="s">
        <v>984</v>
      </c>
      <c r="B79" s="1" t="s">
        <v>985</v>
      </c>
      <c r="C79" s="3"/>
      <c r="D79" s="3"/>
      <c r="E79" s="1" t="str">
        <f>IFERROR(__xludf.DUMMYFUNCTION("IFERROR(REGEXEXTRACT(A79, ""res(269|122)""), ""none"")"),"122")</f>
        <v>122</v>
      </c>
      <c r="F79" s="1">
        <v>-18.022196</v>
      </c>
      <c r="G79" s="1">
        <v>7.0</v>
      </c>
      <c r="H79" s="1">
        <v>3.0</v>
      </c>
      <c r="I79" s="1">
        <v>0.285714</v>
      </c>
      <c r="J79" s="1">
        <v>2.0</v>
      </c>
      <c r="K79" s="1">
        <v>-0.903438</v>
      </c>
      <c r="L79" s="1">
        <v>100.0</v>
      </c>
      <c r="M79" s="1">
        <v>0.0</v>
      </c>
      <c r="N79" s="1">
        <v>0.0</v>
      </c>
      <c r="O79" s="1">
        <v>93.36008</v>
      </c>
    </row>
    <row r="80">
      <c r="A80" s="1" t="s">
        <v>986</v>
      </c>
      <c r="B80" s="1" t="s">
        <v>987</v>
      </c>
      <c r="C80" s="3"/>
      <c r="D80" s="3"/>
      <c r="E80" s="1" t="str">
        <f>IFERROR(__xludf.DUMMYFUNCTION("IFERROR(REGEXEXTRACT(A80, ""res(269|122)""), ""none"")"),"122")</f>
        <v>122</v>
      </c>
      <c r="F80" s="1">
        <v>-15.014055</v>
      </c>
      <c r="G80" s="1">
        <v>7.0</v>
      </c>
      <c r="H80" s="1">
        <v>3.0</v>
      </c>
      <c r="I80" s="1">
        <v>0.285714</v>
      </c>
      <c r="J80" s="1">
        <v>2.0</v>
      </c>
      <c r="K80" s="1">
        <v>-0.455789</v>
      </c>
      <c r="L80" s="1">
        <v>100.0</v>
      </c>
      <c r="M80" s="1">
        <v>0.0</v>
      </c>
      <c r="N80" s="1">
        <v>0.0</v>
      </c>
      <c r="O80" s="1">
        <v>96.81587</v>
      </c>
    </row>
    <row r="81">
      <c r="A81" s="1" t="s">
        <v>988</v>
      </c>
      <c r="B81" s="1" t="s">
        <v>989</v>
      </c>
      <c r="C81" s="3"/>
      <c r="D81" s="3"/>
      <c r="E81" s="1" t="str">
        <f>IFERROR(__xludf.DUMMYFUNCTION("IFERROR(REGEXEXTRACT(A81, ""res(269|122)""), ""none"")"),"122")</f>
        <v>122</v>
      </c>
      <c r="F81" s="1">
        <v>-15.699962</v>
      </c>
      <c r="G81" s="1">
        <v>11.0</v>
      </c>
      <c r="H81" s="1">
        <v>4.0</v>
      </c>
      <c r="I81" s="1">
        <v>0.363636</v>
      </c>
      <c r="J81" s="1">
        <v>2.0</v>
      </c>
      <c r="K81" s="1">
        <v>-0.60822</v>
      </c>
      <c r="L81" s="1">
        <v>100.0</v>
      </c>
      <c r="M81" s="1">
        <v>0.0</v>
      </c>
      <c r="N81" s="1">
        <v>0.0</v>
      </c>
      <c r="O81" s="1">
        <v>101.055454</v>
      </c>
    </row>
    <row r="82">
      <c r="A82" s="1" t="s">
        <v>990</v>
      </c>
      <c r="B82" s="1" t="s">
        <v>991</v>
      </c>
      <c r="C82" s="3"/>
      <c r="D82" s="3"/>
      <c r="E82" s="1" t="str">
        <f>IFERROR(__xludf.DUMMYFUNCTION("IFERROR(REGEXEXTRACT(A82, ""res(269|122)""), ""none"")"),"122")</f>
        <v>122</v>
      </c>
      <c r="F82" s="1">
        <v>-15.314253</v>
      </c>
      <c r="G82" s="1">
        <v>12.0</v>
      </c>
      <c r="H82" s="1">
        <v>4.0</v>
      </c>
      <c r="I82" s="1">
        <v>0.25</v>
      </c>
      <c r="J82" s="1">
        <v>2.0</v>
      </c>
      <c r="K82" s="1">
        <v>-0.675518</v>
      </c>
      <c r="L82" s="1">
        <v>100.0</v>
      </c>
      <c r="M82" s="1">
        <v>0.0</v>
      </c>
      <c r="N82" s="1">
        <v>0.0</v>
      </c>
      <c r="O82" s="1">
        <v>102.260229</v>
      </c>
    </row>
    <row r="83">
      <c r="A83" s="1" t="s">
        <v>992</v>
      </c>
      <c r="B83" s="1" t="s">
        <v>993</v>
      </c>
      <c r="C83" s="3"/>
      <c r="D83" s="3"/>
      <c r="E83" s="1" t="str">
        <f>IFERROR(__xludf.DUMMYFUNCTION("IFERROR(REGEXEXTRACT(A83, ""res(269|122)""), ""none"")"),"122")</f>
        <v>122</v>
      </c>
      <c r="F83" s="1">
        <v>-15.500702</v>
      </c>
      <c r="G83" s="1">
        <v>11.0</v>
      </c>
      <c r="H83" s="1">
        <v>4.0</v>
      </c>
      <c r="I83" s="1">
        <v>0.272727</v>
      </c>
      <c r="J83" s="1">
        <v>2.0</v>
      </c>
      <c r="K83" s="1">
        <v>-0.128303</v>
      </c>
      <c r="L83" s="1">
        <v>100.0</v>
      </c>
      <c r="M83" s="1">
        <v>0.0</v>
      </c>
      <c r="N83" s="1">
        <v>0.0</v>
      </c>
      <c r="O83" s="1">
        <v>101.643722</v>
      </c>
    </row>
    <row r="84">
      <c r="A84" s="1" t="s">
        <v>230</v>
      </c>
      <c r="B84" s="1" t="s">
        <v>231</v>
      </c>
      <c r="C84" s="3"/>
      <c r="D84" s="3"/>
      <c r="E84" s="1" t="str">
        <f>IFERROR(__xludf.DUMMYFUNCTION("IFERROR(REGEXEXTRACT(A84, ""res(269|122)""), ""none"")"),"122")</f>
        <v>122</v>
      </c>
      <c r="F84" s="1">
        <v>-16.569372</v>
      </c>
      <c r="G84" s="1">
        <v>8.0</v>
      </c>
      <c r="H84" s="1">
        <v>3.0</v>
      </c>
      <c r="I84" s="1">
        <v>0.5</v>
      </c>
      <c r="J84" s="1">
        <v>2.0</v>
      </c>
      <c r="K84" s="1">
        <v>-0.987431</v>
      </c>
      <c r="L84" s="1">
        <v>100.0</v>
      </c>
      <c r="M84" s="1">
        <v>0.0</v>
      </c>
      <c r="N84" s="1">
        <v>0.0</v>
      </c>
      <c r="O84" s="1">
        <v>95.943197</v>
      </c>
    </row>
    <row r="85">
      <c r="A85" s="1" t="s">
        <v>232</v>
      </c>
      <c r="B85" s="1" t="s">
        <v>62</v>
      </c>
      <c r="C85" s="3"/>
      <c r="D85" s="3"/>
      <c r="E85" s="1" t="str">
        <f>IFERROR(__xludf.DUMMYFUNCTION("IFERROR(REGEXEXTRACT(A85, ""res(269|122)""), ""none"")"),"122")</f>
        <v>122</v>
      </c>
      <c r="F85" s="1">
        <v>-16.448389</v>
      </c>
      <c r="G85" s="1">
        <v>9.0</v>
      </c>
      <c r="H85" s="1">
        <v>3.0</v>
      </c>
      <c r="I85" s="1">
        <v>0.333333</v>
      </c>
      <c r="J85" s="1">
        <v>2.0</v>
      </c>
      <c r="K85" s="1">
        <v>-1.562614</v>
      </c>
      <c r="L85" s="1">
        <v>100.0</v>
      </c>
      <c r="M85" s="1">
        <v>0.0</v>
      </c>
      <c r="N85" s="1">
        <v>0.0</v>
      </c>
      <c r="O85" s="1">
        <v>96.32233</v>
      </c>
    </row>
    <row r="86">
      <c r="A86" s="1" t="s">
        <v>233</v>
      </c>
      <c r="B86" s="1" t="s">
        <v>103</v>
      </c>
      <c r="C86" s="3"/>
      <c r="D86" s="3"/>
      <c r="E86" s="1" t="str">
        <f>IFERROR(__xludf.DUMMYFUNCTION("IFERROR(REGEXEXTRACT(A86, ""res(269|122)""), ""none"")"),"122")</f>
        <v>122</v>
      </c>
      <c r="F86" s="1">
        <v>-16.810235</v>
      </c>
      <c r="G86" s="1">
        <v>9.0</v>
      </c>
      <c r="H86" s="1">
        <v>3.0</v>
      </c>
      <c r="I86" s="1">
        <v>0.444444</v>
      </c>
      <c r="J86" s="1">
        <v>2.0</v>
      </c>
      <c r="K86" s="1">
        <v>-0.880047</v>
      </c>
      <c r="L86" s="1">
        <v>100.0</v>
      </c>
      <c r="M86" s="1">
        <v>0.0</v>
      </c>
      <c r="N86" s="1">
        <v>0.0</v>
      </c>
      <c r="O86" s="1">
        <v>96.754162</v>
      </c>
    </row>
    <row r="87">
      <c r="A87" s="1" t="s">
        <v>994</v>
      </c>
      <c r="B87" s="1" t="s">
        <v>995</v>
      </c>
      <c r="C87" s="3"/>
      <c r="D87" s="3"/>
      <c r="E87" s="1" t="str">
        <f>IFERROR(__xludf.DUMMYFUNCTION("IFERROR(REGEXEXTRACT(A87, ""res(269|122)""), ""none"")"),"122")</f>
        <v>122</v>
      </c>
      <c r="F87" s="1">
        <v>-15.20253</v>
      </c>
      <c r="G87" s="1">
        <v>8.0</v>
      </c>
      <c r="H87" s="1">
        <v>4.0</v>
      </c>
      <c r="I87" s="1">
        <v>0.25</v>
      </c>
      <c r="J87" s="1">
        <v>2.0</v>
      </c>
      <c r="K87" s="1">
        <v>-0.673079</v>
      </c>
      <c r="L87" s="1">
        <v>100.0</v>
      </c>
      <c r="M87" s="1">
        <v>0.0</v>
      </c>
      <c r="N87" s="1">
        <v>0.0</v>
      </c>
      <c r="O87" s="1">
        <v>98.374391</v>
      </c>
    </row>
    <row r="88">
      <c r="A88" s="1" t="s">
        <v>996</v>
      </c>
      <c r="B88" s="1" t="s">
        <v>997</v>
      </c>
      <c r="C88" s="3"/>
      <c r="D88" s="3"/>
      <c r="E88" s="1" t="str">
        <f>IFERROR(__xludf.DUMMYFUNCTION("IFERROR(REGEXEXTRACT(A88, ""res(269|122)""), ""none"")"),"122")</f>
        <v>122</v>
      </c>
      <c r="F88" s="1">
        <v>-16.387992</v>
      </c>
      <c r="G88" s="1">
        <v>8.0</v>
      </c>
      <c r="H88" s="1">
        <v>2.0</v>
      </c>
      <c r="I88" s="1">
        <v>0.25</v>
      </c>
      <c r="J88" s="1">
        <v>2.0</v>
      </c>
      <c r="K88" s="1">
        <v>-1.049027</v>
      </c>
      <c r="L88" s="1">
        <v>100.0</v>
      </c>
      <c r="M88" s="1">
        <v>0.0</v>
      </c>
      <c r="N88" s="1">
        <v>0.0</v>
      </c>
      <c r="O88" s="1">
        <v>94.812981</v>
      </c>
    </row>
    <row r="89">
      <c r="A89" s="1" t="s">
        <v>998</v>
      </c>
      <c r="B89" s="1" t="s">
        <v>999</v>
      </c>
      <c r="C89" s="3"/>
      <c r="D89" s="3"/>
      <c r="E89" s="1" t="str">
        <f>IFERROR(__xludf.DUMMYFUNCTION("IFERROR(REGEXEXTRACT(A89, ""res(269|122)""), ""none"")"),"122")</f>
        <v>122</v>
      </c>
      <c r="F89" s="1">
        <v>-15.790538</v>
      </c>
      <c r="G89" s="1">
        <v>8.0</v>
      </c>
      <c r="H89" s="1">
        <v>4.0</v>
      </c>
      <c r="I89" s="1">
        <v>0.25</v>
      </c>
      <c r="J89" s="1">
        <v>2.0</v>
      </c>
      <c r="K89" s="1">
        <v>-0.799056</v>
      </c>
      <c r="L89" s="1">
        <v>100.0</v>
      </c>
      <c r="M89" s="1">
        <v>0.0</v>
      </c>
      <c r="N89" s="1">
        <v>0.0</v>
      </c>
      <c r="O89" s="1">
        <v>97.660406</v>
      </c>
    </row>
    <row r="90">
      <c r="A90" s="1" t="s">
        <v>234</v>
      </c>
      <c r="B90" s="1" t="s">
        <v>235</v>
      </c>
      <c r="C90" s="3"/>
      <c r="D90" s="3"/>
      <c r="E90" s="1" t="str">
        <f>IFERROR(__xludf.DUMMYFUNCTION("IFERROR(REGEXEXTRACT(A90, ""res(269|122)""), ""none"")"),"122")</f>
        <v>122</v>
      </c>
      <c r="F90" s="1">
        <v>-15.466932</v>
      </c>
      <c r="G90" s="1">
        <v>7.0</v>
      </c>
      <c r="H90" s="1">
        <v>3.0</v>
      </c>
      <c r="I90" s="1">
        <v>0.285714</v>
      </c>
      <c r="J90" s="1">
        <v>2.0</v>
      </c>
      <c r="K90" s="1">
        <v>-1.068929</v>
      </c>
      <c r="L90" s="1">
        <v>100.0</v>
      </c>
      <c r="M90" s="1">
        <v>0.0</v>
      </c>
      <c r="N90" s="1">
        <v>0.0</v>
      </c>
      <c r="O90" s="1">
        <v>95.749853</v>
      </c>
    </row>
    <row r="91">
      <c r="A91" s="1" t="s">
        <v>1000</v>
      </c>
      <c r="B91" s="1" t="s">
        <v>1001</v>
      </c>
      <c r="C91" s="3"/>
      <c r="D91" s="3"/>
      <c r="E91" s="1" t="str">
        <f>IFERROR(__xludf.DUMMYFUNCTION("IFERROR(REGEXEXTRACT(A91, ""res(269|122)""), ""none"")"),"122")</f>
        <v>122</v>
      </c>
      <c r="F91" s="1">
        <v>-15.10018</v>
      </c>
      <c r="G91" s="1">
        <v>10.0</v>
      </c>
      <c r="H91" s="1">
        <v>4.0</v>
      </c>
      <c r="I91" s="1">
        <v>0.4</v>
      </c>
      <c r="J91" s="1">
        <v>2.0</v>
      </c>
      <c r="K91" s="1">
        <v>-1.324945</v>
      </c>
      <c r="L91" s="1">
        <v>100.0</v>
      </c>
      <c r="M91" s="1">
        <v>0.0</v>
      </c>
      <c r="N91" s="1">
        <v>0.0</v>
      </c>
      <c r="O91" s="1">
        <v>99.974875</v>
      </c>
    </row>
    <row r="92">
      <c r="A92" s="1" t="s">
        <v>1002</v>
      </c>
      <c r="B92" s="1" t="s">
        <v>1003</v>
      </c>
      <c r="C92" s="3"/>
      <c r="D92" s="3"/>
      <c r="E92" s="1" t="str">
        <f>IFERROR(__xludf.DUMMYFUNCTION("IFERROR(REGEXEXTRACT(A92, ""res(269|122)""), ""none"")"),"122")</f>
        <v>122</v>
      </c>
      <c r="F92" s="1">
        <v>-15.298524</v>
      </c>
      <c r="G92" s="1">
        <v>6.0</v>
      </c>
      <c r="H92" s="1">
        <v>3.0</v>
      </c>
      <c r="I92" s="1">
        <v>0.666667</v>
      </c>
      <c r="J92" s="1">
        <v>2.0</v>
      </c>
      <c r="K92" s="1">
        <v>-0.912719</v>
      </c>
      <c r="L92" s="1">
        <v>100.0</v>
      </c>
      <c r="M92" s="1">
        <v>0.0</v>
      </c>
      <c r="N92" s="1">
        <v>0.0</v>
      </c>
      <c r="O92" s="1">
        <v>95.455424</v>
      </c>
    </row>
    <row r="93">
      <c r="A93" s="1" t="s">
        <v>236</v>
      </c>
      <c r="B93" s="1" t="s">
        <v>107</v>
      </c>
      <c r="C93" s="3"/>
      <c r="D93" s="3"/>
      <c r="E93" s="1" t="str">
        <f>IFERROR(__xludf.DUMMYFUNCTION("IFERROR(REGEXEXTRACT(A93, ""res(269|122)""), ""none"")"),"122")</f>
        <v>122</v>
      </c>
      <c r="F93" s="1">
        <v>-15.035637</v>
      </c>
      <c r="G93" s="1">
        <v>8.0</v>
      </c>
      <c r="H93" s="1">
        <v>4.0</v>
      </c>
      <c r="I93" s="1">
        <v>0.25</v>
      </c>
      <c r="J93" s="1">
        <v>2.0</v>
      </c>
      <c r="K93" s="1">
        <v>-0.915905</v>
      </c>
      <c r="L93" s="1">
        <v>100.0</v>
      </c>
      <c r="M93" s="1">
        <v>0.0</v>
      </c>
      <c r="N93" s="1">
        <v>0.0</v>
      </c>
      <c r="O93" s="1">
        <v>98.298458</v>
      </c>
    </row>
    <row r="94">
      <c r="A94" s="1" t="s">
        <v>1004</v>
      </c>
      <c r="B94" s="1" t="s">
        <v>1005</v>
      </c>
      <c r="C94" s="3"/>
      <c r="D94" s="3"/>
      <c r="E94" s="1" t="str">
        <f>IFERROR(__xludf.DUMMYFUNCTION("IFERROR(REGEXEXTRACT(A94, ""res(269|122)""), ""none"")"),"122")</f>
        <v>122</v>
      </c>
      <c r="F94" s="1">
        <v>-15.449821</v>
      </c>
      <c r="G94" s="1">
        <v>8.0</v>
      </c>
      <c r="H94" s="1">
        <v>4.0</v>
      </c>
      <c r="I94" s="1">
        <v>0.25</v>
      </c>
      <c r="J94" s="1">
        <v>2.0</v>
      </c>
      <c r="K94" s="1">
        <v>-0.597896</v>
      </c>
      <c r="L94" s="1">
        <v>100.0</v>
      </c>
      <c r="M94" s="1">
        <v>0.0</v>
      </c>
      <c r="N94" s="1">
        <v>0.0</v>
      </c>
      <c r="O94" s="1">
        <v>98.202283</v>
      </c>
    </row>
    <row r="95">
      <c r="A95" s="1" t="s">
        <v>1006</v>
      </c>
      <c r="B95" s="1" t="s">
        <v>1007</v>
      </c>
      <c r="C95" s="3"/>
      <c r="D95" s="3"/>
      <c r="E95" s="1" t="str">
        <f>IFERROR(__xludf.DUMMYFUNCTION("IFERROR(REGEXEXTRACT(A95, ""res(269|122)""), ""none"")"),"122")</f>
        <v>122</v>
      </c>
      <c r="F95" s="1">
        <v>-15.287369</v>
      </c>
      <c r="G95" s="1">
        <v>8.0</v>
      </c>
      <c r="H95" s="1">
        <v>5.0</v>
      </c>
      <c r="I95" s="1">
        <v>0.375</v>
      </c>
      <c r="J95" s="1">
        <v>2.0</v>
      </c>
      <c r="K95" s="1">
        <v>-1.284821</v>
      </c>
      <c r="L95" s="1">
        <v>100.0</v>
      </c>
      <c r="M95" s="1">
        <v>0.0</v>
      </c>
      <c r="N95" s="1">
        <v>0.0</v>
      </c>
      <c r="O95" s="1">
        <v>98.80281</v>
      </c>
    </row>
    <row r="96">
      <c r="A96" s="1" t="s">
        <v>1008</v>
      </c>
      <c r="B96" s="1" t="s">
        <v>1009</v>
      </c>
      <c r="C96" s="3"/>
      <c r="D96" s="3"/>
      <c r="E96" s="1" t="str">
        <f>IFERROR(__xludf.DUMMYFUNCTION("IFERROR(REGEXEXTRACT(A96, ""res(269|122)""), ""none"")"),"122")</f>
        <v>122</v>
      </c>
      <c r="F96" s="1">
        <v>-15.020705</v>
      </c>
      <c r="G96" s="1">
        <v>8.0</v>
      </c>
      <c r="H96" s="1">
        <v>4.0</v>
      </c>
      <c r="I96" s="1">
        <v>0.375</v>
      </c>
      <c r="J96" s="1">
        <v>2.0</v>
      </c>
      <c r="K96" s="1">
        <v>-0.497393</v>
      </c>
      <c r="L96" s="1">
        <v>100.0</v>
      </c>
      <c r="M96" s="1">
        <v>0.0</v>
      </c>
      <c r="N96" s="1">
        <v>0.0</v>
      </c>
      <c r="O96" s="1">
        <v>98.856902</v>
      </c>
    </row>
    <row r="97">
      <c r="A97" s="1" t="s">
        <v>237</v>
      </c>
      <c r="B97" s="1" t="s">
        <v>238</v>
      </c>
      <c r="C97" s="3"/>
      <c r="D97" s="3"/>
      <c r="E97" s="1" t="str">
        <f>IFERROR(__xludf.DUMMYFUNCTION("IFERROR(REGEXEXTRACT(A97, ""res(269|122)""), ""none"")"),"122")</f>
        <v>122</v>
      </c>
      <c r="F97" s="1">
        <v>-16.448683</v>
      </c>
      <c r="G97" s="1">
        <v>7.0</v>
      </c>
      <c r="H97" s="1">
        <v>4.0</v>
      </c>
      <c r="I97" s="1">
        <v>0.428571</v>
      </c>
      <c r="J97" s="1">
        <v>2.0</v>
      </c>
      <c r="K97" s="1">
        <v>-1.118176</v>
      </c>
      <c r="L97" s="1">
        <v>100.0</v>
      </c>
      <c r="M97" s="1">
        <v>0.0</v>
      </c>
      <c r="N97" s="1">
        <v>0.0</v>
      </c>
      <c r="O97" s="1">
        <v>95.861712</v>
      </c>
    </row>
    <row r="98">
      <c r="A98" s="1" t="s">
        <v>239</v>
      </c>
      <c r="B98" s="1" t="s">
        <v>240</v>
      </c>
      <c r="C98" s="3"/>
      <c r="D98" s="3"/>
      <c r="E98" s="1" t="str">
        <f>IFERROR(__xludf.DUMMYFUNCTION("IFERROR(REGEXEXTRACT(A98, ""res(269|122)""), ""none"")"),"122")</f>
        <v>122</v>
      </c>
      <c r="F98" s="1">
        <v>-15.291041</v>
      </c>
      <c r="G98" s="1">
        <v>8.0</v>
      </c>
      <c r="H98" s="1">
        <v>3.0</v>
      </c>
      <c r="I98" s="1">
        <v>0.375</v>
      </c>
      <c r="J98" s="1">
        <v>2.0</v>
      </c>
      <c r="K98" s="1">
        <v>-0.739298999999999</v>
      </c>
      <c r="L98" s="1">
        <v>100.0</v>
      </c>
      <c r="M98" s="1">
        <v>0.0</v>
      </c>
      <c r="N98" s="1">
        <v>0.0</v>
      </c>
      <c r="O98" s="1">
        <v>97.34466</v>
      </c>
    </row>
    <row r="99">
      <c r="A99" s="1" t="s">
        <v>1010</v>
      </c>
      <c r="B99" s="1" t="s">
        <v>1011</v>
      </c>
      <c r="C99" s="3"/>
      <c r="D99" s="3"/>
      <c r="E99" s="1" t="str">
        <f>IFERROR(__xludf.DUMMYFUNCTION("IFERROR(REGEXEXTRACT(A99, ""res(269|122)""), ""none"")"),"122")</f>
        <v>122</v>
      </c>
      <c r="F99" s="1">
        <v>-17.523214</v>
      </c>
      <c r="G99" s="1">
        <v>11.0</v>
      </c>
      <c r="H99" s="1">
        <v>4.0</v>
      </c>
      <c r="I99" s="1">
        <v>0.363636</v>
      </c>
      <c r="J99" s="1">
        <v>2.0</v>
      </c>
      <c r="K99" s="1">
        <v>-1.221166</v>
      </c>
      <c r="L99" s="1">
        <v>100.0</v>
      </c>
      <c r="M99" s="1">
        <v>0.0</v>
      </c>
      <c r="N99" s="1">
        <v>0.0</v>
      </c>
      <c r="O99" s="1">
        <v>98.619256</v>
      </c>
    </row>
    <row r="100">
      <c r="A100" s="1" t="s">
        <v>1012</v>
      </c>
      <c r="B100" s="1" t="s">
        <v>1013</v>
      </c>
      <c r="C100" s="3"/>
      <c r="D100" s="3"/>
      <c r="E100" s="1" t="str">
        <f>IFERROR(__xludf.DUMMYFUNCTION("IFERROR(REGEXEXTRACT(A100, ""res(269|122)""), ""none"")"),"122")</f>
        <v>122</v>
      </c>
      <c r="F100" s="1">
        <v>-15.685805</v>
      </c>
      <c r="G100" s="1">
        <v>10.0</v>
      </c>
      <c r="H100" s="1">
        <v>3.0</v>
      </c>
      <c r="I100" s="1">
        <v>0.3</v>
      </c>
      <c r="J100" s="1">
        <v>2.0</v>
      </c>
      <c r="K100" s="1">
        <v>-0.997716</v>
      </c>
      <c r="L100" s="1">
        <v>100.0</v>
      </c>
      <c r="M100" s="1">
        <v>0.0</v>
      </c>
      <c r="N100" s="1">
        <v>0.0</v>
      </c>
      <c r="O100" s="1">
        <v>98.616479</v>
      </c>
    </row>
    <row r="101">
      <c r="A101" s="1" t="s">
        <v>1014</v>
      </c>
      <c r="B101" s="1" t="s">
        <v>1015</v>
      </c>
      <c r="C101" s="3"/>
      <c r="D101" s="3"/>
      <c r="E101" s="1" t="str">
        <f>IFERROR(__xludf.DUMMYFUNCTION("IFERROR(REGEXEXTRACT(A101, ""res(269|122)""), ""none"")"),"122")</f>
        <v>122</v>
      </c>
      <c r="F101" s="1">
        <v>-17.896335</v>
      </c>
      <c r="G101" s="1">
        <v>10.0</v>
      </c>
      <c r="H101" s="1">
        <v>4.0</v>
      </c>
      <c r="I101" s="1">
        <v>0.3</v>
      </c>
      <c r="J101" s="1">
        <v>2.0</v>
      </c>
      <c r="K101" s="1">
        <v>-0.787613</v>
      </c>
      <c r="L101" s="1">
        <v>100.0</v>
      </c>
      <c r="M101" s="1">
        <v>0.0</v>
      </c>
      <c r="N101" s="1">
        <v>0.0</v>
      </c>
      <c r="O101" s="1">
        <v>97.616052</v>
      </c>
    </row>
    <row r="102">
      <c r="A102" s="1" t="s">
        <v>1016</v>
      </c>
      <c r="B102" s="1" t="s">
        <v>1017</v>
      </c>
      <c r="C102" s="3"/>
      <c r="D102" s="3"/>
      <c r="E102" s="1" t="str">
        <f>IFERROR(__xludf.DUMMYFUNCTION("IFERROR(REGEXEXTRACT(A102, ""res(269|122)""), ""none"")"),"122")</f>
        <v>122</v>
      </c>
      <c r="F102" s="1">
        <v>-16.549445</v>
      </c>
      <c r="G102" s="1">
        <v>8.0</v>
      </c>
      <c r="H102" s="1">
        <v>3.0</v>
      </c>
      <c r="I102" s="1">
        <v>0.25</v>
      </c>
      <c r="J102" s="1">
        <v>3.0</v>
      </c>
      <c r="K102" s="1">
        <v>-0.9363</v>
      </c>
      <c r="L102" s="1">
        <v>100.0</v>
      </c>
      <c r="M102" s="1">
        <v>0.0</v>
      </c>
      <c r="N102" s="1">
        <v>0.0</v>
      </c>
      <c r="O102" s="1">
        <v>96.764255</v>
      </c>
    </row>
    <row r="103">
      <c r="A103" s="1" t="s">
        <v>1018</v>
      </c>
      <c r="B103" s="1" t="s">
        <v>1019</v>
      </c>
      <c r="C103" s="3"/>
      <c r="D103" s="3"/>
      <c r="E103" s="1" t="str">
        <f>IFERROR(__xludf.DUMMYFUNCTION("IFERROR(REGEXEXTRACT(A103, ""res(269|122)""), ""none"")"),"122")</f>
        <v>122</v>
      </c>
      <c r="F103" s="1">
        <v>-15.226468</v>
      </c>
      <c r="G103" s="1">
        <v>10.0</v>
      </c>
      <c r="H103" s="1">
        <v>4.0</v>
      </c>
      <c r="I103" s="1">
        <v>0.3</v>
      </c>
      <c r="J103" s="1">
        <v>2.0</v>
      </c>
      <c r="K103" s="1">
        <v>-1.532869</v>
      </c>
      <c r="L103" s="1">
        <v>100.0</v>
      </c>
      <c r="M103" s="1">
        <v>0.0</v>
      </c>
      <c r="N103" s="1">
        <v>0.0</v>
      </c>
      <c r="O103" s="1">
        <v>99.540663</v>
      </c>
    </row>
    <row r="104">
      <c r="A104" s="1" t="s">
        <v>1020</v>
      </c>
      <c r="B104" s="1" t="s">
        <v>1021</v>
      </c>
      <c r="C104" s="3"/>
      <c r="D104" s="3"/>
      <c r="E104" s="1" t="str">
        <f>IFERROR(__xludf.DUMMYFUNCTION("IFERROR(REGEXEXTRACT(A104, ""res(269|122)""), ""none"")"),"122")</f>
        <v>122</v>
      </c>
      <c r="F104" s="1">
        <v>-16.65836</v>
      </c>
      <c r="G104" s="1">
        <v>9.0</v>
      </c>
      <c r="H104" s="1">
        <v>4.0</v>
      </c>
      <c r="I104" s="1">
        <v>0.444444</v>
      </c>
      <c r="J104" s="1">
        <v>2.0</v>
      </c>
      <c r="K104" s="1">
        <v>-1.273656</v>
      </c>
      <c r="L104" s="1">
        <v>100.0</v>
      </c>
      <c r="M104" s="1">
        <v>0.0</v>
      </c>
      <c r="N104" s="1">
        <v>0.0</v>
      </c>
      <c r="O104" s="1">
        <v>97.512428</v>
      </c>
    </row>
    <row r="105">
      <c r="A105" s="1" t="s">
        <v>1022</v>
      </c>
      <c r="B105" s="1" t="s">
        <v>1023</v>
      </c>
      <c r="C105" s="3"/>
      <c r="D105" s="3"/>
      <c r="E105" s="1" t="str">
        <f>IFERROR(__xludf.DUMMYFUNCTION("IFERROR(REGEXEXTRACT(A105, ""res(269|122)""), ""none"")"),"122")</f>
        <v>122</v>
      </c>
      <c r="F105" s="1">
        <v>-15.06419</v>
      </c>
      <c r="G105" s="1">
        <v>7.0</v>
      </c>
      <c r="H105" s="1">
        <v>3.0</v>
      </c>
      <c r="I105" s="1">
        <v>0.428571</v>
      </c>
      <c r="J105" s="1">
        <v>2.0</v>
      </c>
      <c r="K105" s="1">
        <v>-1.570972</v>
      </c>
      <c r="L105" s="1">
        <v>100.0</v>
      </c>
      <c r="M105" s="1">
        <v>0.0</v>
      </c>
      <c r="N105" s="1">
        <v>0.0</v>
      </c>
      <c r="O105" s="1">
        <v>95.793409</v>
      </c>
    </row>
    <row r="106">
      <c r="A106" s="1" t="s">
        <v>241</v>
      </c>
      <c r="B106" s="1" t="s">
        <v>242</v>
      </c>
      <c r="C106" s="3"/>
      <c r="D106" s="3"/>
      <c r="E106" s="1" t="str">
        <f>IFERROR(__xludf.DUMMYFUNCTION("IFERROR(REGEXEXTRACT(A106, ""res(269|122)""), ""none"")"),"122")</f>
        <v>122</v>
      </c>
      <c r="F106" s="1">
        <v>-15.786774</v>
      </c>
      <c r="G106" s="1">
        <v>8.0</v>
      </c>
      <c r="H106" s="1">
        <v>4.0</v>
      </c>
      <c r="I106" s="1">
        <v>0.25</v>
      </c>
      <c r="J106" s="1">
        <v>3.0</v>
      </c>
      <c r="K106" s="1">
        <v>-1.312683</v>
      </c>
      <c r="L106" s="1">
        <v>100.0</v>
      </c>
      <c r="M106" s="1">
        <v>0.0</v>
      </c>
      <c r="N106" s="1">
        <v>0.0</v>
      </c>
      <c r="O106" s="1">
        <v>98.150543</v>
      </c>
    </row>
    <row r="107">
      <c r="A107" s="1" t="s">
        <v>1024</v>
      </c>
      <c r="B107" s="1" t="s">
        <v>1025</v>
      </c>
      <c r="C107" s="3"/>
      <c r="D107" s="3"/>
      <c r="E107" s="1" t="str">
        <f>IFERROR(__xludf.DUMMYFUNCTION("IFERROR(REGEXEXTRACT(A107, ""res(269|122)""), ""none"")"),"122")</f>
        <v>122</v>
      </c>
      <c r="F107" s="1">
        <v>-15.384902</v>
      </c>
      <c r="G107" s="1">
        <v>10.0</v>
      </c>
      <c r="H107" s="1">
        <v>3.0</v>
      </c>
      <c r="I107" s="1">
        <v>0.4</v>
      </c>
      <c r="J107" s="1">
        <v>2.0</v>
      </c>
      <c r="K107" s="1">
        <v>-0.667675999999999</v>
      </c>
      <c r="L107" s="1">
        <v>100.0</v>
      </c>
      <c r="M107" s="1">
        <v>0.0</v>
      </c>
      <c r="N107" s="1">
        <v>0.0</v>
      </c>
      <c r="O107" s="1">
        <v>99.347422</v>
      </c>
    </row>
    <row r="108">
      <c r="A108" s="1" t="s">
        <v>243</v>
      </c>
      <c r="B108" s="1" t="s">
        <v>244</v>
      </c>
      <c r="C108" s="3"/>
      <c r="D108" s="3"/>
      <c r="E108" s="1" t="str">
        <f>IFERROR(__xludf.DUMMYFUNCTION("IFERROR(REGEXEXTRACT(A108, ""res(269|122)""), ""none"")"),"122")</f>
        <v>122</v>
      </c>
      <c r="F108" s="1">
        <v>-15.074335</v>
      </c>
      <c r="G108" s="1">
        <v>8.0</v>
      </c>
      <c r="H108" s="1">
        <v>3.0</v>
      </c>
      <c r="I108" s="1">
        <v>0.25</v>
      </c>
      <c r="J108" s="1">
        <v>3.0</v>
      </c>
      <c r="K108" s="1">
        <v>-2.102802</v>
      </c>
      <c r="L108" s="1">
        <v>100.0</v>
      </c>
      <c r="M108" s="1">
        <v>0.0</v>
      </c>
      <c r="N108" s="1">
        <v>0.0</v>
      </c>
      <c r="O108" s="1">
        <v>97.072863</v>
      </c>
    </row>
    <row r="109">
      <c r="A109" s="1" t="s">
        <v>1026</v>
      </c>
      <c r="B109" s="1" t="s">
        <v>1027</v>
      </c>
      <c r="C109" s="3"/>
      <c r="D109" s="3"/>
      <c r="E109" s="1" t="str">
        <f>IFERROR(__xludf.DUMMYFUNCTION("IFERROR(REGEXEXTRACT(A109, ""res(269|122)""), ""none"")"),"122")</f>
        <v>122</v>
      </c>
      <c r="F109" s="1">
        <v>-15.996958</v>
      </c>
      <c r="G109" s="1">
        <v>8.0</v>
      </c>
      <c r="H109" s="1">
        <v>4.0</v>
      </c>
      <c r="I109" s="1">
        <v>0.375</v>
      </c>
      <c r="J109" s="1">
        <v>2.0</v>
      </c>
      <c r="K109" s="1">
        <v>-0.877178</v>
      </c>
      <c r="L109" s="1">
        <v>100.0</v>
      </c>
      <c r="M109" s="1">
        <v>0.0</v>
      </c>
      <c r="N109" s="1">
        <v>0.0</v>
      </c>
      <c r="O109" s="1">
        <v>97.500864</v>
      </c>
    </row>
    <row r="110">
      <c r="A110" s="1" t="s">
        <v>1028</v>
      </c>
      <c r="B110" s="1" t="s">
        <v>1029</v>
      </c>
      <c r="C110" s="3"/>
      <c r="D110" s="3"/>
      <c r="E110" s="1" t="str">
        <f>IFERROR(__xludf.DUMMYFUNCTION("IFERROR(REGEXEXTRACT(A110, ""res(269|122)""), ""none"")"),"122")</f>
        <v>122</v>
      </c>
      <c r="F110" s="1">
        <v>-18.757266</v>
      </c>
      <c r="G110" s="1">
        <v>8.0</v>
      </c>
      <c r="H110" s="1">
        <v>4.0</v>
      </c>
      <c r="I110" s="1">
        <v>0.25</v>
      </c>
      <c r="J110" s="1">
        <v>2.0</v>
      </c>
      <c r="K110" s="1">
        <v>-1.539235</v>
      </c>
      <c r="L110" s="1">
        <v>100.0</v>
      </c>
      <c r="M110" s="1">
        <v>0.0</v>
      </c>
      <c r="N110" s="1">
        <v>0.0</v>
      </c>
      <c r="O110" s="1">
        <v>93.953499</v>
      </c>
    </row>
    <row r="111">
      <c r="A111" s="1" t="s">
        <v>245</v>
      </c>
      <c r="B111" s="1" t="s">
        <v>246</v>
      </c>
      <c r="C111" s="3"/>
      <c r="D111" s="3"/>
      <c r="E111" s="1" t="str">
        <f>IFERROR(__xludf.DUMMYFUNCTION("IFERROR(REGEXEXTRACT(A111, ""res(269|122)""), ""none"")"),"122")</f>
        <v>122</v>
      </c>
      <c r="F111" s="1">
        <v>-16.056932</v>
      </c>
      <c r="G111" s="1">
        <v>7.0</v>
      </c>
      <c r="H111" s="1">
        <v>3.0</v>
      </c>
      <c r="I111" s="1">
        <v>0.571429</v>
      </c>
      <c r="J111" s="1">
        <v>2.0</v>
      </c>
      <c r="K111" s="1">
        <v>-0.884192</v>
      </c>
      <c r="L111" s="1">
        <v>100.0</v>
      </c>
      <c r="M111" s="1">
        <v>0.0</v>
      </c>
      <c r="N111" s="1">
        <v>0.0</v>
      </c>
      <c r="O111" s="1">
        <v>95.630305</v>
      </c>
    </row>
    <row r="112">
      <c r="A112" s="1" t="s">
        <v>1030</v>
      </c>
      <c r="B112" s="1" t="s">
        <v>1031</v>
      </c>
      <c r="C112" s="3"/>
      <c r="D112" s="3"/>
      <c r="E112" s="1" t="str">
        <f>IFERROR(__xludf.DUMMYFUNCTION("IFERROR(REGEXEXTRACT(A112, ""res(269|122)""), ""none"")"),"122")</f>
        <v>122</v>
      </c>
      <c r="F112" s="1">
        <v>-15.904397</v>
      </c>
      <c r="G112" s="1">
        <v>12.0</v>
      </c>
      <c r="H112" s="1">
        <v>4.0</v>
      </c>
      <c r="I112" s="1">
        <v>0.333333</v>
      </c>
      <c r="J112" s="1">
        <v>2.0</v>
      </c>
      <c r="K112" s="1">
        <v>-1.18016599999999</v>
      </c>
      <c r="L112" s="1">
        <v>100.0</v>
      </c>
      <c r="M112" s="1">
        <v>0.0</v>
      </c>
      <c r="N112" s="1">
        <v>0.0</v>
      </c>
      <c r="O112" s="1">
        <v>101.24877</v>
      </c>
    </row>
    <row r="113">
      <c r="A113" s="1" t="s">
        <v>1032</v>
      </c>
      <c r="B113" s="1" t="s">
        <v>1033</v>
      </c>
      <c r="C113" s="3"/>
      <c r="D113" s="3"/>
      <c r="E113" s="1" t="str">
        <f>IFERROR(__xludf.DUMMYFUNCTION("IFERROR(REGEXEXTRACT(A113, ""res(269|122)""), ""none"")"),"122")</f>
        <v>122</v>
      </c>
      <c r="F113" s="1">
        <v>-15.533497</v>
      </c>
      <c r="G113" s="1">
        <v>9.0</v>
      </c>
      <c r="H113" s="1">
        <v>4.0</v>
      </c>
      <c r="I113" s="1">
        <v>0.444444</v>
      </c>
      <c r="J113" s="1">
        <v>2.0</v>
      </c>
      <c r="K113" s="1">
        <v>-1.43683</v>
      </c>
      <c r="L113" s="1">
        <v>100.0</v>
      </c>
      <c r="M113" s="1">
        <v>0.0</v>
      </c>
      <c r="N113" s="1">
        <v>0.0</v>
      </c>
      <c r="O113" s="1">
        <v>98.474117</v>
      </c>
    </row>
    <row r="114">
      <c r="A114" s="1" t="s">
        <v>247</v>
      </c>
      <c r="B114" s="1" t="s">
        <v>110</v>
      </c>
      <c r="C114" s="3"/>
      <c r="D114" s="3"/>
      <c r="E114" s="1" t="str">
        <f>IFERROR(__xludf.DUMMYFUNCTION("IFERROR(REGEXEXTRACT(A114, ""res(269|122)""), ""none"")"),"122")</f>
        <v>122</v>
      </c>
      <c r="F114" s="1">
        <v>-17.375967</v>
      </c>
      <c r="G114" s="1">
        <v>8.0</v>
      </c>
      <c r="H114" s="1">
        <v>3.0</v>
      </c>
      <c r="I114" s="1">
        <v>0.25</v>
      </c>
      <c r="J114" s="1">
        <v>2.0</v>
      </c>
      <c r="K114" s="1">
        <v>-1.320226</v>
      </c>
      <c r="L114" s="1">
        <v>100.0</v>
      </c>
      <c r="M114" s="1">
        <v>0.0</v>
      </c>
      <c r="N114" s="1">
        <v>0.0</v>
      </c>
      <c r="O114" s="1">
        <v>94.553807</v>
      </c>
    </row>
    <row r="115">
      <c r="A115" s="1" t="s">
        <v>1034</v>
      </c>
      <c r="B115" s="1" t="s">
        <v>1035</v>
      </c>
      <c r="C115" s="3"/>
      <c r="D115" s="3"/>
      <c r="E115" s="1" t="str">
        <f>IFERROR(__xludf.DUMMYFUNCTION("IFERROR(REGEXEXTRACT(A115, ""res(269|122)""), ""none"")"),"122")</f>
        <v>122</v>
      </c>
      <c r="F115" s="1">
        <v>-15.652489</v>
      </c>
      <c r="G115" s="1">
        <v>7.0</v>
      </c>
      <c r="H115" s="1">
        <v>3.0</v>
      </c>
      <c r="I115" s="1">
        <v>0.285714</v>
      </c>
      <c r="J115" s="1">
        <v>2.0</v>
      </c>
      <c r="K115" s="1">
        <v>-1.224364</v>
      </c>
      <c r="L115" s="1">
        <v>100.0</v>
      </c>
      <c r="M115" s="1">
        <v>0.0</v>
      </c>
      <c r="N115" s="1">
        <v>0.0</v>
      </c>
      <c r="O115" s="1">
        <v>95.408861</v>
      </c>
    </row>
    <row r="116">
      <c r="A116" s="1" t="s">
        <v>1036</v>
      </c>
      <c r="B116" s="1" t="s">
        <v>1037</v>
      </c>
      <c r="C116" s="3"/>
      <c r="D116" s="3"/>
      <c r="E116" s="1" t="str">
        <f>IFERROR(__xludf.DUMMYFUNCTION("IFERROR(REGEXEXTRACT(A116, ""res(269|122)""), ""none"")"),"122")</f>
        <v>122</v>
      </c>
      <c r="F116" s="1">
        <v>-15.041809</v>
      </c>
      <c r="G116" s="1">
        <v>8.0</v>
      </c>
      <c r="H116" s="1">
        <v>3.0</v>
      </c>
      <c r="I116" s="1">
        <v>0.375</v>
      </c>
      <c r="J116" s="1">
        <v>2.0</v>
      </c>
      <c r="K116" s="1">
        <v>-1.245626</v>
      </c>
      <c r="L116" s="1">
        <v>100.0</v>
      </c>
      <c r="M116" s="1">
        <v>0.0</v>
      </c>
      <c r="N116" s="1">
        <v>0.0</v>
      </c>
      <c r="O116" s="1">
        <v>97.087565</v>
      </c>
    </row>
    <row r="117">
      <c r="A117" s="1" t="s">
        <v>1038</v>
      </c>
      <c r="B117" s="1" t="s">
        <v>1039</v>
      </c>
      <c r="C117" s="3"/>
      <c r="D117" s="3"/>
      <c r="E117" s="1" t="str">
        <f>IFERROR(__xludf.DUMMYFUNCTION("IFERROR(REGEXEXTRACT(A117, ""res(269|122)""), ""none"")"),"122")</f>
        <v>122</v>
      </c>
      <c r="F117" s="1">
        <v>-19.051158</v>
      </c>
      <c r="G117" s="1">
        <v>12.0</v>
      </c>
      <c r="H117" s="1">
        <v>3.0</v>
      </c>
      <c r="I117" s="1">
        <v>0.416667</v>
      </c>
      <c r="J117" s="1">
        <v>2.0</v>
      </c>
      <c r="K117" s="1">
        <v>-1.48236</v>
      </c>
      <c r="L117" s="1">
        <v>100.0</v>
      </c>
      <c r="M117" s="1">
        <v>0.0</v>
      </c>
      <c r="N117" s="1">
        <v>0.0</v>
      </c>
      <c r="O117" s="1">
        <v>96.883149</v>
      </c>
    </row>
    <row r="118">
      <c r="A118" s="1" t="s">
        <v>1040</v>
      </c>
      <c r="B118" s="1" t="s">
        <v>1041</v>
      </c>
      <c r="C118" s="3"/>
      <c r="D118" s="3"/>
      <c r="E118" s="1" t="str">
        <f>IFERROR(__xludf.DUMMYFUNCTION("IFERROR(REGEXEXTRACT(A118, ""res(269|122)""), ""none"")"),"122")</f>
        <v>122</v>
      </c>
      <c r="F118" s="1">
        <v>-15.417922</v>
      </c>
      <c r="G118" s="1">
        <v>10.0</v>
      </c>
      <c r="H118" s="1">
        <v>4.0</v>
      </c>
      <c r="I118" s="1">
        <v>0.3</v>
      </c>
      <c r="J118" s="1">
        <v>2.0</v>
      </c>
      <c r="K118" s="1">
        <v>-1.29702</v>
      </c>
      <c r="L118" s="1">
        <v>100.0</v>
      </c>
      <c r="M118" s="1">
        <v>0.0</v>
      </c>
      <c r="N118" s="1">
        <v>0.0</v>
      </c>
      <c r="O118" s="1">
        <v>99.585058</v>
      </c>
    </row>
    <row r="119">
      <c r="A119" s="1" t="s">
        <v>248</v>
      </c>
      <c r="B119" s="1" t="s">
        <v>249</v>
      </c>
      <c r="C119" s="3"/>
      <c r="D119" s="3"/>
      <c r="E119" s="1" t="str">
        <f>IFERROR(__xludf.DUMMYFUNCTION("IFERROR(REGEXEXTRACT(A119, ""res(269|122)""), ""none"")"),"122")</f>
        <v>122</v>
      </c>
      <c r="F119" s="1">
        <v>-17.093997</v>
      </c>
      <c r="G119" s="1">
        <v>10.0</v>
      </c>
      <c r="H119" s="1">
        <v>3.0</v>
      </c>
      <c r="I119" s="1">
        <v>0.3</v>
      </c>
      <c r="J119" s="1">
        <v>2.0</v>
      </c>
      <c r="K119" s="1">
        <v>-0.77841</v>
      </c>
      <c r="L119" s="1">
        <v>100.0</v>
      </c>
      <c r="M119" s="1">
        <v>0.0</v>
      </c>
      <c r="N119" s="1">
        <v>0.0</v>
      </c>
      <c r="O119" s="1">
        <v>97.427593</v>
      </c>
    </row>
    <row r="120">
      <c r="A120" s="1" t="s">
        <v>1042</v>
      </c>
      <c r="B120" s="1" t="s">
        <v>1043</v>
      </c>
      <c r="C120" s="3"/>
      <c r="D120" s="3"/>
      <c r="E120" s="1" t="str">
        <f>IFERROR(__xludf.DUMMYFUNCTION("IFERROR(REGEXEXTRACT(A120, ""res(269|122)""), ""none"")"),"122")</f>
        <v>122</v>
      </c>
      <c r="F120" s="1">
        <v>-15.379389</v>
      </c>
      <c r="G120" s="1">
        <v>8.0</v>
      </c>
      <c r="H120" s="1">
        <v>3.0</v>
      </c>
      <c r="I120" s="1">
        <v>0.375</v>
      </c>
      <c r="J120" s="1">
        <v>2.0</v>
      </c>
      <c r="K120" s="1">
        <v>-1.234147</v>
      </c>
      <c r="L120" s="1">
        <v>100.0</v>
      </c>
      <c r="M120" s="1">
        <v>0.0</v>
      </c>
      <c r="N120" s="1">
        <v>0.0</v>
      </c>
      <c r="O120" s="1">
        <v>96.761464</v>
      </c>
    </row>
    <row r="121">
      <c r="A121" s="1" t="s">
        <v>250</v>
      </c>
      <c r="B121" s="1" t="s">
        <v>65</v>
      </c>
      <c r="C121" s="3"/>
      <c r="D121" s="3"/>
      <c r="E121" s="1" t="str">
        <f>IFERROR(__xludf.DUMMYFUNCTION("IFERROR(REGEXEXTRACT(A121, ""res(269|122)""), ""none"")"),"122")</f>
        <v>122</v>
      </c>
      <c r="F121" s="1">
        <v>-17.086206</v>
      </c>
      <c r="G121" s="1">
        <v>7.0</v>
      </c>
      <c r="H121" s="1">
        <v>4.0</v>
      </c>
      <c r="I121" s="1">
        <v>0.285714</v>
      </c>
      <c r="J121" s="1">
        <v>3.0</v>
      </c>
      <c r="K121" s="1">
        <v>-1.038701</v>
      </c>
      <c r="L121" s="1">
        <v>100.0</v>
      </c>
      <c r="M121" s="1">
        <v>0.0</v>
      </c>
      <c r="N121" s="1">
        <v>0.0</v>
      </c>
      <c r="O121" s="1">
        <v>96.160807</v>
      </c>
    </row>
    <row r="122">
      <c r="A122" s="1" t="s">
        <v>251</v>
      </c>
      <c r="B122" s="1" t="s">
        <v>69</v>
      </c>
      <c r="C122" s="3"/>
      <c r="D122" s="3"/>
      <c r="E122" s="1" t="str">
        <f>IFERROR(__xludf.DUMMYFUNCTION("IFERROR(REGEXEXTRACT(A122, ""res(269|122)""), ""none"")"),"122")</f>
        <v>122</v>
      </c>
      <c r="F122" s="1">
        <v>-15.386234</v>
      </c>
      <c r="G122" s="1">
        <v>11.0</v>
      </c>
      <c r="H122" s="1">
        <v>4.0</v>
      </c>
      <c r="I122" s="1">
        <v>0.454545</v>
      </c>
      <c r="J122" s="1">
        <v>2.0</v>
      </c>
      <c r="K122" s="1">
        <v>-0.508212</v>
      </c>
      <c r="L122" s="1">
        <v>100.0</v>
      </c>
      <c r="M122" s="1">
        <v>0.0</v>
      </c>
      <c r="N122" s="1">
        <v>0.0</v>
      </c>
      <c r="O122" s="1">
        <v>101.560099</v>
      </c>
    </row>
    <row r="123">
      <c r="A123" s="1" t="s">
        <v>252</v>
      </c>
      <c r="B123" s="1" t="s">
        <v>114</v>
      </c>
      <c r="C123" s="3"/>
      <c r="D123" s="3"/>
      <c r="E123" s="1" t="str">
        <f>IFERROR(__xludf.DUMMYFUNCTION("IFERROR(REGEXEXTRACT(A123, ""res(269|122)""), ""none"")"),"122")</f>
        <v>122</v>
      </c>
      <c r="F123" s="1">
        <v>-16.231911</v>
      </c>
      <c r="G123" s="1">
        <v>12.0</v>
      </c>
      <c r="H123" s="1">
        <v>2.0</v>
      </c>
      <c r="I123" s="1">
        <v>0.25</v>
      </c>
      <c r="J123" s="1">
        <v>2.0</v>
      </c>
      <c r="K123" s="1">
        <v>-0.38947</v>
      </c>
      <c r="L123" s="1">
        <v>100.0</v>
      </c>
      <c r="M123" s="1">
        <v>0.0</v>
      </c>
      <c r="N123" s="1">
        <v>0.0</v>
      </c>
      <c r="O123" s="1">
        <v>99.628619</v>
      </c>
    </row>
    <row r="124">
      <c r="A124" s="1" t="s">
        <v>253</v>
      </c>
      <c r="B124" s="1" t="s">
        <v>254</v>
      </c>
      <c r="C124" s="3"/>
      <c r="D124" s="3"/>
      <c r="E124" s="1" t="str">
        <f>IFERROR(__xludf.DUMMYFUNCTION("IFERROR(REGEXEXTRACT(A124, ""res(269|122)""), ""none"")"),"122")</f>
        <v>122</v>
      </c>
      <c r="F124" s="1">
        <v>-15.527357</v>
      </c>
      <c r="G124" s="1">
        <v>8.0</v>
      </c>
      <c r="H124" s="1">
        <v>3.0</v>
      </c>
      <c r="I124" s="1">
        <v>0.25</v>
      </c>
      <c r="J124" s="1">
        <v>2.0</v>
      </c>
      <c r="K124" s="1">
        <v>-0.966032</v>
      </c>
      <c r="L124" s="1">
        <v>100.0</v>
      </c>
      <c r="M124" s="1">
        <v>0.0</v>
      </c>
      <c r="N124" s="1">
        <v>0.0</v>
      </c>
      <c r="O124" s="1">
        <v>96.756611</v>
      </c>
    </row>
    <row r="125">
      <c r="A125" s="1" t="s">
        <v>1044</v>
      </c>
      <c r="B125" s="1" t="s">
        <v>1045</v>
      </c>
      <c r="C125" s="3"/>
      <c r="D125" s="3"/>
      <c r="E125" s="1" t="str">
        <f>IFERROR(__xludf.DUMMYFUNCTION("IFERROR(REGEXEXTRACT(A125, ""res(269|122)""), ""none"")"),"122")</f>
        <v>122</v>
      </c>
      <c r="F125" s="1">
        <v>-15.952925</v>
      </c>
      <c r="G125" s="1">
        <v>11.0</v>
      </c>
      <c r="H125" s="1">
        <v>4.0</v>
      </c>
      <c r="I125" s="1">
        <v>0.272727</v>
      </c>
      <c r="J125" s="1">
        <v>3.0</v>
      </c>
      <c r="K125" s="1">
        <v>-1.559703</v>
      </c>
      <c r="L125" s="1">
        <v>100.0</v>
      </c>
      <c r="M125" s="1">
        <v>0.0</v>
      </c>
      <c r="N125" s="1">
        <v>0.0</v>
      </c>
      <c r="O125" s="1">
        <v>100.760099</v>
      </c>
    </row>
    <row r="126">
      <c r="A126" s="1" t="s">
        <v>1046</v>
      </c>
      <c r="B126" s="1" t="s">
        <v>1047</v>
      </c>
      <c r="C126" s="3"/>
      <c r="D126" s="3"/>
      <c r="E126" s="1" t="str">
        <f>IFERROR(__xludf.DUMMYFUNCTION("IFERROR(REGEXEXTRACT(A126, ""res(269|122)""), ""none"")"),"122")</f>
        <v>122</v>
      </c>
      <c r="F126" s="1">
        <v>-16.345306</v>
      </c>
      <c r="G126" s="1">
        <v>6.0</v>
      </c>
      <c r="H126" s="1">
        <v>2.0</v>
      </c>
      <c r="I126" s="1">
        <v>0.333333</v>
      </c>
      <c r="J126" s="1">
        <v>2.0</v>
      </c>
      <c r="K126" s="1">
        <v>-1.398216</v>
      </c>
      <c r="L126" s="1">
        <v>100.0</v>
      </c>
      <c r="M126" s="1">
        <v>0.0</v>
      </c>
      <c r="N126" s="1">
        <v>0.0</v>
      </c>
      <c r="O126" s="1">
        <v>92.589811</v>
      </c>
    </row>
    <row r="127">
      <c r="A127" s="1" t="s">
        <v>1048</v>
      </c>
      <c r="B127" s="1" t="s">
        <v>1049</v>
      </c>
      <c r="C127" s="3"/>
      <c r="D127" s="3"/>
      <c r="E127" s="1" t="str">
        <f>IFERROR(__xludf.DUMMYFUNCTION("IFERROR(REGEXEXTRACT(A127, ""res(269|122)""), ""none"")"),"122")</f>
        <v>122</v>
      </c>
      <c r="F127" s="1">
        <v>-15.497532</v>
      </c>
      <c r="G127" s="1">
        <v>11.0</v>
      </c>
      <c r="H127" s="1">
        <v>4.0</v>
      </c>
      <c r="I127" s="1">
        <v>0.363636</v>
      </c>
      <c r="J127" s="1">
        <v>2.0</v>
      </c>
      <c r="K127" s="1">
        <v>-1.243276</v>
      </c>
      <c r="L127" s="1">
        <v>100.0</v>
      </c>
      <c r="M127" s="1">
        <v>0.0</v>
      </c>
      <c r="N127" s="1">
        <v>0.0</v>
      </c>
      <c r="O127" s="1">
        <v>100.622828</v>
      </c>
    </row>
    <row r="128">
      <c r="A128" s="1" t="s">
        <v>255</v>
      </c>
      <c r="B128" s="1" t="s">
        <v>256</v>
      </c>
      <c r="C128" s="3"/>
      <c r="D128" s="3"/>
      <c r="E128" s="1" t="str">
        <f>IFERROR(__xludf.DUMMYFUNCTION("IFERROR(REGEXEXTRACT(A128, ""res(269|122)""), ""none"")"),"122")</f>
        <v>122</v>
      </c>
      <c r="F128" s="1">
        <v>-15.777823</v>
      </c>
      <c r="G128" s="1">
        <v>9.0</v>
      </c>
      <c r="H128" s="1">
        <v>4.0</v>
      </c>
      <c r="I128" s="1">
        <v>0.333333</v>
      </c>
      <c r="J128" s="1">
        <v>2.0</v>
      </c>
      <c r="K128" s="1">
        <v>-1.671146</v>
      </c>
      <c r="L128" s="1">
        <v>100.0</v>
      </c>
      <c r="M128" s="1">
        <v>0.0</v>
      </c>
      <c r="N128" s="1">
        <v>0.0</v>
      </c>
      <c r="O128" s="1">
        <v>97.884364</v>
      </c>
    </row>
    <row r="129">
      <c r="A129" s="1" t="s">
        <v>1050</v>
      </c>
      <c r="B129" s="1" t="s">
        <v>1051</v>
      </c>
      <c r="C129" s="3"/>
      <c r="D129" s="3"/>
      <c r="E129" s="1" t="str">
        <f>IFERROR(__xludf.DUMMYFUNCTION("IFERROR(REGEXEXTRACT(A129, ""res(269|122)""), ""none"")"),"122")</f>
        <v>122</v>
      </c>
      <c r="F129" s="1">
        <v>-15.111201</v>
      </c>
      <c r="G129" s="1">
        <v>9.0</v>
      </c>
      <c r="H129" s="1">
        <v>4.0</v>
      </c>
      <c r="I129" s="1">
        <v>0.444444</v>
      </c>
      <c r="J129" s="1">
        <v>2.0</v>
      </c>
      <c r="K129" s="1">
        <v>-0.653188999999999</v>
      </c>
      <c r="L129" s="1">
        <v>100.0</v>
      </c>
      <c r="M129" s="1">
        <v>0.0</v>
      </c>
      <c r="N129" s="1">
        <v>0.0</v>
      </c>
      <c r="O129" s="1">
        <v>99.680054</v>
      </c>
    </row>
    <row r="130">
      <c r="C130" s="5"/>
      <c r="D130" s="5"/>
    </row>
    <row r="131">
      <c r="C131" s="5"/>
      <c r="D131" s="5"/>
    </row>
    <row r="132">
      <c r="C132" s="5"/>
      <c r="D132" s="5"/>
    </row>
    <row r="133">
      <c r="C133" s="5"/>
      <c r="D133" s="5"/>
    </row>
    <row r="134">
      <c r="C134" s="5"/>
      <c r="D134" s="5"/>
    </row>
    <row r="135">
      <c r="C135" s="5"/>
      <c r="D135" s="5"/>
    </row>
    <row r="136">
      <c r="C136" s="5"/>
      <c r="D136" s="5"/>
    </row>
    <row r="137">
      <c r="C137" s="5"/>
      <c r="D137" s="5"/>
    </row>
    <row r="138">
      <c r="C138" s="5"/>
      <c r="D138" s="5"/>
    </row>
    <row r="139">
      <c r="C139" s="5"/>
      <c r="D139" s="5"/>
    </row>
    <row r="140">
      <c r="C140" s="5"/>
      <c r="D140" s="5"/>
    </row>
    <row r="141">
      <c r="C141" s="5"/>
      <c r="D141" s="5"/>
    </row>
    <row r="142">
      <c r="C142" s="5"/>
      <c r="D142" s="5"/>
    </row>
    <row r="143">
      <c r="C143" s="5"/>
      <c r="D143" s="5"/>
    </row>
    <row r="144">
      <c r="C144" s="5"/>
      <c r="D144" s="5"/>
    </row>
    <row r="145">
      <c r="C145" s="5"/>
      <c r="D145" s="5"/>
    </row>
    <row r="146">
      <c r="C146" s="5"/>
      <c r="D146" s="5"/>
    </row>
    <row r="147">
      <c r="C147" s="5"/>
      <c r="D147" s="5"/>
    </row>
    <row r="148">
      <c r="C148" s="5"/>
      <c r="D148" s="5"/>
    </row>
    <row r="149">
      <c r="C149" s="5"/>
      <c r="D149" s="5"/>
    </row>
    <row r="150">
      <c r="C150" s="5"/>
      <c r="D150" s="5"/>
    </row>
    <row r="151">
      <c r="C151" s="5"/>
      <c r="D151" s="5"/>
    </row>
    <row r="152">
      <c r="C152" s="5"/>
      <c r="D152" s="5"/>
    </row>
    <row r="153">
      <c r="C153" s="5"/>
      <c r="D153" s="5"/>
    </row>
    <row r="154">
      <c r="C154" s="5"/>
      <c r="D154" s="5"/>
    </row>
    <row r="155">
      <c r="C155" s="5"/>
      <c r="D155" s="5"/>
    </row>
    <row r="156">
      <c r="C156" s="5"/>
      <c r="D156" s="5"/>
    </row>
    <row r="157">
      <c r="C157" s="5"/>
      <c r="D157" s="5"/>
    </row>
    <row r="158">
      <c r="C158" s="5"/>
      <c r="D158" s="5"/>
    </row>
    <row r="159">
      <c r="C159" s="5"/>
      <c r="D159" s="5"/>
    </row>
    <row r="160">
      <c r="C160" s="5"/>
      <c r="D160" s="5"/>
    </row>
    <row r="161">
      <c r="C161" s="5"/>
      <c r="D161" s="5"/>
    </row>
    <row r="162">
      <c r="C162" s="5"/>
      <c r="D162" s="5"/>
    </row>
    <row r="163">
      <c r="C163" s="5"/>
      <c r="D163" s="5"/>
    </row>
    <row r="164">
      <c r="C164" s="5"/>
      <c r="D164" s="5"/>
    </row>
    <row r="165">
      <c r="C165" s="5"/>
      <c r="D165" s="5"/>
    </row>
    <row r="166">
      <c r="C166" s="5"/>
      <c r="D166" s="5"/>
    </row>
    <row r="167">
      <c r="C167" s="5"/>
      <c r="D167" s="5"/>
    </row>
    <row r="168">
      <c r="C168" s="5"/>
      <c r="D168" s="5"/>
    </row>
    <row r="169">
      <c r="C169" s="5"/>
      <c r="D169" s="5"/>
    </row>
    <row r="170">
      <c r="C170" s="5"/>
      <c r="D170" s="5"/>
    </row>
    <row r="171">
      <c r="C171" s="5"/>
      <c r="D171" s="5"/>
    </row>
    <row r="172">
      <c r="C172" s="5"/>
      <c r="D172" s="5"/>
    </row>
    <row r="173">
      <c r="C173" s="5"/>
      <c r="D173" s="5"/>
    </row>
    <row r="174">
      <c r="C174" s="5"/>
      <c r="D174" s="5"/>
    </row>
    <row r="175">
      <c r="C175" s="5"/>
      <c r="D175" s="5"/>
    </row>
    <row r="176">
      <c r="C176" s="5"/>
      <c r="D176" s="5"/>
    </row>
    <row r="177">
      <c r="C177" s="5"/>
      <c r="D177" s="5"/>
    </row>
    <row r="178">
      <c r="C178" s="5"/>
      <c r="D178" s="5"/>
    </row>
    <row r="179">
      <c r="C179" s="5"/>
      <c r="D179" s="5"/>
    </row>
    <row r="180">
      <c r="C180" s="5"/>
      <c r="D180" s="5"/>
    </row>
    <row r="181">
      <c r="C181" s="5"/>
      <c r="D181" s="5"/>
    </row>
    <row r="182">
      <c r="C182" s="5"/>
      <c r="D182" s="5"/>
    </row>
    <row r="183">
      <c r="C183" s="5"/>
      <c r="D183" s="5"/>
    </row>
    <row r="184">
      <c r="C184" s="5"/>
      <c r="D184" s="5"/>
    </row>
    <row r="185">
      <c r="C185" s="5"/>
      <c r="D185" s="5"/>
    </row>
    <row r="186">
      <c r="C186" s="5"/>
      <c r="D186" s="5"/>
    </row>
    <row r="187">
      <c r="C187" s="5"/>
      <c r="D187" s="5"/>
    </row>
    <row r="188">
      <c r="C188" s="5"/>
      <c r="D188" s="5"/>
    </row>
    <row r="189">
      <c r="C189" s="5"/>
      <c r="D189" s="5"/>
    </row>
    <row r="190">
      <c r="C190" s="5"/>
      <c r="D190" s="5"/>
    </row>
    <row r="191">
      <c r="C191" s="5"/>
      <c r="D191" s="5"/>
    </row>
    <row r="192">
      <c r="C192" s="5"/>
      <c r="D192" s="5"/>
    </row>
    <row r="193">
      <c r="C193" s="5"/>
      <c r="D193" s="5"/>
    </row>
    <row r="194">
      <c r="C194" s="5"/>
      <c r="D194" s="5"/>
    </row>
    <row r="195">
      <c r="C195" s="5"/>
      <c r="D195" s="5"/>
    </row>
    <row r="196">
      <c r="C196" s="5"/>
      <c r="D196" s="5"/>
    </row>
    <row r="197">
      <c r="C197" s="5"/>
      <c r="D197" s="5"/>
    </row>
    <row r="198">
      <c r="C198" s="5"/>
      <c r="D198" s="5"/>
    </row>
    <row r="199">
      <c r="C199" s="5"/>
      <c r="D199" s="5"/>
    </row>
    <row r="200">
      <c r="C200" s="5"/>
      <c r="D200" s="5"/>
    </row>
    <row r="201">
      <c r="C201" s="5"/>
      <c r="D201" s="5"/>
    </row>
    <row r="202">
      <c r="C202" s="5"/>
      <c r="D202" s="5"/>
    </row>
    <row r="203">
      <c r="C203" s="5"/>
      <c r="D203" s="5"/>
    </row>
    <row r="204">
      <c r="C204" s="5"/>
      <c r="D204" s="5"/>
    </row>
    <row r="205">
      <c r="C205" s="5"/>
      <c r="D205" s="5"/>
    </row>
    <row r="206">
      <c r="C206" s="5"/>
      <c r="D206" s="5"/>
    </row>
    <row r="207">
      <c r="C207" s="5"/>
      <c r="D207" s="5"/>
    </row>
    <row r="208">
      <c r="C208" s="5"/>
      <c r="D208" s="5"/>
    </row>
    <row r="209">
      <c r="C209" s="5"/>
      <c r="D209" s="5"/>
    </row>
    <row r="210">
      <c r="C210" s="5"/>
      <c r="D210" s="5"/>
    </row>
    <row r="211">
      <c r="C211" s="5"/>
      <c r="D211" s="5"/>
    </row>
    <row r="212">
      <c r="C212" s="5"/>
      <c r="D212" s="5"/>
    </row>
    <row r="213">
      <c r="C213" s="5"/>
      <c r="D213" s="5"/>
    </row>
    <row r="214">
      <c r="C214" s="5"/>
      <c r="D214" s="5"/>
    </row>
    <row r="215">
      <c r="C215" s="5"/>
      <c r="D215" s="5"/>
    </row>
    <row r="216">
      <c r="C216" s="5"/>
      <c r="D216" s="5"/>
    </row>
    <row r="217">
      <c r="C217" s="5"/>
      <c r="D217" s="5"/>
    </row>
    <row r="218">
      <c r="C218" s="5"/>
      <c r="D218" s="5"/>
    </row>
    <row r="219">
      <c r="C219" s="5"/>
      <c r="D219" s="5"/>
    </row>
    <row r="220">
      <c r="C220" s="5"/>
      <c r="D220" s="5"/>
    </row>
    <row r="221">
      <c r="C221" s="5"/>
      <c r="D221" s="5"/>
    </row>
    <row r="222">
      <c r="C222" s="5"/>
      <c r="D222" s="5"/>
    </row>
    <row r="223">
      <c r="C223" s="5"/>
      <c r="D223" s="5"/>
    </row>
    <row r="224">
      <c r="C224" s="5"/>
      <c r="D224" s="5"/>
    </row>
    <row r="225">
      <c r="C225" s="5"/>
      <c r="D225" s="5"/>
    </row>
    <row r="226">
      <c r="C226" s="5"/>
      <c r="D226" s="5"/>
    </row>
    <row r="227">
      <c r="C227" s="5"/>
      <c r="D227" s="5"/>
    </row>
    <row r="228">
      <c r="C228" s="5"/>
      <c r="D228" s="5"/>
    </row>
    <row r="229">
      <c r="C229" s="5"/>
      <c r="D229" s="5"/>
    </row>
    <row r="230">
      <c r="C230" s="5"/>
      <c r="D230" s="5"/>
    </row>
    <row r="231">
      <c r="C231" s="5"/>
      <c r="D231" s="5"/>
    </row>
    <row r="232">
      <c r="C232" s="5"/>
      <c r="D232" s="5"/>
    </row>
    <row r="233">
      <c r="C233" s="5"/>
      <c r="D233" s="5"/>
    </row>
    <row r="234">
      <c r="C234" s="5"/>
      <c r="D234" s="5"/>
    </row>
    <row r="235">
      <c r="C235" s="5"/>
      <c r="D235" s="5"/>
    </row>
    <row r="236">
      <c r="C236" s="5"/>
      <c r="D236" s="5"/>
    </row>
    <row r="237">
      <c r="C237" s="5"/>
      <c r="D237" s="5"/>
    </row>
    <row r="238">
      <c r="C238" s="5"/>
      <c r="D238" s="5"/>
    </row>
    <row r="239">
      <c r="C239" s="5"/>
      <c r="D239" s="5"/>
    </row>
    <row r="240">
      <c r="C240" s="5"/>
      <c r="D240" s="5"/>
    </row>
    <row r="241">
      <c r="C241" s="5"/>
      <c r="D241" s="5"/>
    </row>
    <row r="242">
      <c r="C242" s="5"/>
      <c r="D242" s="5"/>
    </row>
    <row r="243">
      <c r="C243" s="5"/>
      <c r="D243" s="5"/>
    </row>
    <row r="244">
      <c r="C244" s="5"/>
      <c r="D244" s="5"/>
    </row>
    <row r="245">
      <c r="C245" s="5"/>
      <c r="D245" s="5"/>
    </row>
    <row r="246">
      <c r="C246" s="5"/>
      <c r="D246" s="5"/>
    </row>
    <row r="247">
      <c r="C247" s="5"/>
      <c r="D247" s="5"/>
    </row>
    <row r="248">
      <c r="C248" s="5"/>
      <c r="D248" s="5"/>
    </row>
    <row r="249">
      <c r="C249" s="5"/>
      <c r="D249" s="5"/>
    </row>
    <row r="250">
      <c r="C250" s="5"/>
      <c r="D250" s="5"/>
    </row>
    <row r="251">
      <c r="C251" s="5"/>
      <c r="D251" s="5"/>
    </row>
    <row r="252">
      <c r="C252" s="5"/>
      <c r="D252" s="5"/>
    </row>
    <row r="253">
      <c r="C253" s="5"/>
      <c r="D253" s="5"/>
    </row>
    <row r="254">
      <c r="C254" s="5"/>
      <c r="D254" s="5"/>
    </row>
    <row r="255">
      <c r="C255" s="5"/>
      <c r="D255" s="5"/>
    </row>
    <row r="256">
      <c r="C256" s="5"/>
      <c r="D256" s="5"/>
    </row>
    <row r="257">
      <c r="C257" s="5"/>
      <c r="D257" s="5"/>
    </row>
    <row r="258">
      <c r="C258" s="5"/>
      <c r="D258" s="5"/>
    </row>
    <row r="259">
      <c r="C259" s="5"/>
      <c r="D259" s="5"/>
    </row>
    <row r="260">
      <c r="C260" s="5"/>
      <c r="D260" s="5"/>
    </row>
    <row r="261">
      <c r="C261" s="5"/>
      <c r="D261" s="5"/>
    </row>
    <row r="262">
      <c r="C262" s="5"/>
      <c r="D262" s="5"/>
    </row>
    <row r="263">
      <c r="C263" s="5"/>
      <c r="D263" s="5"/>
    </row>
    <row r="264">
      <c r="C264" s="5"/>
      <c r="D264" s="5"/>
    </row>
    <row r="265">
      <c r="C265" s="5"/>
      <c r="D265" s="5"/>
    </row>
    <row r="266">
      <c r="C266" s="5"/>
      <c r="D266" s="5"/>
    </row>
    <row r="267">
      <c r="C267" s="5"/>
      <c r="D267" s="5"/>
    </row>
    <row r="268">
      <c r="C268" s="5"/>
      <c r="D268" s="5"/>
    </row>
    <row r="269">
      <c r="C269" s="5"/>
      <c r="D269" s="5"/>
    </row>
    <row r="270">
      <c r="C270" s="5"/>
      <c r="D270" s="5"/>
    </row>
    <row r="271">
      <c r="C271" s="5"/>
      <c r="D271" s="5"/>
    </row>
    <row r="272">
      <c r="C272" s="5"/>
      <c r="D272" s="5"/>
    </row>
    <row r="273">
      <c r="C273" s="5"/>
      <c r="D273" s="5"/>
    </row>
    <row r="274">
      <c r="C274" s="5"/>
      <c r="D274" s="5"/>
    </row>
    <row r="275">
      <c r="C275" s="5"/>
      <c r="D275" s="5"/>
    </row>
    <row r="276">
      <c r="C276" s="5"/>
      <c r="D276" s="5"/>
    </row>
    <row r="277">
      <c r="C277" s="5"/>
      <c r="D277" s="5"/>
    </row>
    <row r="278">
      <c r="C278" s="5"/>
      <c r="D278" s="5"/>
    </row>
    <row r="279">
      <c r="C279" s="5"/>
      <c r="D279" s="5"/>
    </row>
    <row r="280">
      <c r="C280" s="5"/>
      <c r="D280" s="5"/>
    </row>
    <row r="281">
      <c r="C281" s="5"/>
      <c r="D281" s="5"/>
    </row>
    <row r="282">
      <c r="C282" s="5"/>
      <c r="D282" s="5"/>
    </row>
    <row r="283">
      <c r="C283" s="5"/>
      <c r="D283" s="5"/>
    </row>
    <row r="284">
      <c r="C284" s="5"/>
      <c r="D284" s="5"/>
    </row>
    <row r="285">
      <c r="C285" s="5"/>
      <c r="D285" s="5"/>
    </row>
    <row r="286">
      <c r="C286" s="5"/>
      <c r="D286" s="5"/>
    </row>
    <row r="287">
      <c r="C287" s="5"/>
      <c r="D287" s="5"/>
    </row>
    <row r="288">
      <c r="C288" s="5"/>
      <c r="D288" s="5"/>
    </row>
    <row r="289">
      <c r="C289" s="5"/>
      <c r="D289" s="5"/>
    </row>
    <row r="290">
      <c r="C290" s="5"/>
      <c r="D290" s="5"/>
    </row>
    <row r="291">
      <c r="C291" s="5"/>
      <c r="D291" s="5"/>
    </row>
    <row r="292">
      <c r="C292" s="5"/>
      <c r="D292" s="5"/>
    </row>
    <row r="293">
      <c r="C293" s="5"/>
      <c r="D293" s="5"/>
    </row>
    <row r="294">
      <c r="C294" s="5"/>
      <c r="D294" s="5"/>
    </row>
    <row r="295">
      <c r="C295" s="5"/>
      <c r="D295" s="5"/>
    </row>
    <row r="296">
      <c r="C296" s="5"/>
      <c r="D296" s="5"/>
    </row>
    <row r="297">
      <c r="C297" s="5"/>
      <c r="D297" s="5"/>
    </row>
    <row r="298">
      <c r="C298" s="5"/>
      <c r="D298" s="5"/>
    </row>
    <row r="299">
      <c r="C299" s="5"/>
      <c r="D299" s="5"/>
    </row>
    <row r="300">
      <c r="C300" s="5"/>
      <c r="D300" s="5"/>
    </row>
    <row r="301">
      <c r="C301" s="5"/>
      <c r="D301" s="5"/>
    </row>
    <row r="302">
      <c r="C302" s="5"/>
      <c r="D302" s="5"/>
    </row>
    <row r="303">
      <c r="C303" s="5"/>
      <c r="D303" s="5"/>
    </row>
    <row r="304">
      <c r="C304" s="5"/>
      <c r="D304" s="5"/>
    </row>
    <row r="305">
      <c r="C305" s="5"/>
      <c r="D305" s="5"/>
    </row>
    <row r="306">
      <c r="C306" s="5"/>
      <c r="D306" s="5"/>
    </row>
    <row r="307">
      <c r="C307" s="5"/>
      <c r="D307" s="5"/>
    </row>
    <row r="308">
      <c r="C308" s="5"/>
      <c r="D308" s="5"/>
    </row>
    <row r="309">
      <c r="C309" s="5"/>
      <c r="D309" s="5"/>
    </row>
    <row r="310">
      <c r="C310" s="5"/>
      <c r="D310" s="5"/>
    </row>
    <row r="311">
      <c r="C311" s="5"/>
      <c r="D311" s="5"/>
    </row>
    <row r="312">
      <c r="C312" s="5"/>
      <c r="D312" s="5"/>
    </row>
    <row r="313">
      <c r="C313" s="5"/>
      <c r="D313" s="5"/>
    </row>
    <row r="314">
      <c r="C314" s="5"/>
      <c r="D314" s="5"/>
    </row>
    <row r="315">
      <c r="C315" s="5"/>
      <c r="D315" s="5"/>
    </row>
    <row r="316">
      <c r="C316" s="5"/>
      <c r="D316" s="5"/>
    </row>
    <row r="317">
      <c r="C317" s="5"/>
      <c r="D317" s="5"/>
    </row>
    <row r="318">
      <c r="C318" s="5"/>
      <c r="D318" s="5"/>
    </row>
    <row r="319">
      <c r="C319" s="5"/>
      <c r="D319" s="5"/>
    </row>
    <row r="320">
      <c r="C320" s="5"/>
      <c r="D320" s="5"/>
    </row>
    <row r="321">
      <c r="C321" s="5"/>
      <c r="D321" s="5"/>
    </row>
    <row r="322">
      <c r="C322" s="5"/>
      <c r="D322" s="5"/>
    </row>
    <row r="323">
      <c r="C323" s="5"/>
      <c r="D323" s="5"/>
    </row>
    <row r="324">
      <c r="C324" s="5"/>
      <c r="D324" s="5"/>
    </row>
    <row r="325">
      <c r="C325" s="5"/>
      <c r="D325" s="5"/>
    </row>
    <row r="326">
      <c r="C326" s="5"/>
      <c r="D326" s="5"/>
    </row>
    <row r="327">
      <c r="C327" s="5"/>
      <c r="D327" s="5"/>
    </row>
    <row r="328">
      <c r="C328" s="5"/>
      <c r="D328" s="5"/>
    </row>
    <row r="329">
      <c r="C329" s="5"/>
      <c r="D329" s="5"/>
    </row>
    <row r="330">
      <c r="C330" s="5"/>
      <c r="D330" s="5"/>
    </row>
    <row r="331">
      <c r="C331" s="5"/>
      <c r="D331" s="5"/>
    </row>
    <row r="332">
      <c r="C332" s="5"/>
      <c r="D332" s="5"/>
    </row>
    <row r="333">
      <c r="C333" s="5"/>
      <c r="D333" s="5"/>
    </row>
    <row r="334">
      <c r="C334" s="5"/>
      <c r="D334" s="5"/>
    </row>
    <row r="335">
      <c r="C335" s="5"/>
      <c r="D335" s="5"/>
    </row>
    <row r="336">
      <c r="C336" s="5"/>
      <c r="D336" s="5"/>
    </row>
    <row r="337">
      <c r="C337" s="5"/>
      <c r="D337" s="5"/>
    </row>
    <row r="338">
      <c r="C338" s="5"/>
      <c r="D338" s="5"/>
    </row>
    <row r="339">
      <c r="C339" s="5"/>
      <c r="D339" s="5"/>
    </row>
    <row r="340">
      <c r="C340" s="5"/>
      <c r="D340" s="5"/>
    </row>
    <row r="341">
      <c r="C341" s="5"/>
      <c r="D341" s="5"/>
    </row>
    <row r="342">
      <c r="C342" s="5"/>
      <c r="D342" s="5"/>
    </row>
    <row r="343">
      <c r="C343" s="5"/>
      <c r="D343" s="5"/>
    </row>
    <row r="344">
      <c r="C344" s="5"/>
      <c r="D344" s="5"/>
    </row>
    <row r="345">
      <c r="C345" s="5"/>
      <c r="D345" s="5"/>
    </row>
    <row r="346">
      <c r="C346" s="5"/>
      <c r="D346" s="5"/>
    </row>
    <row r="347">
      <c r="C347" s="5"/>
      <c r="D347" s="5"/>
    </row>
    <row r="348">
      <c r="C348" s="5"/>
      <c r="D348" s="5"/>
    </row>
    <row r="349">
      <c r="C349" s="5"/>
      <c r="D349" s="5"/>
    </row>
    <row r="350">
      <c r="C350" s="5"/>
      <c r="D350" s="5"/>
    </row>
    <row r="351">
      <c r="C351" s="5"/>
      <c r="D351" s="5"/>
    </row>
    <row r="352">
      <c r="C352" s="5"/>
      <c r="D352" s="5"/>
    </row>
    <row r="353">
      <c r="C353" s="5"/>
      <c r="D353" s="5"/>
    </row>
    <row r="354">
      <c r="C354" s="5"/>
      <c r="D354" s="5"/>
    </row>
    <row r="355">
      <c r="C355" s="5"/>
      <c r="D355" s="5"/>
    </row>
    <row r="356">
      <c r="C356" s="5"/>
      <c r="D356" s="5"/>
    </row>
    <row r="357">
      <c r="C357" s="5"/>
      <c r="D357" s="5"/>
    </row>
    <row r="358">
      <c r="C358" s="5"/>
      <c r="D358" s="5"/>
    </row>
    <row r="359">
      <c r="C359" s="5"/>
      <c r="D359" s="5"/>
    </row>
    <row r="360">
      <c r="C360" s="5"/>
      <c r="D360" s="5"/>
    </row>
    <row r="361">
      <c r="C361" s="5"/>
      <c r="D361" s="5"/>
    </row>
    <row r="362">
      <c r="C362" s="5"/>
      <c r="D362" s="5"/>
    </row>
    <row r="363">
      <c r="C363" s="5"/>
      <c r="D363" s="5"/>
    </row>
    <row r="364">
      <c r="C364" s="5"/>
      <c r="D364" s="5"/>
    </row>
    <row r="365">
      <c r="C365" s="5"/>
      <c r="D365" s="5"/>
    </row>
    <row r="366">
      <c r="C366" s="5"/>
      <c r="D366" s="5"/>
    </row>
    <row r="367">
      <c r="C367" s="5"/>
      <c r="D367" s="5"/>
    </row>
    <row r="368">
      <c r="C368" s="5"/>
      <c r="D368" s="5"/>
    </row>
    <row r="369">
      <c r="C369" s="5"/>
      <c r="D369" s="5"/>
    </row>
    <row r="370">
      <c r="C370" s="5"/>
      <c r="D370" s="5"/>
    </row>
    <row r="371">
      <c r="C371" s="5"/>
      <c r="D371" s="5"/>
    </row>
    <row r="372">
      <c r="C372" s="5"/>
      <c r="D372" s="5"/>
    </row>
    <row r="373">
      <c r="C373" s="5"/>
      <c r="D373" s="5"/>
    </row>
    <row r="374">
      <c r="C374" s="5"/>
      <c r="D374" s="5"/>
    </row>
    <row r="375">
      <c r="C375" s="5"/>
      <c r="D375" s="5"/>
    </row>
    <row r="376">
      <c r="C376" s="5"/>
      <c r="D376" s="5"/>
    </row>
    <row r="377">
      <c r="C377" s="5"/>
      <c r="D377" s="5"/>
    </row>
    <row r="378">
      <c r="C378" s="5"/>
      <c r="D378" s="5"/>
    </row>
    <row r="379">
      <c r="C379" s="5"/>
      <c r="D379" s="5"/>
    </row>
    <row r="380">
      <c r="C380" s="5"/>
      <c r="D380" s="5"/>
    </row>
    <row r="381">
      <c r="C381" s="5"/>
      <c r="D381" s="5"/>
    </row>
    <row r="382">
      <c r="C382" s="5"/>
      <c r="D382" s="5"/>
    </row>
    <row r="383">
      <c r="C383" s="5"/>
      <c r="D383" s="5"/>
    </row>
    <row r="384">
      <c r="C384" s="5"/>
      <c r="D384" s="5"/>
    </row>
    <row r="385">
      <c r="C385" s="5"/>
      <c r="D385" s="5"/>
    </row>
    <row r="386">
      <c r="C386" s="5"/>
      <c r="D386" s="5"/>
    </row>
    <row r="387">
      <c r="C387" s="5"/>
      <c r="D387" s="5"/>
    </row>
    <row r="388">
      <c r="C388" s="5"/>
      <c r="D388" s="5"/>
    </row>
    <row r="389">
      <c r="C389" s="5"/>
      <c r="D389" s="5"/>
    </row>
    <row r="390">
      <c r="C390" s="5"/>
      <c r="D390" s="5"/>
    </row>
    <row r="391">
      <c r="C391" s="5"/>
      <c r="D391" s="5"/>
    </row>
    <row r="392">
      <c r="C392" s="5"/>
      <c r="D392" s="5"/>
    </row>
    <row r="393">
      <c r="C393" s="5"/>
      <c r="D393" s="5"/>
    </row>
    <row r="394">
      <c r="C394" s="5"/>
      <c r="D394" s="5"/>
    </row>
    <row r="395">
      <c r="C395" s="5"/>
      <c r="D395" s="5"/>
    </row>
    <row r="396">
      <c r="C396" s="5"/>
      <c r="D396" s="5"/>
    </row>
    <row r="397">
      <c r="C397" s="5"/>
      <c r="D397" s="5"/>
    </row>
    <row r="398">
      <c r="C398" s="5"/>
      <c r="D398" s="5"/>
    </row>
    <row r="399">
      <c r="C399" s="5"/>
      <c r="D399" s="5"/>
    </row>
    <row r="400">
      <c r="C400" s="5"/>
      <c r="D400" s="5"/>
    </row>
    <row r="401">
      <c r="C401" s="5"/>
      <c r="D401" s="5"/>
    </row>
    <row r="402">
      <c r="C402" s="5"/>
      <c r="D402" s="5"/>
    </row>
    <row r="403">
      <c r="C403" s="5"/>
      <c r="D403" s="5"/>
    </row>
    <row r="404">
      <c r="C404" s="5"/>
      <c r="D404" s="5"/>
    </row>
    <row r="405">
      <c r="C405" s="5"/>
      <c r="D405" s="5"/>
    </row>
    <row r="406">
      <c r="C406" s="5"/>
      <c r="D406" s="5"/>
    </row>
    <row r="407">
      <c r="C407" s="5"/>
      <c r="D407" s="5"/>
    </row>
    <row r="408">
      <c r="C408" s="5"/>
      <c r="D408" s="5"/>
    </row>
    <row r="409">
      <c r="C409" s="5"/>
      <c r="D409" s="5"/>
    </row>
    <row r="410">
      <c r="C410" s="5"/>
      <c r="D410" s="5"/>
    </row>
    <row r="411">
      <c r="C411" s="5"/>
      <c r="D411" s="5"/>
    </row>
    <row r="412">
      <c r="C412" s="5"/>
      <c r="D412" s="5"/>
    </row>
    <row r="413">
      <c r="C413" s="5"/>
      <c r="D413" s="5"/>
    </row>
    <row r="414">
      <c r="C414" s="5"/>
      <c r="D414" s="5"/>
    </row>
    <row r="415">
      <c r="C415" s="5"/>
      <c r="D415" s="5"/>
    </row>
    <row r="416">
      <c r="C416" s="5"/>
      <c r="D416" s="5"/>
    </row>
    <row r="417">
      <c r="C417" s="5"/>
      <c r="D417" s="5"/>
    </row>
    <row r="418">
      <c r="C418" s="5"/>
      <c r="D418" s="5"/>
    </row>
    <row r="419">
      <c r="C419" s="5"/>
      <c r="D419" s="5"/>
    </row>
    <row r="420">
      <c r="C420" s="5"/>
      <c r="D420" s="5"/>
    </row>
    <row r="421">
      <c r="C421" s="5"/>
      <c r="D421" s="5"/>
    </row>
    <row r="422">
      <c r="C422" s="5"/>
      <c r="D422" s="5"/>
    </row>
    <row r="423">
      <c r="C423" s="5"/>
      <c r="D423" s="5"/>
    </row>
    <row r="424">
      <c r="C424" s="5"/>
      <c r="D424" s="5"/>
    </row>
    <row r="425">
      <c r="C425" s="5"/>
      <c r="D425" s="5"/>
    </row>
    <row r="426">
      <c r="C426" s="5"/>
      <c r="D426" s="5"/>
    </row>
    <row r="427">
      <c r="C427" s="5"/>
      <c r="D427" s="5"/>
    </row>
    <row r="428">
      <c r="C428" s="5"/>
      <c r="D428" s="5"/>
    </row>
    <row r="429">
      <c r="C429" s="5"/>
      <c r="D429" s="5"/>
    </row>
    <row r="430">
      <c r="C430" s="5"/>
      <c r="D430" s="5"/>
    </row>
    <row r="431">
      <c r="C431" s="5"/>
      <c r="D431" s="5"/>
    </row>
    <row r="432">
      <c r="C432" s="5"/>
      <c r="D432" s="5"/>
    </row>
    <row r="433">
      <c r="C433" s="5"/>
      <c r="D433" s="5"/>
    </row>
    <row r="434">
      <c r="C434" s="5"/>
      <c r="D434" s="5"/>
    </row>
    <row r="435">
      <c r="C435" s="5"/>
      <c r="D435" s="5"/>
    </row>
    <row r="436">
      <c r="C436" s="5"/>
      <c r="D436" s="5"/>
    </row>
    <row r="437">
      <c r="C437" s="5"/>
      <c r="D437" s="5"/>
    </row>
    <row r="438">
      <c r="C438" s="5"/>
      <c r="D438" s="5"/>
    </row>
    <row r="439">
      <c r="C439" s="5"/>
      <c r="D439" s="5"/>
    </row>
    <row r="440">
      <c r="C440" s="5"/>
      <c r="D440" s="5"/>
    </row>
    <row r="441">
      <c r="C441" s="5"/>
      <c r="D441" s="5"/>
    </row>
    <row r="442">
      <c r="C442" s="5"/>
      <c r="D442" s="5"/>
    </row>
    <row r="443">
      <c r="C443" s="5"/>
      <c r="D443" s="5"/>
    </row>
    <row r="444">
      <c r="C444" s="5"/>
      <c r="D444" s="5"/>
    </row>
    <row r="445">
      <c r="C445" s="5"/>
      <c r="D445" s="5"/>
    </row>
    <row r="446">
      <c r="C446" s="5"/>
      <c r="D446" s="5"/>
    </row>
    <row r="447">
      <c r="C447" s="5"/>
      <c r="D447" s="5"/>
    </row>
    <row r="448">
      <c r="C448" s="5"/>
      <c r="D448" s="5"/>
    </row>
    <row r="449">
      <c r="C449" s="5"/>
      <c r="D449" s="5"/>
    </row>
    <row r="450">
      <c r="C450" s="5"/>
      <c r="D450" s="5"/>
    </row>
    <row r="451">
      <c r="C451" s="5"/>
      <c r="D451" s="5"/>
    </row>
    <row r="452">
      <c r="C452" s="5"/>
      <c r="D452" s="5"/>
    </row>
    <row r="453">
      <c r="C453" s="5"/>
      <c r="D453" s="5"/>
    </row>
    <row r="454">
      <c r="C454" s="5"/>
      <c r="D454" s="5"/>
    </row>
    <row r="455">
      <c r="C455" s="5"/>
      <c r="D455" s="5"/>
    </row>
    <row r="456">
      <c r="C456" s="5"/>
      <c r="D456" s="5"/>
    </row>
    <row r="457">
      <c r="C457" s="5"/>
      <c r="D457" s="5"/>
    </row>
    <row r="458">
      <c r="C458" s="5"/>
      <c r="D458" s="5"/>
    </row>
    <row r="459">
      <c r="C459" s="5"/>
      <c r="D459" s="5"/>
    </row>
    <row r="460">
      <c r="C460" s="5"/>
      <c r="D460" s="5"/>
    </row>
    <row r="461">
      <c r="C461" s="5"/>
      <c r="D461" s="5"/>
    </row>
    <row r="462">
      <c r="C462" s="5"/>
      <c r="D462" s="5"/>
    </row>
    <row r="463">
      <c r="C463" s="5"/>
      <c r="D463" s="5"/>
    </row>
    <row r="464">
      <c r="C464" s="5"/>
      <c r="D464" s="5"/>
    </row>
    <row r="465">
      <c r="C465" s="5"/>
      <c r="D465" s="5"/>
    </row>
    <row r="466">
      <c r="C466" s="5"/>
      <c r="D466" s="5"/>
    </row>
    <row r="467">
      <c r="C467" s="5"/>
      <c r="D467" s="5"/>
    </row>
    <row r="468">
      <c r="C468" s="5"/>
      <c r="D468" s="5"/>
    </row>
    <row r="469">
      <c r="C469" s="5"/>
      <c r="D469" s="5"/>
    </row>
    <row r="470">
      <c r="C470" s="5"/>
      <c r="D470" s="5"/>
    </row>
    <row r="471">
      <c r="C471" s="5"/>
      <c r="D471" s="5"/>
    </row>
    <row r="472">
      <c r="C472" s="5"/>
      <c r="D472" s="5"/>
    </row>
    <row r="473">
      <c r="C473" s="5"/>
      <c r="D473" s="5"/>
    </row>
    <row r="474">
      <c r="C474" s="5"/>
      <c r="D474" s="5"/>
    </row>
    <row r="475">
      <c r="C475" s="5"/>
      <c r="D475" s="5"/>
    </row>
    <row r="476">
      <c r="C476" s="5"/>
      <c r="D476" s="5"/>
    </row>
    <row r="477">
      <c r="C477" s="5"/>
      <c r="D477" s="5"/>
    </row>
    <row r="478">
      <c r="C478" s="5"/>
      <c r="D478" s="5"/>
    </row>
    <row r="479">
      <c r="C479" s="5"/>
      <c r="D479" s="5"/>
    </row>
    <row r="480">
      <c r="C480" s="5"/>
      <c r="D480" s="5"/>
    </row>
    <row r="481">
      <c r="C481" s="5"/>
      <c r="D481" s="5"/>
    </row>
    <row r="482">
      <c r="C482" s="5"/>
      <c r="D482" s="5"/>
    </row>
    <row r="483">
      <c r="C483" s="5"/>
      <c r="D483" s="5"/>
    </row>
    <row r="484">
      <c r="C484" s="5"/>
      <c r="D484" s="5"/>
    </row>
    <row r="485">
      <c r="C485" s="5"/>
      <c r="D485" s="5"/>
    </row>
    <row r="486">
      <c r="C486" s="5"/>
      <c r="D486" s="5"/>
    </row>
    <row r="487">
      <c r="C487" s="5"/>
      <c r="D487" s="5"/>
    </row>
    <row r="488">
      <c r="C488" s="5"/>
      <c r="D488" s="5"/>
    </row>
    <row r="489">
      <c r="C489" s="5"/>
      <c r="D489" s="5"/>
    </row>
    <row r="490">
      <c r="C490" s="5"/>
      <c r="D490" s="5"/>
    </row>
    <row r="491">
      <c r="C491" s="5"/>
      <c r="D491" s="5"/>
    </row>
    <row r="492">
      <c r="C492" s="5"/>
      <c r="D492" s="5"/>
    </row>
    <row r="493">
      <c r="C493" s="5"/>
      <c r="D493" s="5"/>
    </row>
    <row r="494">
      <c r="C494" s="5"/>
      <c r="D494" s="5"/>
    </row>
    <row r="495">
      <c r="C495" s="5"/>
      <c r="D495" s="5"/>
    </row>
    <row r="496">
      <c r="C496" s="5"/>
      <c r="D496" s="5"/>
    </row>
    <row r="497">
      <c r="C497" s="5"/>
      <c r="D497" s="5"/>
    </row>
    <row r="498">
      <c r="C498" s="5"/>
      <c r="D498" s="5"/>
    </row>
    <row r="499">
      <c r="C499" s="5"/>
      <c r="D499" s="5"/>
    </row>
    <row r="500">
      <c r="C500" s="5"/>
      <c r="D500" s="5"/>
    </row>
    <row r="501">
      <c r="C501" s="5"/>
      <c r="D501" s="5"/>
    </row>
    <row r="502">
      <c r="C502" s="5"/>
      <c r="D502" s="5"/>
    </row>
    <row r="503">
      <c r="C503" s="5"/>
      <c r="D503" s="5"/>
    </row>
    <row r="504">
      <c r="C504" s="5"/>
      <c r="D504" s="5"/>
    </row>
    <row r="505">
      <c r="C505" s="5"/>
      <c r="D505" s="5"/>
    </row>
    <row r="506">
      <c r="C506" s="5"/>
      <c r="D506" s="5"/>
    </row>
    <row r="507">
      <c r="C507" s="5"/>
      <c r="D507" s="5"/>
    </row>
    <row r="508">
      <c r="C508" s="5"/>
      <c r="D508" s="5"/>
    </row>
    <row r="509">
      <c r="C509" s="5"/>
      <c r="D509" s="5"/>
    </row>
    <row r="510">
      <c r="C510" s="5"/>
      <c r="D510" s="5"/>
    </row>
    <row r="511">
      <c r="C511" s="5"/>
      <c r="D511" s="5"/>
    </row>
    <row r="512">
      <c r="C512" s="5"/>
      <c r="D512" s="5"/>
    </row>
    <row r="513">
      <c r="C513" s="5"/>
      <c r="D513" s="5"/>
    </row>
    <row r="514">
      <c r="C514" s="5"/>
      <c r="D514" s="5"/>
    </row>
    <row r="515">
      <c r="C515" s="5"/>
      <c r="D515" s="5"/>
    </row>
    <row r="516">
      <c r="C516" s="5"/>
      <c r="D516" s="5"/>
    </row>
    <row r="517">
      <c r="C517" s="5"/>
      <c r="D517" s="5"/>
    </row>
    <row r="518">
      <c r="C518" s="5"/>
      <c r="D518" s="5"/>
    </row>
    <row r="519">
      <c r="C519" s="5"/>
      <c r="D519" s="5"/>
    </row>
    <row r="520">
      <c r="C520" s="5"/>
      <c r="D520" s="5"/>
    </row>
    <row r="521">
      <c r="C521" s="5"/>
      <c r="D521" s="5"/>
    </row>
    <row r="522">
      <c r="C522" s="5"/>
      <c r="D522" s="5"/>
    </row>
    <row r="523">
      <c r="C523" s="5"/>
      <c r="D523" s="5"/>
    </row>
    <row r="524">
      <c r="C524" s="5"/>
      <c r="D524" s="5"/>
    </row>
    <row r="525">
      <c r="C525" s="5"/>
      <c r="D525" s="5"/>
    </row>
    <row r="526">
      <c r="C526" s="5"/>
      <c r="D526" s="5"/>
    </row>
    <row r="527">
      <c r="C527" s="5"/>
      <c r="D527" s="5"/>
    </row>
    <row r="528">
      <c r="C528" s="5"/>
      <c r="D528" s="5"/>
    </row>
    <row r="529">
      <c r="C529" s="5"/>
      <c r="D529" s="5"/>
    </row>
    <row r="530">
      <c r="C530" s="5"/>
      <c r="D530" s="5"/>
    </row>
    <row r="531">
      <c r="C531" s="5"/>
      <c r="D531" s="5"/>
    </row>
    <row r="532">
      <c r="C532" s="5"/>
      <c r="D532" s="5"/>
    </row>
    <row r="533">
      <c r="C533" s="5"/>
      <c r="D533" s="5"/>
    </row>
    <row r="534">
      <c r="C534" s="5"/>
      <c r="D534" s="5"/>
    </row>
    <row r="535">
      <c r="C535" s="5"/>
      <c r="D535" s="5"/>
    </row>
    <row r="536">
      <c r="C536" s="5"/>
      <c r="D536" s="5"/>
    </row>
    <row r="537">
      <c r="C537" s="5"/>
      <c r="D537" s="5"/>
    </row>
    <row r="538">
      <c r="C538" s="5"/>
      <c r="D538" s="5"/>
    </row>
    <row r="539">
      <c r="C539" s="5"/>
      <c r="D539" s="5"/>
    </row>
    <row r="540">
      <c r="C540" s="5"/>
      <c r="D540" s="5"/>
    </row>
    <row r="541">
      <c r="C541" s="5"/>
      <c r="D541" s="5"/>
    </row>
    <row r="542">
      <c r="C542" s="5"/>
      <c r="D542" s="5"/>
    </row>
    <row r="543">
      <c r="C543" s="5"/>
      <c r="D543" s="5"/>
    </row>
    <row r="544">
      <c r="C544" s="5"/>
      <c r="D544" s="5"/>
    </row>
    <row r="545">
      <c r="C545" s="5"/>
      <c r="D545" s="5"/>
    </row>
    <row r="546">
      <c r="C546" s="5"/>
      <c r="D546" s="5"/>
    </row>
    <row r="547">
      <c r="C547" s="5"/>
      <c r="D547" s="5"/>
    </row>
    <row r="548">
      <c r="C548" s="5"/>
      <c r="D548" s="5"/>
    </row>
    <row r="549">
      <c r="C549" s="5"/>
      <c r="D549" s="5"/>
    </row>
    <row r="550">
      <c r="C550" s="5"/>
      <c r="D550" s="5"/>
    </row>
    <row r="551">
      <c r="C551" s="5"/>
      <c r="D551" s="5"/>
    </row>
    <row r="552">
      <c r="C552" s="5"/>
      <c r="D552" s="5"/>
    </row>
    <row r="553">
      <c r="C553" s="5"/>
      <c r="D553" s="5"/>
    </row>
    <row r="554">
      <c r="C554" s="5"/>
      <c r="D554" s="5"/>
    </row>
    <row r="555">
      <c r="C555" s="5"/>
      <c r="D555" s="5"/>
    </row>
    <row r="556">
      <c r="C556" s="5"/>
      <c r="D556" s="5"/>
    </row>
    <row r="557">
      <c r="C557" s="5"/>
      <c r="D557" s="5"/>
    </row>
    <row r="558">
      <c r="C558" s="5"/>
      <c r="D558" s="5"/>
    </row>
    <row r="559">
      <c r="C559" s="5"/>
      <c r="D559" s="5"/>
    </row>
    <row r="560">
      <c r="C560" s="5"/>
      <c r="D560" s="5"/>
    </row>
    <row r="561">
      <c r="C561" s="5"/>
      <c r="D561" s="5"/>
    </row>
    <row r="562">
      <c r="C562" s="5"/>
      <c r="D562" s="5"/>
    </row>
    <row r="563">
      <c r="C563" s="5"/>
      <c r="D563" s="5"/>
    </row>
    <row r="564">
      <c r="C564" s="5"/>
      <c r="D564" s="5"/>
    </row>
    <row r="565">
      <c r="C565" s="5"/>
      <c r="D565" s="5"/>
    </row>
    <row r="566">
      <c r="C566" s="5"/>
      <c r="D566" s="5"/>
    </row>
    <row r="567">
      <c r="C567" s="5"/>
      <c r="D567" s="5"/>
    </row>
    <row r="568">
      <c r="C568" s="5"/>
      <c r="D568" s="5"/>
    </row>
    <row r="569">
      <c r="C569" s="5"/>
      <c r="D569" s="5"/>
    </row>
    <row r="570">
      <c r="C570" s="5"/>
      <c r="D570" s="5"/>
    </row>
    <row r="571">
      <c r="C571" s="5"/>
      <c r="D571" s="5"/>
    </row>
    <row r="572">
      <c r="C572" s="5"/>
      <c r="D572" s="5"/>
    </row>
    <row r="573">
      <c r="C573" s="5"/>
      <c r="D573" s="5"/>
    </row>
    <row r="574">
      <c r="C574" s="5"/>
      <c r="D574" s="5"/>
    </row>
    <row r="575">
      <c r="C575" s="5"/>
      <c r="D575" s="5"/>
    </row>
    <row r="576">
      <c r="C576" s="5"/>
      <c r="D576" s="5"/>
    </row>
    <row r="577">
      <c r="C577" s="5"/>
      <c r="D577" s="5"/>
    </row>
    <row r="578">
      <c r="C578" s="5"/>
      <c r="D578" s="5"/>
    </row>
    <row r="579">
      <c r="C579" s="5"/>
      <c r="D579" s="5"/>
    </row>
    <row r="580">
      <c r="C580" s="5"/>
      <c r="D580" s="5"/>
    </row>
    <row r="581">
      <c r="C581" s="5"/>
      <c r="D581" s="5"/>
    </row>
    <row r="582">
      <c r="C582" s="5"/>
      <c r="D582" s="5"/>
    </row>
    <row r="583">
      <c r="C583" s="5"/>
      <c r="D583" s="5"/>
    </row>
    <row r="584">
      <c r="C584" s="5"/>
      <c r="D584" s="5"/>
    </row>
    <row r="585">
      <c r="C585" s="5"/>
      <c r="D585" s="5"/>
    </row>
    <row r="586">
      <c r="C586" s="5"/>
      <c r="D586" s="5"/>
    </row>
    <row r="587">
      <c r="C587" s="5"/>
      <c r="D587" s="5"/>
    </row>
    <row r="588">
      <c r="C588" s="5"/>
      <c r="D588" s="5"/>
    </row>
    <row r="589">
      <c r="C589" s="5"/>
      <c r="D589" s="5"/>
    </row>
    <row r="590">
      <c r="C590" s="5"/>
      <c r="D590" s="5"/>
    </row>
    <row r="591">
      <c r="C591" s="5"/>
      <c r="D591" s="5"/>
    </row>
    <row r="592">
      <c r="C592" s="5"/>
      <c r="D592" s="5"/>
    </row>
    <row r="593">
      <c r="C593" s="5"/>
      <c r="D593" s="5"/>
    </row>
    <row r="594">
      <c r="C594" s="5"/>
      <c r="D594" s="5"/>
    </row>
    <row r="595">
      <c r="C595" s="5"/>
      <c r="D595" s="5"/>
    </row>
    <row r="596">
      <c r="C596" s="5"/>
      <c r="D596" s="5"/>
    </row>
    <row r="597">
      <c r="C597" s="5"/>
      <c r="D597" s="5"/>
    </row>
    <row r="598">
      <c r="C598" s="5"/>
      <c r="D598" s="5"/>
    </row>
    <row r="599">
      <c r="C599" s="5"/>
      <c r="D599" s="5"/>
    </row>
    <row r="600">
      <c r="C600" s="5"/>
      <c r="D600" s="5"/>
    </row>
    <row r="601">
      <c r="C601" s="5"/>
      <c r="D601" s="5"/>
    </row>
    <row r="602">
      <c r="C602" s="5"/>
      <c r="D602" s="5"/>
    </row>
    <row r="603">
      <c r="C603" s="5"/>
      <c r="D603" s="5"/>
    </row>
    <row r="604">
      <c r="C604" s="5"/>
      <c r="D604" s="5"/>
    </row>
    <row r="605">
      <c r="C605" s="5"/>
      <c r="D605" s="5"/>
    </row>
    <row r="606">
      <c r="C606" s="5"/>
      <c r="D606" s="5"/>
    </row>
    <row r="607">
      <c r="C607" s="5"/>
      <c r="D607" s="5"/>
    </row>
    <row r="608">
      <c r="C608" s="5"/>
      <c r="D608" s="5"/>
    </row>
    <row r="609">
      <c r="C609" s="5"/>
      <c r="D609" s="5"/>
    </row>
    <row r="610">
      <c r="C610" s="5"/>
      <c r="D610" s="5"/>
    </row>
    <row r="611">
      <c r="C611" s="5"/>
      <c r="D611" s="5"/>
    </row>
    <row r="612">
      <c r="C612" s="5"/>
      <c r="D612" s="5"/>
    </row>
    <row r="613">
      <c r="C613" s="5"/>
      <c r="D613" s="5"/>
    </row>
    <row r="614">
      <c r="C614" s="5"/>
      <c r="D614" s="5"/>
    </row>
    <row r="615">
      <c r="C615" s="5"/>
      <c r="D615" s="5"/>
    </row>
    <row r="616">
      <c r="C616" s="5"/>
      <c r="D616" s="5"/>
    </row>
    <row r="617">
      <c r="C617" s="5"/>
      <c r="D617" s="5"/>
    </row>
    <row r="618">
      <c r="C618" s="5"/>
      <c r="D618" s="5"/>
    </row>
    <row r="619">
      <c r="C619" s="5"/>
      <c r="D619" s="5"/>
    </row>
    <row r="620">
      <c r="C620" s="5"/>
      <c r="D620" s="5"/>
    </row>
    <row r="621">
      <c r="C621" s="5"/>
      <c r="D621" s="5"/>
    </row>
    <row r="622">
      <c r="C622" s="5"/>
      <c r="D622" s="5"/>
    </row>
    <row r="623">
      <c r="C623" s="5"/>
      <c r="D623" s="5"/>
    </row>
    <row r="624">
      <c r="C624" s="5"/>
      <c r="D624" s="5"/>
    </row>
    <row r="625">
      <c r="C625" s="5"/>
      <c r="D625" s="5"/>
    </row>
    <row r="626">
      <c r="C626" s="5"/>
      <c r="D626" s="5"/>
    </row>
    <row r="627">
      <c r="C627" s="5"/>
      <c r="D627" s="5"/>
    </row>
    <row r="628">
      <c r="C628" s="5"/>
      <c r="D628" s="5"/>
    </row>
    <row r="629">
      <c r="C629" s="5"/>
      <c r="D629" s="5"/>
    </row>
    <row r="630">
      <c r="C630" s="5"/>
      <c r="D630" s="5"/>
    </row>
    <row r="631">
      <c r="C631" s="5"/>
      <c r="D631" s="5"/>
    </row>
    <row r="632">
      <c r="C632" s="5"/>
      <c r="D632" s="5"/>
    </row>
    <row r="633">
      <c r="C633" s="5"/>
      <c r="D633" s="5"/>
    </row>
    <row r="634">
      <c r="C634" s="5"/>
      <c r="D634" s="5"/>
    </row>
    <row r="635">
      <c r="C635" s="5"/>
      <c r="D635" s="5"/>
    </row>
    <row r="636">
      <c r="C636" s="5"/>
      <c r="D636" s="5"/>
    </row>
    <row r="637">
      <c r="C637" s="5"/>
      <c r="D637" s="5"/>
    </row>
    <row r="638">
      <c r="C638" s="5"/>
      <c r="D638" s="5"/>
    </row>
    <row r="639">
      <c r="C639" s="5"/>
      <c r="D639" s="5"/>
    </row>
    <row r="640">
      <c r="C640" s="5"/>
      <c r="D640" s="5"/>
    </row>
    <row r="641">
      <c r="C641" s="5"/>
      <c r="D641" s="5"/>
    </row>
    <row r="642">
      <c r="C642" s="5"/>
      <c r="D642" s="5"/>
    </row>
    <row r="643">
      <c r="C643" s="5"/>
      <c r="D643" s="5"/>
    </row>
    <row r="644">
      <c r="C644" s="5"/>
      <c r="D644" s="5"/>
    </row>
    <row r="645">
      <c r="C645" s="5"/>
      <c r="D645" s="5"/>
    </row>
    <row r="646">
      <c r="C646" s="5"/>
      <c r="D646" s="5"/>
    </row>
    <row r="647">
      <c r="C647" s="5"/>
      <c r="D647" s="5"/>
    </row>
    <row r="648">
      <c r="C648" s="5"/>
      <c r="D648" s="5"/>
    </row>
    <row r="649">
      <c r="C649" s="5"/>
      <c r="D649" s="5"/>
    </row>
    <row r="650">
      <c r="C650" s="5"/>
      <c r="D650" s="5"/>
    </row>
    <row r="651">
      <c r="C651" s="5"/>
      <c r="D651" s="5"/>
    </row>
    <row r="652">
      <c r="C652" s="5"/>
      <c r="D652" s="5"/>
    </row>
    <row r="653">
      <c r="C653" s="5"/>
      <c r="D653" s="5"/>
    </row>
    <row r="654">
      <c r="C654" s="5"/>
      <c r="D654" s="5"/>
    </row>
    <row r="655">
      <c r="C655" s="5"/>
      <c r="D655" s="5"/>
    </row>
    <row r="656">
      <c r="C656" s="5"/>
      <c r="D656" s="5"/>
    </row>
    <row r="657">
      <c r="C657" s="5"/>
      <c r="D657" s="5"/>
    </row>
    <row r="658">
      <c r="C658" s="5"/>
      <c r="D658" s="5"/>
    </row>
    <row r="659">
      <c r="C659" s="5"/>
      <c r="D659" s="5"/>
    </row>
    <row r="660">
      <c r="C660" s="5"/>
      <c r="D660" s="5"/>
    </row>
    <row r="661">
      <c r="C661" s="5"/>
      <c r="D661" s="5"/>
    </row>
    <row r="662">
      <c r="C662" s="5"/>
      <c r="D662" s="5"/>
    </row>
    <row r="663">
      <c r="C663" s="5"/>
      <c r="D663" s="5"/>
    </row>
    <row r="664">
      <c r="C664" s="5"/>
      <c r="D664" s="5"/>
    </row>
    <row r="665">
      <c r="C665" s="5"/>
      <c r="D665" s="5"/>
    </row>
    <row r="666">
      <c r="C666" s="5"/>
      <c r="D666" s="5"/>
    </row>
    <row r="667">
      <c r="C667" s="5"/>
      <c r="D667" s="5"/>
    </row>
    <row r="668">
      <c r="C668" s="5"/>
      <c r="D668" s="5"/>
    </row>
    <row r="669">
      <c r="C669" s="5"/>
      <c r="D669" s="5"/>
    </row>
    <row r="670">
      <c r="C670" s="5"/>
      <c r="D670" s="5"/>
    </row>
    <row r="671">
      <c r="C671" s="5"/>
      <c r="D671" s="5"/>
    </row>
    <row r="672">
      <c r="C672" s="5"/>
      <c r="D672" s="5"/>
    </row>
    <row r="673">
      <c r="C673" s="5"/>
      <c r="D673" s="5"/>
    </row>
    <row r="674">
      <c r="C674" s="5"/>
      <c r="D674" s="5"/>
    </row>
    <row r="675">
      <c r="C675" s="5"/>
      <c r="D675" s="5"/>
    </row>
    <row r="676">
      <c r="C676" s="5"/>
      <c r="D676" s="5"/>
    </row>
    <row r="677">
      <c r="C677" s="5"/>
      <c r="D677" s="5"/>
    </row>
    <row r="678">
      <c r="C678" s="5"/>
      <c r="D678" s="5"/>
    </row>
    <row r="679">
      <c r="C679" s="5"/>
      <c r="D679" s="5"/>
    </row>
    <row r="680">
      <c r="C680" s="5"/>
      <c r="D680" s="5"/>
    </row>
    <row r="681">
      <c r="C681" s="5"/>
      <c r="D681" s="5"/>
    </row>
    <row r="682">
      <c r="C682" s="5"/>
      <c r="D682" s="5"/>
    </row>
    <row r="683">
      <c r="C683" s="5"/>
      <c r="D683" s="5"/>
    </row>
    <row r="684">
      <c r="C684" s="5"/>
      <c r="D684" s="5"/>
    </row>
    <row r="685">
      <c r="C685" s="5"/>
      <c r="D685" s="5"/>
    </row>
    <row r="686">
      <c r="C686" s="5"/>
      <c r="D686" s="5"/>
    </row>
    <row r="687">
      <c r="C687" s="5"/>
      <c r="D687" s="5"/>
    </row>
    <row r="688">
      <c r="C688" s="5"/>
      <c r="D688" s="5"/>
    </row>
    <row r="689">
      <c r="C689" s="5"/>
      <c r="D689" s="5"/>
    </row>
    <row r="690">
      <c r="C690" s="5"/>
      <c r="D690" s="5"/>
    </row>
  </sheetData>
  <conditionalFormatting sqref="C1:C690">
    <cfRule type="containsText" dxfId="0" priority="1" operator="containsText" text="yes">
      <formula>NOT(ISERROR(SEARCH(("yes"),(C1))))</formula>
    </cfRule>
  </conditionalFormatting>
  <conditionalFormatting sqref="C1:C690">
    <cfRule type="containsText" dxfId="1" priority="2" operator="containsText" text="decent">
      <formula>NOT(ISERROR(SEARCH(("decent"),(C1))))</formula>
    </cfRule>
  </conditionalFormatting>
  <conditionalFormatting sqref="C1:C690">
    <cfRule type="containsText" dxfId="2" priority="3" operator="containsText" text="maybe">
      <formula>NOT(ISERROR(SEARCH(("maybe"),(C1))))</formula>
    </cfRule>
  </conditionalFormatting>
  <conditionalFormatting sqref="C1:C690">
    <cfRule type="containsText" dxfId="3" priority="4" operator="containsText" text="no">
      <formula>NOT(ISERROR(SEARCH(("no"),(C1))))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2" max="2" width="17.25"/>
    <col customWidth="1" min="3" max="4" width="20.88"/>
  </cols>
  <sheetData>
    <row r="1">
      <c r="A1" s="1" t="s">
        <v>0</v>
      </c>
      <c r="B1" s="1" t="s">
        <v>1</v>
      </c>
      <c r="C1" s="3" t="s">
        <v>187</v>
      </c>
      <c r="D1" s="3" t="s">
        <v>4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</row>
    <row r="2">
      <c r="A2" s="1" t="s">
        <v>430</v>
      </c>
      <c r="B2" s="1" t="s">
        <v>431</v>
      </c>
      <c r="C2" s="3"/>
      <c r="D2" s="3"/>
      <c r="E2" s="1" t="str">
        <f>IFERROR(__xludf.DUMMYFUNCTION("IFERROR(REGEXEXTRACT(A2, ""res(269|122)""), ""none"")"),"269")</f>
        <v>269</v>
      </c>
      <c r="F2" s="1">
        <v>-15.73021</v>
      </c>
      <c r="G2" s="1">
        <v>8.0</v>
      </c>
      <c r="H2" s="1">
        <v>2.0</v>
      </c>
      <c r="I2" s="1">
        <v>0.25</v>
      </c>
      <c r="J2" s="1">
        <v>2.0</v>
      </c>
      <c r="K2" s="1">
        <v>-0.653344</v>
      </c>
      <c r="L2" s="1">
        <v>100.0</v>
      </c>
      <c r="M2" s="1">
        <v>0.0</v>
      </c>
      <c r="N2" s="1">
        <v>0.0</v>
      </c>
      <c r="O2" s="1">
        <v>95.866446</v>
      </c>
    </row>
    <row r="3">
      <c r="A3" s="1" t="s">
        <v>257</v>
      </c>
      <c r="B3" s="1" t="s">
        <v>117</v>
      </c>
      <c r="C3" s="3"/>
      <c r="D3" s="3"/>
      <c r="E3" s="1" t="str">
        <f>IFERROR(__xludf.DUMMYFUNCTION("IFERROR(REGEXEXTRACT(A3, ""res(269|122)""), ""none"")"),"269")</f>
        <v>269</v>
      </c>
      <c r="F3" s="1">
        <v>-16.620105</v>
      </c>
      <c r="G3" s="1">
        <v>12.0</v>
      </c>
      <c r="H3" s="1">
        <v>3.0</v>
      </c>
      <c r="I3" s="1">
        <v>0.416667</v>
      </c>
      <c r="J3" s="1">
        <v>2.0</v>
      </c>
      <c r="K3" s="1">
        <v>-0.664324</v>
      </c>
      <c r="L3" s="1">
        <v>100.0</v>
      </c>
      <c r="M3" s="1">
        <v>0.0</v>
      </c>
      <c r="N3" s="1">
        <v>0.0</v>
      </c>
      <c r="O3" s="1">
        <v>100.132238</v>
      </c>
    </row>
    <row r="4">
      <c r="A4" s="1" t="s">
        <v>258</v>
      </c>
      <c r="B4" s="1" t="s">
        <v>259</v>
      </c>
      <c r="C4" s="3"/>
      <c r="D4" s="3"/>
      <c r="E4" s="1" t="str">
        <f>IFERROR(__xludf.DUMMYFUNCTION("IFERROR(REGEXEXTRACT(A4, ""res(269|122)""), ""none"")"),"269")</f>
        <v>269</v>
      </c>
      <c r="F4" s="1">
        <v>-16.020646</v>
      </c>
      <c r="G4" s="1">
        <v>9.0</v>
      </c>
      <c r="H4" s="1">
        <v>1.0</v>
      </c>
      <c r="I4" s="1">
        <v>0.333333</v>
      </c>
      <c r="J4" s="1">
        <v>3.0</v>
      </c>
      <c r="K4" s="1">
        <v>-2.057194</v>
      </c>
      <c r="L4" s="1">
        <v>100.0</v>
      </c>
      <c r="M4" s="1">
        <v>0.0</v>
      </c>
      <c r="N4" s="1">
        <v>0.0</v>
      </c>
      <c r="O4" s="1">
        <v>95.255493</v>
      </c>
    </row>
    <row r="5">
      <c r="A5" s="1" t="s">
        <v>260</v>
      </c>
      <c r="B5" s="1" t="s">
        <v>261</v>
      </c>
      <c r="C5" s="3"/>
      <c r="D5" s="3"/>
      <c r="E5" s="1" t="str">
        <f>IFERROR(__xludf.DUMMYFUNCTION("IFERROR(REGEXEXTRACT(A5, ""res(269|122)""), ""none"")"),"269")</f>
        <v>269</v>
      </c>
      <c r="F5" s="1">
        <v>-16.416697</v>
      </c>
      <c r="G5" s="1">
        <v>9.0</v>
      </c>
      <c r="H5" s="1">
        <v>1.0</v>
      </c>
      <c r="I5" s="1">
        <v>0.333333</v>
      </c>
      <c r="J5" s="1">
        <v>3.0</v>
      </c>
      <c r="K5" s="1">
        <v>-2.107731</v>
      </c>
      <c r="L5" s="1">
        <v>100.0</v>
      </c>
      <c r="M5" s="1">
        <v>0.0</v>
      </c>
      <c r="N5" s="1">
        <v>0.0</v>
      </c>
      <c r="O5" s="1">
        <v>94.808905</v>
      </c>
    </row>
    <row r="6">
      <c r="A6" s="1" t="s">
        <v>432</v>
      </c>
      <c r="B6" s="1" t="s">
        <v>433</v>
      </c>
      <c r="C6" s="3"/>
      <c r="D6" s="3"/>
      <c r="E6" s="1" t="str">
        <f>IFERROR(__xludf.DUMMYFUNCTION("IFERROR(REGEXEXTRACT(A6, ""res(269|122)""), ""none"")"),"269")</f>
        <v>269</v>
      </c>
      <c r="F6" s="1">
        <v>-15.147452</v>
      </c>
      <c r="G6" s="1">
        <v>8.0</v>
      </c>
      <c r="H6" s="1">
        <v>1.0</v>
      </c>
      <c r="I6" s="1">
        <v>0.25</v>
      </c>
      <c r="J6" s="1">
        <v>2.0</v>
      </c>
      <c r="K6" s="1">
        <v>-0.294954999999999</v>
      </c>
      <c r="L6" s="1">
        <v>100.0</v>
      </c>
      <c r="M6" s="1">
        <v>0.0</v>
      </c>
      <c r="N6" s="1">
        <v>0.0</v>
      </c>
      <c r="O6" s="1">
        <v>95.807593</v>
      </c>
    </row>
    <row r="7">
      <c r="A7" s="1" t="s">
        <v>434</v>
      </c>
      <c r="B7" s="1" t="s">
        <v>435</v>
      </c>
      <c r="C7" s="3"/>
      <c r="D7" s="3"/>
      <c r="E7" s="1" t="str">
        <f>IFERROR(__xludf.DUMMYFUNCTION("IFERROR(REGEXEXTRACT(A7, ""res(269|122)""), ""none"")"),"269")</f>
        <v>269</v>
      </c>
      <c r="F7" s="1">
        <v>-15.389501</v>
      </c>
      <c r="G7" s="1">
        <v>6.0</v>
      </c>
      <c r="H7" s="1">
        <v>2.0</v>
      </c>
      <c r="I7" s="1">
        <v>0.333333</v>
      </c>
      <c r="J7" s="1">
        <v>2.0</v>
      </c>
      <c r="K7" s="1">
        <v>-0.471907</v>
      </c>
      <c r="L7" s="1">
        <v>100.0</v>
      </c>
      <c r="M7" s="1">
        <v>0.0</v>
      </c>
      <c r="N7" s="1">
        <v>0.0</v>
      </c>
      <c r="O7" s="1">
        <v>94.471925</v>
      </c>
    </row>
    <row r="8">
      <c r="A8" s="1" t="s">
        <v>262</v>
      </c>
      <c r="B8" s="1" t="s">
        <v>74</v>
      </c>
      <c r="C8" s="3"/>
      <c r="D8" s="3"/>
      <c r="E8" s="1" t="str">
        <f>IFERROR(__xludf.DUMMYFUNCTION("IFERROR(REGEXEXTRACT(A8, ""res(269|122)""), ""none"")"),"269")</f>
        <v>269</v>
      </c>
      <c r="F8" s="1">
        <v>-15.124595</v>
      </c>
      <c r="G8" s="1">
        <v>8.0</v>
      </c>
      <c r="H8" s="1">
        <v>5.0</v>
      </c>
      <c r="I8" s="1">
        <v>0.375</v>
      </c>
      <c r="J8" s="1">
        <v>2.0</v>
      </c>
      <c r="K8" s="1">
        <v>-0.84012</v>
      </c>
      <c r="L8" s="1">
        <v>100.0</v>
      </c>
      <c r="M8" s="1">
        <v>0.0</v>
      </c>
      <c r="N8" s="1">
        <v>0.0</v>
      </c>
      <c r="O8" s="1">
        <v>99.410285</v>
      </c>
    </row>
    <row r="9">
      <c r="A9" s="1" t="s">
        <v>436</v>
      </c>
      <c r="B9" s="1" t="s">
        <v>437</v>
      </c>
      <c r="C9" s="3"/>
      <c r="D9" s="3"/>
      <c r="E9" s="1" t="str">
        <f>IFERROR(__xludf.DUMMYFUNCTION("IFERROR(REGEXEXTRACT(A9, ""res(269|122)""), ""none"")"),"269")</f>
        <v>269</v>
      </c>
      <c r="F9" s="1">
        <v>-15.107329</v>
      </c>
      <c r="G9" s="1">
        <v>8.0</v>
      </c>
      <c r="H9" s="1">
        <v>3.0</v>
      </c>
      <c r="I9" s="1">
        <v>0.25</v>
      </c>
      <c r="J9" s="1">
        <v>2.0</v>
      </c>
      <c r="K9" s="1">
        <v>-0.715002</v>
      </c>
      <c r="L9" s="1">
        <v>100.0</v>
      </c>
      <c r="M9" s="1">
        <v>0.0</v>
      </c>
      <c r="N9" s="1">
        <v>0.0</v>
      </c>
      <c r="O9" s="1">
        <v>97.427669</v>
      </c>
    </row>
    <row r="10">
      <c r="A10" s="1" t="s">
        <v>438</v>
      </c>
      <c r="B10" s="1" t="s">
        <v>439</v>
      </c>
      <c r="C10" s="3"/>
      <c r="D10" s="3"/>
      <c r="E10" s="1" t="str">
        <f>IFERROR(__xludf.DUMMYFUNCTION("IFERROR(REGEXEXTRACT(A10, ""res(269|122)""), ""none"")"),"269")</f>
        <v>269</v>
      </c>
      <c r="F10" s="1">
        <v>-16.347377</v>
      </c>
      <c r="G10" s="1">
        <v>7.0</v>
      </c>
      <c r="H10" s="1">
        <v>3.0</v>
      </c>
      <c r="I10" s="1">
        <v>0.428571</v>
      </c>
      <c r="J10" s="1">
        <v>2.0</v>
      </c>
      <c r="K10" s="1">
        <v>-1.047751</v>
      </c>
      <c r="L10" s="1">
        <v>100.0</v>
      </c>
      <c r="M10" s="1">
        <v>0.0</v>
      </c>
      <c r="N10" s="1">
        <v>0.0</v>
      </c>
      <c r="O10" s="1">
        <v>95.033443</v>
      </c>
    </row>
    <row r="11">
      <c r="A11" s="1" t="s">
        <v>440</v>
      </c>
      <c r="B11" s="1" t="s">
        <v>441</v>
      </c>
      <c r="C11" s="3"/>
      <c r="D11" s="3"/>
      <c r="E11" s="1" t="str">
        <f>IFERROR(__xludf.DUMMYFUNCTION("IFERROR(REGEXEXTRACT(A11, ""res(269|122)""), ""none"")"),"269")</f>
        <v>269</v>
      </c>
      <c r="F11" s="1">
        <v>-15.526661</v>
      </c>
      <c r="G11" s="1">
        <v>6.0</v>
      </c>
      <c r="H11" s="1">
        <v>4.0</v>
      </c>
      <c r="I11" s="1">
        <v>0.333333</v>
      </c>
      <c r="J11" s="1">
        <v>2.0</v>
      </c>
      <c r="K11" s="1">
        <v>-0.878894</v>
      </c>
      <c r="L11" s="1">
        <v>100.0</v>
      </c>
      <c r="M11" s="1">
        <v>0.0</v>
      </c>
      <c r="N11" s="1">
        <v>0.0</v>
      </c>
      <c r="O11" s="1">
        <v>95.927778</v>
      </c>
    </row>
    <row r="12">
      <c r="A12" s="1" t="s">
        <v>263</v>
      </c>
      <c r="B12" s="1" t="s">
        <v>264</v>
      </c>
      <c r="C12" s="3"/>
      <c r="D12" s="3"/>
      <c r="E12" s="1" t="str">
        <f>IFERROR(__xludf.DUMMYFUNCTION("IFERROR(REGEXEXTRACT(A12, ""res(269|122)""), ""none"")"),"269")</f>
        <v>269</v>
      </c>
      <c r="F12" s="1">
        <v>-15.247766</v>
      </c>
      <c r="G12" s="1">
        <v>6.0</v>
      </c>
      <c r="H12" s="1">
        <v>2.0</v>
      </c>
      <c r="I12" s="1">
        <v>0.333333</v>
      </c>
      <c r="J12" s="1">
        <v>3.0</v>
      </c>
      <c r="K12" s="1">
        <v>-1.003179</v>
      </c>
      <c r="L12" s="1">
        <v>100.0</v>
      </c>
      <c r="M12" s="1">
        <v>0.0</v>
      </c>
      <c r="N12" s="1">
        <v>0.0</v>
      </c>
      <c r="O12" s="1">
        <v>95.082388</v>
      </c>
    </row>
    <row r="13">
      <c r="A13" s="1" t="s">
        <v>265</v>
      </c>
      <c r="B13" s="1" t="s">
        <v>120</v>
      </c>
      <c r="C13" s="3"/>
      <c r="D13" s="3"/>
      <c r="E13" s="1" t="str">
        <f>IFERROR(__xludf.DUMMYFUNCTION("IFERROR(REGEXEXTRACT(A13, ""res(269|122)""), ""none"")"),"269")</f>
        <v>269</v>
      </c>
      <c r="F13" s="1">
        <v>-15.234041</v>
      </c>
      <c r="G13" s="1">
        <v>8.0</v>
      </c>
      <c r="H13" s="1">
        <v>3.0</v>
      </c>
      <c r="I13" s="1">
        <v>0.25</v>
      </c>
      <c r="J13" s="1">
        <v>3.0</v>
      </c>
      <c r="K13" s="1">
        <v>-0.552818</v>
      </c>
      <c r="L13" s="1">
        <v>100.0</v>
      </c>
      <c r="M13" s="1">
        <v>0.0</v>
      </c>
      <c r="N13" s="1">
        <v>0.0</v>
      </c>
      <c r="O13" s="1">
        <v>98.463141</v>
      </c>
    </row>
    <row r="14">
      <c r="A14" s="1" t="s">
        <v>266</v>
      </c>
      <c r="B14" s="1" t="s">
        <v>77</v>
      </c>
      <c r="C14" s="3"/>
      <c r="D14" s="3"/>
      <c r="E14" s="1" t="str">
        <f>IFERROR(__xludf.DUMMYFUNCTION("IFERROR(REGEXEXTRACT(A14, ""res(269|122)""), ""none"")"),"269")</f>
        <v>269</v>
      </c>
      <c r="F14" s="1">
        <v>-15.196061</v>
      </c>
      <c r="G14" s="1">
        <v>7.0</v>
      </c>
      <c r="H14" s="1">
        <v>2.0</v>
      </c>
      <c r="I14" s="1">
        <v>0.285714</v>
      </c>
      <c r="J14" s="1">
        <v>2.0</v>
      </c>
      <c r="K14" s="1">
        <v>-1.471521</v>
      </c>
      <c r="L14" s="1">
        <v>100.0</v>
      </c>
      <c r="M14" s="1">
        <v>0.0</v>
      </c>
      <c r="N14" s="1">
        <v>0.0</v>
      </c>
      <c r="O14" s="1">
        <v>94.618132</v>
      </c>
    </row>
    <row r="15">
      <c r="A15" s="1" t="s">
        <v>442</v>
      </c>
      <c r="B15" s="1" t="s">
        <v>443</v>
      </c>
      <c r="C15" s="3"/>
      <c r="D15" s="3"/>
      <c r="E15" s="1" t="str">
        <f>IFERROR(__xludf.DUMMYFUNCTION("IFERROR(REGEXEXTRACT(A15, ""res(269|122)""), ""none"")"),"269")</f>
        <v>269</v>
      </c>
      <c r="F15" s="1">
        <v>-15.140799</v>
      </c>
      <c r="G15" s="1">
        <v>6.0</v>
      </c>
      <c r="H15" s="1">
        <v>2.0</v>
      </c>
      <c r="I15" s="1">
        <v>0.333333</v>
      </c>
      <c r="J15" s="1">
        <v>2.0</v>
      </c>
      <c r="K15" s="1">
        <v>-0.893388</v>
      </c>
      <c r="L15" s="1">
        <v>100.0</v>
      </c>
      <c r="M15" s="1">
        <v>0.0</v>
      </c>
      <c r="N15" s="1">
        <v>0.0</v>
      </c>
      <c r="O15" s="1">
        <v>94.299146</v>
      </c>
    </row>
    <row r="16">
      <c r="A16" s="1" t="s">
        <v>444</v>
      </c>
      <c r="B16" s="1" t="s">
        <v>445</v>
      </c>
      <c r="C16" s="3"/>
      <c r="D16" s="3"/>
      <c r="E16" s="1" t="str">
        <f>IFERROR(__xludf.DUMMYFUNCTION("IFERROR(REGEXEXTRACT(A16, ""res(269|122)""), ""none"")"),"269")</f>
        <v>269</v>
      </c>
      <c r="F16" s="1">
        <v>-15.673892</v>
      </c>
      <c r="G16" s="1">
        <v>6.0</v>
      </c>
      <c r="H16" s="1">
        <v>4.0</v>
      </c>
      <c r="I16" s="1">
        <v>0.5</v>
      </c>
      <c r="J16" s="1">
        <v>2.0</v>
      </c>
      <c r="K16" s="1">
        <v>-0.675629</v>
      </c>
      <c r="L16" s="1">
        <v>100.0</v>
      </c>
      <c r="M16" s="1">
        <v>0.0</v>
      </c>
      <c r="N16" s="1">
        <v>0.0</v>
      </c>
      <c r="O16" s="1">
        <v>96.150479</v>
      </c>
    </row>
    <row r="17">
      <c r="A17" s="1" t="s">
        <v>267</v>
      </c>
      <c r="B17" s="1" t="s">
        <v>268</v>
      </c>
      <c r="C17" s="3"/>
      <c r="D17" s="3"/>
      <c r="E17" s="1" t="str">
        <f>IFERROR(__xludf.DUMMYFUNCTION("IFERROR(REGEXEXTRACT(A17, ""res(269|122)""), ""none"")"),"269")</f>
        <v>269</v>
      </c>
      <c r="F17" s="1">
        <v>-15.475748</v>
      </c>
      <c r="G17" s="1">
        <v>11.0</v>
      </c>
      <c r="H17" s="1">
        <v>1.0</v>
      </c>
      <c r="I17" s="1">
        <v>0.272727</v>
      </c>
      <c r="J17" s="1">
        <v>2.0</v>
      </c>
      <c r="K17" s="1">
        <v>-0.318571</v>
      </c>
      <c r="L17" s="1">
        <v>100.0</v>
      </c>
      <c r="M17" s="1">
        <v>0.0</v>
      </c>
      <c r="N17" s="1">
        <v>0.0</v>
      </c>
      <c r="O17" s="1">
        <v>98.478408</v>
      </c>
    </row>
    <row r="18">
      <c r="A18" s="1" t="s">
        <v>446</v>
      </c>
      <c r="B18" s="1" t="s">
        <v>447</v>
      </c>
      <c r="C18" s="3"/>
      <c r="D18" s="3"/>
      <c r="E18" s="1" t="str">
        <f>IFERROR(__xludf.DUMMYFUNCTION("IFERROR(REGEXEXTRACT(A18, ""res(269|122)""), ""none"")"),"269")</f>
        <v>269</v>
      </c>
      <c r="F18" s="1">
        <v>-15.850201</v>
      </c>
      <c r="G18" s="1">
        <v>7.0</v>
      </c>
      <c r="H18" s="1">
        <v>2.0</v>
      </c>
      <c r="I18" s="1">
        <v>0.285714</v>
      </c>
      <c r="J18" s="1">
        <v>2.0</v>
      </c>
      <c r="K18" s="1">
        <v>-0.774898</v>
      </c>
      <c r="L18" s="1">
        <v>100.0</v>
      </c>
      <c r="M18" s="1">
        <v>0.0</v>
      </c>
      <c r="N18" s="1">
        <v>0.0</v>
      </c>
      <c r="O18" s="1">
        <v>94.660615</v>
      </c>
    </row>
    <row r="19">
      <c r="A19" s="1" t="s">
        <v>269</v>
      </c>
      <c r="B19" s="1" t="s">
        <v>270</v>
      </c>
      <c r="C19" s="3"/>
      <c r="D19" s="3"/>
      <c r="E19" s="1" t="str">
        <f>IFERROR(__xludf.DUMMYFUNCTION("IFERROR(REGEXEXTRACT(A19, ""res(269|122)""), ""none"")"),"269")</f>
        <v>269</v>
      </c>
      <c r="F19" s="1">
        <v>-15.217109</v>
      </c>
      <c r="G19" s="1">
        <v>8.0</v>
      </c>
      <c r="H19" s="1">
        <v>2.0</v>
      </c>
      <c r="I19" s="1">
        <v>0.25</v>
      </c>
      <c r="J19" s="1">
        <v>3.0</v>
      </c>
      <c r="K19" s="1">
        <v>-1.096035</v>
      </c>
      <c r="L19" s="1">
        <v>100.0</v>
      </c>
      <c r="M19" s="1">
        <v>0.0</v>
      </c>
      <c r="N19" s="1">
        <v>0.0</v>
      </c>
      <c r="O19" s="1">
        <v>96.936856</v>
      </c>
    </row>
    <row r="20">
      <c r="A20" s="1" t="s">
        <v>448</v>
      </c>
      <c r="B20" s="1" t="s">
        <v>449</v>
      </c>
      <c r="C20" s="3"/>
      <c r="D20" s="3"/>
      <c r="E20" s="1" t="str">
        <f>IFERROR(__xludf.DUMMYFUNCTION("IFERROR(REGEXEXTRACT(A20, ""res(269|122)""), ""none"")"),"269")</f>
        <v>269</v>
      </c>
      <c r="F20" s="1">
        <v>-18.627045</v>
      </c>
      <c r="G20" s="1">
        <v>9.0</v>
      </c>
      <c r="H20" s="1">
        <v>2.0</v>
      </c>
      <c r="I20" s="1">
        <v>0.333333</v>
      </c>
      <c r="J20" s="1">
        <v>2.0</v>
      </c>
      <c r="K20" s="1">
        <v>-1.464442</v>
      </c>
      <c r="L20" s="1">
        <v>100.0</v>
      </c>
      <c r="M20" s="1">
        <v>0.0</v>
      </c>
      <c r="N20" s="1">
        <v>0.0</v>
      </c>
      <c r="O20" s="1">
        <v>93.241846</v>
      </c>
    </row>
    <row r="21">
      <c r="A21" s="1" t="s">
        <v>450</v>
      </c>
      <c r="B21" s="1" t="s">
        <v>451</v>
      </c>
      <c r="C21" s="3"/>
      <c r="D21" s="3"/>
      <c r="E21" s="1" t="str">
        <f>IFERROR(__xludf.DUMMYFUNCTION("IFERROR(REGEXEXTRACT(A21, ""res(269|122)""), ""none"")"),"269")</f>
        <v>269</v>
      </c>
      <c r="F21" s="1">
        <v>-18.627045</v>
      </c>
      <c r="G21" s="1">
        <v>9.0</v>
      </c>
      <c r="H21" s="1">
        <v>2.0</v>
      </c>
      <c r="I21" s="1">
        <v>0.333333</v>
      </c>
      <c r="J21" s="1">
        <v>2.0</v>
      </c>
      <c r="K21" s="1">
        <v>-1.464442</v>
      </c>
      <c r="L21" s="1">
        <v>100.0</v>
      </c>
      <c r="M21" s="1">
        <v>0.0</v>
      </c>
      <c r="N21" s="1">
        <v>0.0</v>
      </c>
      <c r="O21" s="1">
        <v>93.241846</v>
      </c>
    </row>
    <row r="22">
      <c r="A22" s="1" t="s">
        <v>452</v>
      </c>
      <c r="B22" s="1" t="s">
        <v>453</v>
      </c>
      <c r="C22" s="3"/>
      <c r="D22" s="3"/>
      <c r="E22" s="1" t="str">
        <f>IFERROR(__xludf.DUMMYFUNCTION("IFERROR(REGEXEXTRACT(A22, ""res(269|122)""), ""none"")"),"269")</f>
        <v>269</v>
      </c>
      <c r="F22" s="1">
        <v>-15.471061</v>
      </c>
      <c r="G22" s="1">
        <v>11.0</v>
      </c>
      <c r="H22" s="1">
        <v>5.0</v>
      </c>
      <c r="I22" s="1">
        <v>0.272727</v>
      </c>
      <c r="J22" s="1">
        <v>3.0</v>
      </c>
      <c r="K22" s="1">
        <v>-1.955025</v>
      </c>
      <c r="L22" s="1">
        <v>100.0</v>
      </c>
      <c r="M22" s="1">
        <v>0.0</v>
      </c>
      <c r="N22" s="1">
        <v>0.0</v>
      </c>
      <c r="O22" s="1">
        <v>101.846641</v>
      </c>
    </row>
    <row r="23">
      <c r="A23" s="1" t="s">
        <v>271</v>
      </c>
      <c r="B23" s="1" t="s">
        <v>272</v>
      </c>
      <c r="C23" s="3"/>
      <c r="D23" s="3"/>
      <c r="E23" s="1" t="str">
        <f>IFERROR(__xludf.DUMMYFUNCTION("IFERROR(REGEXEXTRACT(A23, ""res(269|122)""), ""none"")"),"269")</f>
        <v>269</v>
      </c>
      <c r="F23" s="1">
        <v>-16.067978</v>
      </c>
      <c r="G23" s="1">
        <v>10.0</v>
      </c>
      <c r="H23" s="1">
        <v>3.0</v>
      </c>
      <c r="I23" s="1">
        <v>0.4</v>
      </c>
      <c r="J23" s="1">
        <v>4.0</v>
      </c>
      <c r="K23" s="1">
        <v>-1.686262</v>
      </c>
      <c r="L23" s="1">
        <v>100.0</v>
      </c>
      <c r="M23" s="1">
        <v>0.0</v>
      </c>
      <c r="N23" s="1">
        <v>0.0</v>
      </c>
      <c r="O23" s="1">
        <v>99.64576</v>
      </c>
    </row>
    <row r="24">
      <c r="A24" s="1" t="s">
        <v>273</v>
      </c>
      <c r="B24" s="1" t="s">
        <v>274</v>
      </c>
      <c r="C24" s="3"/>
      <c r="D24" s="3"/>
      <c r="E24" s="1" t="str">
        <f>IFERROR(__xludf.DUMMYFUNCTION("IFERROR(REGEXEXTRACT(A24, ""res(269|122)""), ""none"")"),"269")</f>
        <v>269</v>
      </c>
      <c r="F24" s="1">
        <v>-16.067978</v>
      </c>
      <c r="G24" s="1">
        <v>10.0</v>
      </c>
      <c r="H24" s="1">
        <v>3.0</v>
      </c>
      <c r="I24" s="1">
        <v>0.4</v>
      </c>
      <c r="J24" s="1">
        <v>4.0</v>
      </c>
      <c r="K24" s="1">
        <v>-1.686262</v>
      </c>
      <c r="L24" s="1">
        <v>100.0</v>
      </c>
      <c r="M24" s="1">
        <v>0.0</v>
      </c>
      <c r="N24" s="1">
        <v>0.0</v>
      </c>
      <c r="O24" s="1">
        <v>99.64576</v>
      </c>
    </row>
    <row r="25">
      <c r="A25" s="1" t="s">
        <v>275</v>
      </c>
      <c r="B25" s="1" t="s">
        <v>276</v>
      </c>
      <c r="C25" s="3"/>
      <c r="D25" s="3"/>
      <c r="E25" s="1" t="str">
        <f>IFERROR(__xludf.DUMMYFUNCTION("IFERROR(REGEXEXTRACT(A25, ""res(269|122)""), ""none"")"),"269")</f>
        <v>269</v>
      </c>
      <c r="F25" s="1">
        <v>-15.296307</v>
      </c>
      <c r="G25" s="1">
        <v>7.0</v>
      </c>
      <c r="H25" s="1">
        <v>3.0</v>
      </c>
      <c r="I25" s="1">
        <v>0.285714</v>
      </c>
      <c r="J25" s="1">
        <v>2.0</v>
      </c>
      <c r="K25" s="1">
        <v>-1.992376</v>
      </c>
      <c r="L25" s="1">
        <v>100.0</v>
      </c>
      <c r="M25" s="1">
        <v>0.0</v>
      </c>
      <c r="N25" s="1">
        <v>0.0</v>
      </c>
      <c r="O25" s="1">
        <v>94.997031</v>
      </c>
    </row>
    <row r="26">
      <c r="A26" s="1" t="s">
        <v>454</v>
      </c>
      <c r="B26" s="1" t="s">
        <v>455</v>
      </c>
      <c r="C26" s="3"/>
      <c r="D26" s="3"/>
      <c r="E26" s="1" t="str">
        <f>IFERROR(__xludf.DUMMYFUNCTION("IFERROR(REGEXEXTRACT(A26, ""res(269|122)""), ""none"")"),"269")</f>
        <v>269</v>
      </c>
      <c r="F26" s="1">
        <v>-16.253596</v>
      </c>
      <c r="G26" s="1">
        <v>10.0</v>
      </c>
      <c r="H26" s="1">
        <v>3.0</v>
      </c>
      <c r="I26" s="1">
        <v>0.3</v>
      </c>
      <c r="J26" s="1">
        <v>2.0</v>
      </c>
      <c r="K26" s="1">
        <v>-0.741444</v>
      </c>
      <c r="L26" s="1">
        <v>100.0</v>
      </c>
      <c r="M26" s="1">
        <v>0.0</v>
      </c>
      <c r="N26" s="1">
        <v>0.0</v>
      </c>
      <c r="O26" s="1">
        <v>98.30496</v>
      </c>
    </row>
    <row r="27">
      <c r="A27" s="1" t="s">
        <v>456</v>
      </c>
      <c r="B27" s="1" t="s">
        <v>457</v>
      </c>
      <c r="C27" s="3"/>
      <c r="D27" s="3"/>
      <c r="E27" s="1" t="str">
        <f>IFERROR(__xludf.DUMMYFUNCTION("IFERROR(REGEXEXTRACT(A27, ""res(269|122)""), ""none"")"),"269")</f>
        <v>269</v>
      </c>
      <c r="F27" s="1">
        <v>-15.009468</v>
      </c>
      <c r="G27" s="1">
        <v>12.0</v>
      </c>
      <c r="H27" s="1">
        <v>3.0</v>
      </c>
      <c r="I27" s="1">
        <v>0.25</v>
      </c>
      <c r="J27" s="1">
        <v>2.0</v>
      </c>
      <c r="K27" s="1">
        <v>-0.890163</v>
      </c>
      <c r="L27" s="1">
        <v>100.0</v>
      </c>
      <c r="M27" s="1">
        <v>0.0</v>
      </c>
      <c r="N27" s="1">
        <v>0.0</v>
      </c>
      <c r="O27" s="1">
        <v>101.350369</v>
      </c>
    </row>
    <row r="28">
      <c r="A28" s="1" t="s">
        <v>277</v>
      </c>
      <c r="B28" s="1" t="s">
        <v>278</v>
      </c>
      <c r="C28" s="3"/>
      <c r="D28" s="3"/>
      <c r="E28" s="1" t="str">
        <f>IFERROR(__xludf.DUMMYFUNCTION("IFERROR(REGEXEXTRACT(A28, ""res(269|122)""), ""none"")"),"269")</f>
        <v>269</v>
      </c>
      <c r="F28" s="1">
        <v>-15.325992</v>
      </c>
      <c r="G28" s="1">
        <v>8.0</v>
      </c>
      <c r="H28" s="1">
        <v>2.0</v>
      </c>
      <c r="I28" s="1">
        <v>0.25</v>
      </c>
      <c r="J28" s="1">
        <v>2.0</v>
      </c>
      <c r="K28" s="1">
        <v>-0.597145</v>
      </c>
      <c r="L28" s="1">
        <v>100.0</v>
      </c>
      <c r="M28" s="1">
        <v>0.0</v>
      </c>
      <c r="N28" s="1">
        <v>0.0</v>
      </c>
      <c r="O28" s="1">
        <v>96.326863</v>
      </c>
    </row>
    <row r="29">
      <c r="A29" s="1" t="s">
        <v>458</v>
      </c>
      <c r="B29" s="1" t="s">
        <v>459</v>
      </c>
      <c r="C29" s="3"/>
      <c r="D29" s="3"/>
      <c r="E29" s="1" t="str">
        <f>IFERROR(__xludf.DUMMYFUNCTION("IFERROR(REGEXEXTRACT(A29, ""res(269|122)""), ""none"")"),"269")</f>
        <v>269</v>
      </c>
      <c r="F29" s="1">
        <v>-15.102863</v>
      </c>
      <c r="G29" s="1">
        <v>7.0</v>
      </c>
      <c r="H29" s="1">
        <v>4.0</v>
      </c>
      <c r="I29" s="1">
        <v>0.285714</v>
      </c>
      <c r="J29" s="1">
        <v>2.0</v>
      </c>
      <c r="K29" s="1">
        <v>-0.739385</v>
      </c>
      <c r="L29" s="1">
        <v>100.0</v>
      </c>
      <c r="M29" s="1">
        <v>0.0</v>
      </c>
      <c r="N29" s="1">
        <v>0.0</v>
      </c>
      <c r="O29" s="1">
        <v>97.443466</v>
      </c>
    </row>
    <row r="30">
      <c r="A30" s="1" t="s">
        <v>460</v>
      </c>
      <c r="B30" s="1" t="s">
        <v>461</v>
      </c>
      <c r="C30" s="3"/>
      <c r="D30" s="3"/>
      <c r="E30" s="1" t="str">
        <f>IFERROR(__xludf.DUMMYFUNCTION("IFERROR(REGEXEXTRACT(A30, ""res(269|122)""), ""none"")"),"269")</f>
        <v>269</v>
      </c>
      <c r="F30" s="1">
        <v>-16.336018</v>
      </c>
      <c r="G30" s="1">
        <v>7.0</v>
      </c>
      <c r="H30" s="1">
        <v>2.0</v>
      </c>
      <c r="I30" s="1">
        <v>0.428571</v>
      </c>
      <c r="J30" s="1">
        <v>2.0</v>
      </c>
      <c r="K30" s="1">
        <v>-1.549677</v>
      </c>
      <c r="L30" s="1">
        <v>100.0</v>
      </c>
      <c r="M30" s="1">
        <v>0.0</v>
      </c>
      <c r="N30" s="1">
        <v>0.0</v>
      </c>
      <c r="O30" s="1">
        <v>93.542876</v>
      </c>
    </row>
    <row r="31">
      <c r="A31" s="1" t="s">
        <v>279</v>
      </c>
      <c r="B31" s="1" t="s">
        <v>123</v>
      </c>
      <c r="C31" s="3"/>
      <c r="D31" s="3"/>
      <c r="E31" s="1" t="str">
        <f>IFERROR(__xludf.DUMMYFUNCTION("IFERROR(REGEXEXTRACT(A31, ""res(269|122)""), ""none"")"),"269")</f>
        <v>269</v>
      </c>
      <c r="F31" s="1">
        <v>-15.778424</v>
      </c>
      <c r="G31" s="1">
        <v>10.0</v>
      </c>
      <c r="H31" s="1">
        <v>4.0</v>
      </c>
      <c r="I31" s="1">
        <v>0.3</v>
      </c>
      <c r="J31" s="1">
        <v>2.0</v>
      </c>
      <c r="K31" s="1">
        <v>-0.444144</v>
      </c>
      <c r="L31" s="1">
        <v>100.0</v>
      </c>
      <c r="M31" s="1">
        <v>0.0</v>
      </c>
      <c r="N31" s="1">
        <v>0.0</v>
      </c>
      <c r="O31" s="1">
        <v>100.077432</v>
      </c>
    </row>
    <row r="32">
      <c r="A32" s="1" t="s">
        <v>462</v>
      </c>
      <c r="B32" s="1" t="s">
        <v>463</v>
      </c>
      <c r="C32" s="3"/>
      <c r="D32" s="3"/>
      <c r="E32" s="1" t="str">
        <f>IFERROR(__xludf.DUMMYFUNCTION("IFERROR(REGEXEXTRACT(A32, ""res(269|122)""), ""none"")"),"269")</f>
        <v>269</v>
      </c>
      <c r="F32" s="1">
        <v>-15.125422</v>
      </c>
      <c r="G32" s="1">
        <v>8.0</v>
      </c>
      <c r="H32" s="1">
        <v>2.0</v>
      </c>
      <c r="I32" s="1">
        <v>0.25</v>
      </c>
      <c r="J32" s="1">
        <v>2.0</v>
      </c>
      <c r="K32" s="1">
        <v>-0.988743</v>
      </c>
      <c r="L32" s="1">
        <v>100.0</v>
      </c>
      <c r="M32" s="1">
        <v>0.0</v>
      </c>
      <c r="N32" s="1">
        <v>0.0</v>
      </c>
      <c r="O32" s="1">
        <v>96.135835</v>
      </c>
    </row>
    <row r="33">
      <c r="A33" s="1" t="s">
        <v>464</v>
      </c>
      <c r="B33" s="1" t="s">
        <v>465</v>
      </c>
      <c r="C33" s="3"/>
      <c r="D33" s="3"/>
      <c r="E33" s="1" t="str">
        <f>IFERROR(__xludf.DUMMYFUNCTION("IFERROR(REGEXEXTRACT(A33, ""res(269|122)""), ""none"")"),"269")</f>
        <v>269</v>
      </c>
      <c r="F33" s="1">
        <v>-16.19124</v>
      </c>
      <c r="G33" s="1">
        <v>11.0</v>
      </c>
      <c r="H33" s="1">
        <v>2.0</v>
      </c>
      <c r="I33" s="1">
        <v>0.272727</v>
      </c>
      <c r="J33" s="1">
        <v>2.0</v>
      </c>
      <c r="K33" s="1">
        <v>-0.467883</v>
      </c>
      <c r="L33" s="1">
        <v>100.0</v>
      </c>
      <c r="M33" s="1">
        <v>0.0</v>
      </c>
      <c r="N33" s="1">
        <v>0.0</v>
      </c>
      <c r="O33" s="1">
        <v>98.613604</v>
      </c>
    </row>
    <row r="34">
      <c r="A34" s="1" t="s">
        <v>466</v>
      </c>
      <c r="B34" s="1" t="s">
        <v>467</v>
      </c>
      <c r="C34" s="3"/>
      <c r="D34" s="3"/>
      <c r="E34" s="1" t="str">
        <f>IFERROR(__xludf.DUMMYFUNCTION("IFERROR(REGEXEXTRACT(A34, ""res(269|122)""), ""none"")"),"269")</f>
        <v>269</v>
      </c>
      <c r="F34" s="1">
        <v>-16.072605</v>
      </c>
      <c r="G34" s="1">
        <v>7.0</v>
      </c>
      <c r="H34" s="1">
        <v>3.0</v>
      </c>
      <c r="I34" s="1">
        <v>0.285714</v>
      </c>
      <c r="J34" s="1">
        <v>3.0</v>
      </c>
      <c r="K34" s="1">
        <v>-1.341939</v>
      </c>
      <c r="L34" s="1">
        <v>100.0</v>
      </c>
      <c r="M34" s="1">
        <v>0.0</v>
      </c>
      <c r="N34" s="1">
        <v>0.0</v>
      </c>
      <c r="O34" s="1">
        <v>95.87117</v>
      </c>
    </row>
    <row r="35">
      <c r="A35" s="1" t="s">
        <v>468</v>
      </c>
      <c r="B35" s="1" t="s">
        <v>469</v>
      </c>
      <c r="C35" s="3"/>
      <c r="D35" s="3"/>
      <c r="E35" s="1" t="str">
        <f>IFERROR(__xludf.DUMMYFUNCTION("IFERROR(REGEXEXTRACT(A35, ""res(269|122)""), ""none"")"),"269")</f>
        <v>269</v>
      </c>
      <c r="F35" s="1">
        <v>-15.019141</v>
      </c>
      <c r="G35" s="1">
        <v>7.0</v>
      </c>
      <c r="H35" s="1">
        <v>2.0</v>
      </c>
      <c r="I35" s="1">
        <v>0.285714</v>
      </c>
      <c r="J35" s="1">
        <v>2.0</v>
      </c>
      <c r="K35" s="1">
        <v>-1.307925</v>
      </c>
      <c r="L35" s="1">
        <v>100.0</v>
      </c>
      <c r="M35" s="1">
        <v>0.0</v>
      </c>
      <c r="N35" s="1">
        <v>0.0</v>
      </c>
      <c r="O35" s="1">
        <v>94.958648</v>
      </c>
    </row>
    <row r="36">
      <c r="A36" s="1" t="s">
        <v>470</v>
      </c>
      <c r="B36" s="1" t="s">
        <v>471</v>
      </c>
      <c r="C36" s="3"/>
      <c r="D36" s="3"/>
      <c r="E36" s="1" t="str">
        <f>IFERROR(__xludf.DUMMYFUNCTION("IFERROR(REGEXEXTRACT(A36, ""res(269|122)""), ""none"")"),"269")</f>
        <v>269</v>
      </c>
      <c r="F36" s="1">
        <v>-15.694478</v>
      </c>
      <c r="G36" s="1">
        <v>9.0</v>
      </c>
      <c r="H36" s="1">
        <v>2.0</v>
      </c>
      <c r="I36" s="1">
        <v>0.333333</v>
      </c>
      <c r="J36" s="1">
        <v>3.0</v>
      </c>
      <c r="K36" s="1">
        <v>-0.857403999999999</v>
      </c>
      <c r="L36" s="1">
        <v>100.0</v>
      </c>
      <c r="M36" s="1">
        <v>0.0</v>
      </c>
      <c r="N36" s="1">
        <v>0.0</v>
      </c>
      <c r="O36" s="1">
        <v>97.781451</v>
      </c>
    </row>
    <row r="37">
      <c r="A37" s="1" t="s">
        <v>280</v>
      </c>
      <c r="B37" s="1" t="s">
        <v>126</v>
      </c>
      <c r="C37" s="3"/>
      <c r="D37" s="3"/>
      <c r="E37" s="1" t="str">
        <f>IFERROR(__xludf.DUMMYFUNCTION("IFERROR(REGEXEXTRACT(A37, ""res(269|122)""), ""none"")"),"269")</f>
        <v>269</v>
      </c>
      <c r="F37" s="1">
        <v>-16.377062</v>
      </c>
      <c r="G37" s="1">
        <v>9.0</v>
      </c>
      <c r="H37" s="1">
        <v>1.0</v>
      </c>
      <c r="I37" s="1">
        <v>0.333333</v>
      </c>
      <c r="J37" s="1">
        <v>2.0</v>
      </c>
      <c r="K37" s="1">
        <v>-1.84415</v>
      </c>
      <c r="L37" s="1">
        <v>100.0</v>
      </c>
      <c r="M37" s="1">
        <v>0.0</v>
      </c>
      <c r="N37" s="1">
        <v>0.0</v>
      </c>
      <c r="O37" s="1">
        <v>94.112121</v>
      </c>
    </row>
    <row r="38">
      <c r="A38" s="1" t="s">
        <v>472</v>
      </c>
      <c r="B38" s="1" t="s">
        <v>473</v>
      </c>
      <c r="C38" s="3"/>
      <c r="D38" s="3"/>
      <c r="E38" s="1" t="str">
        <f>IFERROR(__xludf.DUMMYFUNCTION("IFERROR(REGEXEXTRACT(A38, ""res(269|122)""), ""none"")"),"269")</f>
        <v>269</v>
      </c>
      <c r="F38" s="1">
        <v>-15.903081</v>
      </c>
      <c r="G38" s="1">
        <v>7.0</v>
      </c>
      <c r="H38" s="1">
        <v>3.0</v>
      </c>
      <c r="I38" s="1">
        <v>0.285714</v>
      </c>
      <c r="J38" s="1">
        <v>2.0</v>
      </c>
      <c r="K38" s="1">
        <v>-0.636751</v>
      </c>
      <c r="L38" s="1">
        <v>100.0</v>
      </c>
      <c r="M38" s="1">
        <v>0.0</v>
      </c>
      <c r="N38" s="1">
        <v>0.0</v>
      </c>
      <c r="O38" s="1">
        <v>95.745882</v>
      </c>
    </row>
    <row r="39">
      <c r="A39" s="1" t="s">
        <v>474</v>
      </c>
      <c r="B39" s="1" t="s">
        <v>475</v>
      </c>
      <c r="C39" s="3"/>
      <c r="D39" s="3"/>
      <c r="E39" s="1" t="str">
        <f>IFERROR(__xludf.DUMMYFUNCTION("IFERROR(REGEXEXTRACT(A39, ""res(269|122)""), ""none"")"),"269")</f>
        <v>269</v>
      </c>
      <c r="F39" s="1">
        <v>-15.522765</v>
      </c>
      <c r="G39" s="1">
        <v>7.0</v>
      </c>
      <c r="H39" s="1">
        <v>3.0</v>
      </c>
      <c r="I39" s="1">
        <v>0.285714</v>
      </c>
      <c r="J39" s="1">
        <v>2.0</v>
      </c>
      <c r="K39" s="1">
        <v>-0.647722999999999</v>
      </c>
      <c r="L39" s="1">
        <v>100.0</v>
      </c>
      <c r="M39" s="1">
        <v>0.0</v>
      </c>
      <c r="N39" s="1">
        <v>0.0</v>
      </c>
      <c r="O39" s="1">
        <v>96.115226</v>
      </c>
    </row>
    <row r="40">
      <c r="A40" s="1" t="s">
        <v>281</v>
      </c>
      <c r="B40" s="1" t="s">
        <v>282</v>
      </c>
      <c r="C40" s="3"/>
      <c r="D40" s="3"/>
      <c r="E40" s="1" t="str">
        <f>IFERROR(__xludf.DUMMYFUNCTION("IFERROR(REGEXEXTRACT(A40, ""res(269|122)""), ""none"")"),"269")</f>
        <v>269</v>
      </c>
      <c r="F40" s="1">
        <v>-15.737774</v>
      </c>
      <c r="G40" s="1">
        <v>8.0</v>
      </c>
      <c r="H40" s="1">
        <v>4.0</v>
      </c>
      <c r="I40" s="1">
        <v>0.375</v>
      </c>
      <c r="J40" s="1">
        <v>2.0</v>
      </c>
      <c r="K40" s="1">
        <v>-0.922352</v>
      </c>
      <c r="L40" s="1">
        <v>100.0</v>
      </c>
      <c r="M40" s="1">
        <v>0.0</v>
      </c>
      <c r="N40" s="1">
        <v>0.0</v>
      </c>
      <c r="O40" s="1">
        <v>97.714874</v>
      </c>
    </row>
    <row r="41">
      <c r="A41" s="1" t="s">
        <v>283</v>
      </c>
      <c r="B41" s="1" t="s">
        <v>129</v>
      </c>
      <c r="C41" s="3"/>
      <c r="D41" s="3"/>
      <c r="E41" s="1" t="str">
        <f>IFERROR(__xludf.DUMMYFUNCTION("IFERROR(REGEXEXTRACT(A41, ""res(269|122)""), ""none"")"),"269")</f>
        <v>269</v>
      </c>
      <c r="F41" s="1">
        <v>-16.004339</v>
      </c>
      <c r="G41" s="1">
        <v>7.0</v>
      </c>
      <c r="H41" s="1">
        <v>1.0</v>
      </c>
      <c r="I41" s="1">
        <v>0.285714</v>
      </c>
      <c r="J41" s="1">
        <v>2.0</v>
      </c>
      <c r="K41" s="1">
        <v>-0.643672</v>
      </c>
      <c r="L41" s="1">
        <v>100.0</v>
      </c>
      <c r="M41" s="1">
        <v>0.0</v>
      </c>
      <c r="N41" s="1">
        <v>0.0</v>
      </c>
      <c r="O41" s="1">
        <v>93.637703</v>
      </c>
    </row>
    <row r="42">
      <c r="A42" s="1" t="s">
        <v>476</v>
      </c>
      <c r="B42" s="1" t="s">
        <v>477</v>
      </c>
      <c r="C42" s="3"/>
      <c r="D42" s="3"/>
      <c r="E42" s="1" t="str">
        <f>IFERROR(__xludf.DUMMYFUNCTION("IFERROR(REGEXEXTRACT(A42, ""res(269|122)""), ""none"")"),"269")</f>
        <v>269</v>
      </c>
      <c r="F42" s="1">
        <v>-15.728531</v>
      </c>
      <c r="G42" s="1">
        <v>8.0</v>
      </c>
      <c r="H42" s="1">
        <v>3.0</v>
      </c>
      <c r="I42" s="1">
        <v>0.25</v>
      </c>
      <c r="J42" s="1">
        <v>2.0</v>
      </c>
      <c r="K42" s="1">
        <v>-1.51629</v>
      </c>
      <c r="L42" s="1">
        <v>100.0</v>
      </c>
      <c r="M42" s="1">
        <v>0.0</v>
      </c>
      <c r="N42" s="1">
        <v>0.0</v>
      </c>
      <c r="O42" s="1">
        <v>96.005179</v>
      </c>
    </row>
    <row r="43">
      <c r="A43" s="1" t="s">
        <v>478</v>
      </c>
      <c r="B43" s="1" t="s">
        <v>479</v>
      </c>
      <c r="C43" s="3"/>
      <c r="D43" s="3"/>
      <c r="E43" s="1" t="str">
        <f>IFERROR(__xludf.DUMMYFUNCTION("IFERROR(REGEXEXTRACT(A43, ""res(269|122)""), ""none"")"),"269")</f>
        <v>269</v>
      </c>
      <c r="F43" s="1">
        <v>-15.352353</v>
      </c>
      <c r="G43" s="1">
        <v>8.0</v>
      </c>
      <c r="H43" s="1">
        <v>1.0</v>
      </c>
      <c r="I43" s="1">
        <v>0.25</v>
      </c>
      <c r="J43" s="1">
        <v>2.0</v>
      </c>
      <c r="K43" s="1">
        <v>-0.518455</v>
      </c>
      <c r="L43" s="1">
        <v>100.0</v>
      </c>
      <c r="M43" s="1">
        <v>0.0</v>
      </c>
      <c r="N43" s="1">
        <v>0.0</v>
      </c>
      <c r="O43" s="1">
        <v>95.379192</v>
      </c>
    </row>
    <row r="44">
      <c r="A44" s="1" t="s">
        <v>480</v>
      </c>
      <c r="B44" s="1" t="s">
        <v>481</v>
      </c>
      <c r="C44" s="3"/>
      <c r="D44" s="3"/>
      <c r="E44" s="1" t="str">
        <f>IFERROR(__xludf.DUMMYFUNCTION("IFERROR(REGEXEXTRACT(A44, ""res(269|122)""), ""none"")"),"269")</f>
        <v>269</v>
      </c>
      <c r="F44" s="1">
        <v>-15.596951</v>
      </c>
      <c r="G44" s="1">
        <v>10.0</v>
      </c>
      <c r="H44" s="1">
        <v>3.0</v>
      </c>
      <c r="I44" s="1">
        <v>0.3</v>
      </c>
      <c r="J44" s="1">
        <v>2.0</v>
      </c>
      <c r="K44" s="1">
        <v>-0.973844</v>
      </c>
      <c r="L44" s="1">
        <v>100.0</v>
      </c>
      <c r="M44" s="1">
        <v>0.0</v>
      </c>
      <c r="N44" s="1">
        <v>0.0</v>
      </c>
      <c r="O44" s="1">
        <v>98.729205</v>
      </c>
    </row>
    <row r="45">
      <c r="A45" s="1" t="s">
        <v>284</v>
      </c>
      <c r="B45" s="1" t="s">
        <v>285</v>
      </c>
      <c r="C45" s="3"/>
      <c r="D45" s="3"/>
      <c r="E45" s="1" t="str">
        <f>IFERROR(__xludf.DUMMYFUNCTION("IFERROR(REGEXEXTRACT(A45, ""res(269|122)""), ""none"")"),"269")</f>
        <v>269</v>
      </c>
      <c r="F45" s="1">
        <v>-15.399039</v>
      </c>
      <c r="G45" s="1">
        <v>6.0</v>
      </c>
      <c r="H45" s="1">
        <v>3.0</v>
      </c>
      <c r="I45" s="1">
        <v>0.333333</v>
      </c>
      <c r="J45" s="1">
        <v>2.0</v>
      </c>
      <c r="K45" s="1">
        <v>-0.254448</v>
      </c>
      <c r="L45" s="1">
        <v>100.0</v>
      </c>
      <c r="M45" s="1">
        <v>0.0</v>
      </c>
      <c r="N45" s="1">
        <v>0.0</v>
      </c>
      <c r="O45" s="1">
        <v>95.679846</v>
      </c>
    </row>
    <row r="46">
      <c r="A46" s="1" t="s">
        <v>286</v>
      </c>
      <c r="B46" s="1" t="s">
        <v>287</v>
      </c>
      <c r="C46" s="3"/>
      <c r="D46" s="3"/>
      <c r="E46" s="1" t="str">
        <f>IFERROR(__xludf.DUMMYFUNCTION("IFERROR(REGEXEXTRACT(A46, ""res(269|122)""), ""none"")"),"269")</f>
        <v>269</v>
      </c>
      <c r="F46" s="1">
        <v>-15.848908</v>
      </c>
      <c r="G46" s="1">
        <v>8.0</v>
      </c>
      <c r="H46" s="1">
        <v>3.0</v>
      </c>
      <c r="I46" s="1">
        <v>0.375</v>
      </c>
      <c r="J46" s="1">
        <v>2.0</v>
      </c>
      <c r="K46" s="1">
        <v>-0.923644</v>
      </c>
      <c r="L46" s="1">
        <v>100.0</v>
      </c>
      <c r="M46" s="1">
        <v>0.0</v>
      </c>
      <c r="N46" s="1">
        <v>0.0</v>
      </c>
      <c r="O46" s="1">
        <v>96.602448</v>
      </c>
    </row>
    <row r="47">
      <c r="A47" s="1" t="s">
        <v>482</v>
      </c>
      <c r="B47" s="1" t="s">
        <v>483</v>
      </c>
      <c r="C47" s="3"/>
      <c r="D47" s="3"/>
      <c r="E47" s="1" t="str">
        <f>IFERROR(__xludf.DUMMYFUNCTION("IFERROR(REGEXEXTRACT(A47, ""res(269|122)""), ""none"")"),"269")</f>
        <v>269</v>
      </c>
      <c r="F47" s="1">
        <v>-15.495405</v>
      </c>
      <c r="G47" s="1">
        <v>9.0</v>
      </c>
      <c r="H47" s="1">
        <v>4.0</v>
      </c>
      <c r="I47" s="1">
        <v>0.333333</v>
      </c>
      <c r="J47" s="1">
        <v>2.0</v>
      </c>
      <c r="K47" s="1">
        <v>-0.620458</v>
      </c>
      <c r="L47" s="1">
        <v>100.0</v>
      </c>
      <c r="M47" s="1">
        <v>0.0</v>
      </c>
      <c r="N47" s="1">
        <v>0.0</v>
      </c>
      <c r="O47" s="1">
        <v>99.21747</v>
      </c>
    </row>
    <row r="48">
      <c r="A48" s="1" t="s">
        <v>484</v>
      </c>
      <c r="B48" s="1" t="s">
        <v>485</v>
      </c>
      <c r="C48" s="3"/>
      <c r="D48" s="3"/>
      <c r="E48" s="1" t="str">
        <f>IFERROR(__xludf.DUMMYFUNCTION("IFERROR(REGEXEXTRACT(A48, ""res(269|122)""), ""none"")"),"269")</f>
        <v>269</v>
      </c>
      <c r="F48" s="1">
        <v>-15.100581</v>
      </c>
      <c r="G48" s="1">
        <v>10.0</v>
      </c>
      <c r="H48" s="1">
        <v>3.0</v>
      </c>
      <c r="I48" s="1">
        <v>0.3</v>
      </c>
      <c r="J48" s="1">
        <v>2.0</v>
      </c>
      <c r="K48" s="1">
        <v>-0.870712</v>
      </c>
      <c r="L48" s="1">
        <v>100.0</v>
      </c>
      <c r="M48" s="1">
        <v>0.0</v>
      </c>
      <c r="N48" s="1">
        <v>0.0</v>
      </c>
      <c r="O48" s="1">
        <v>99.328707</v>
      </c>
    </row>
    <row r="49">
      <c r="A49" s="1" t="s">
        <v>486</v>
      </c>
      <c r="B49" s="1" t="s">
        <v>487</v>
      </c>
      <c r="C49" s="3"/>
      <c r="D49" s="3"/>
      <c r="E49" s="1" t="str">
        <f>IFERROR(__xludf.DUMMYFUNCTION("IFERROR(REGEXEXTRACT(A49, ""res(269|122)""), ""none"")"),"269")</f>
        <v>269</v>
      </c>
      <c r="F49" s="1">
        <v>-15.478127</v>
      </c>
      <c r="G49" s="1">
        <v>8.0</v>
      </c>
      <c r="H49" s="1">
        <v>3.0</v>
      </c>
      <c r="I49" s="1">
        <v>0.25</v>
      </c>
      <c r="J49" s="1">
        <v>3.0</v>
      </c>
      <c r="K49" s="1">
        <v>-1.86879</v>
      </c>
      <c r="L49" s="1">
        <v>100.0</v>
      </c>
      <c r="M49" s="1">
        <v>0.0</v>
      </c>
      <c r="N49" s="1">
        <v>0.0</v>
      </c>
      <c r="O49" s="1">
        <v>96.903083</v>
      </c>
    </row>
    <row r="50">
      <c r="A50" s="1" t="s">
        <v>488</v>
      </c>
      <c r="B50" s="1" t="s">
        <v>489</v>
      </c>
      <c r="C50" s="3"/>
      <c r="D50" s="3"/>
      <c r="E50" s="1" t="str">
        <f>IFERROR(__xludf.DUMMYFUNCTION("IFERROR(REGEXEXTRACT(A50, ""res(269|122)""), ""none"")"),"269")</f>
        <v>269</v>
      </c>
      <c r="F50" s="1">
        <v>-15.530742</v>
      </c>
      <c r="G50" s="1">
        <v>9.0</v>
      </c>
      <c r="H50" s="1">
        <v>2.0</v>
      </c>
      <c r="I50" s="1">
        <v>0.333333</v>
      </c>
      <c r="J50" s="1">
        <v>2.0</v>
      </c>
      <c r="K50" s="1">
        <v>-1.463579</v>
      </c>
      <c r="L50" s="1">
        <v>100.0</v>
      </c>
      <c r="M50" s="1">
        <v>0.0</v>
      </c>
      <c r="N50" s="1">
        <v>0.0</v>
      </c>
      <c r="O50" s="1">
        <v>96.339012</v>
      </c>
    </row>
    <row r="51">
      <c r="A51" s="1" t="s">
        <v>490</v>
      </c>
      <c r="B51" s="1" t="s">
        <v>491</v>
      </c>
      <c r="C51" s="3"/>
      <c r="D51" s="3"/>
      <c r="E51" s="1" t="str">
        <f>IFERROR(__xludf.DUMMYFUNCTION("IFERROR(REGEXEXTRACT(A51, ""res(269|122)""), ""none"")"),"269")</f>
        <v>269</v>
      </c>
      <c r="F51" s="1">
        <v>-15.026162</v>
      </c>
      <c r="G51" s="1">
        <v>8.0</v>
      </c>
      <c r="H51" s="1">
        <v>2.0</v>
      </c>
      <c r="I51" s="1">
        <v>0.5</v>
      </c>
      <c r="J51" s="1">
        <v>2.0</v>
      </c>
      <c r="K51" s="1">
        <v>-1.219584</v>
      </c>
      <c r="L51" s="1">
        <v>100.0</v>
      </c>
      <c r="M51" s="1">
        <v>0.0</v>
      </c>
      <c r="N51" s="1">
        <v>0.0</v>
      </c>
      <c r="O51" s="1">
        <v>96.254254</v>
      </c>
    </row>
    <row r="52">
      <c r="A52" s="1" t="s">
        <v>492</v>
      </c>
      <c r="B52" s="1" t="s">
        <v>493</v>
      </c>
      <c r="C52" s="3"/>
      <c r="D52" s="3"/>
      <c r="E52" s="1" t="str">
        <f>IFERROR(__xludf.DUMMYFUNCTION("IFERROR(REGEXEXTRACT(A52, ""res(269|122)""), ""none"")"),"269")</f>
        <v>269</v>
      </c>
      <c r="F52" s="1">
        <v>-15.026162</v>
      </c>
      <c r="G52" s="1">
        <v>8.0</v>
      </c>
      <c r="H52" s="1">
        <v>2.0</v>
      </c>
      <c r="I52" s="1">
        <v>0.5</v>
      </c>
      <c r="J52" s="1">
        <v>2.0</v>
      </c>
      <c r="K52" s="1">
        <v>-1.219584</v>
      </c>
      <c r="L52" s="1">
        <v>100.0</v>
      </c>
      <c r="M52" s="1">
        <v>0.0</v>
      </c>
      <c r="N52" s="1">
        <v>0.0</v>
      </c>
      <c r="O52" s="1">
        <v>96.254254</v>
      </c>
    </row>
    <row r="53">
      <c r="A53" s="1" t="s">
        <v>494</v>
      </c>
      <c r="B53" s="1" t="s">
        <v>495</v>
      </c>
      <c r="C53" s="3"/>
      <c r="D53" s="3"/>
      <c r="E53" s="1" t="str">
        <f>IFERROR(__xludf.DUMMYFUNCTION("IFERROR(REGEXEXTRACT(A53, ""res(269|122)""), ""none"")"),"269")</f>
        <v>269</v>
      </c>
      <c r="F53" s="1">
        <v>-15.558252</v>
      </c>
      <c r="G53" s="1">
        <v>8.0</v>
      </c>
      <c r="H53" s="1">
        <v>5.0</v>
      </c>
      <c r="I53" s="1">
        <v>0.25</v>
      </c>
      <c r="J53" s="1">
        <v>2.0</v>
      </c>
      <c r="K53" s="1">
        <v>-0.605641</v>
      </c>
      <c r="L53" s="1">
        <v>100.0</v>
      </c>
      <c r="M53" s="1">
        <v>0.0</v>
      </c>
      <c r="N53" s="1">
        <v>0.0</v>
      </c>
      <c r="O53" s="1">
        <v>99.086107</v>
      </c>
    </row>
    <row r="54">
      <c r="A54" s="1" t="s">
        <v>496</v>
      </c>
      <c r="B54" s="1" t="s">
        <v>497</v>
      </c>
      <c r="C54" s="3"/>
      <c r="D54" s="3"/>
      <c r="E54" s="1" t="str">
        <f>IFERROR(__xludf.DUMMYFUNCTION("IFERROR(REGEXEXTRACT(A54, ""res(269|122)""), ""none"")"),"269")</f>
        <v>269</v>
      </c>
      <c r="F54" s="1">
        <v>-15.806081</v>
      </c>
      <c r="G54" s="1">
        <v>8.0</v>
      </c>
      <c r="H54" s="1">
        <v>2.0</v>
      </c>
      <c r="I54" s="1">
        <v>0.25</v>
      </c>
      <c r="J54" s="1">
        <v>2.0</v>
      </c>
      <c r="K54" s="1">
        <v>-1.085431</v>
      </c>
      <c r="L54" s="1">
        <v>100.0</v>
      </c>
      <c r="M54" s="1">
        <v>0.0</v>
      </c>
      <c r="N54" s="1">
        <v>0.0</v>
      </c>
      <c r="O54" s="1">
        <v>95.358488</v>
      </c>
    </row>
    <row r="55">
      <c r="A55" s="1" t="s">
        <v>288</v>
      </c>
      <c r="B55" s="1" t="s">
        <v>80</v>
      </c>
      <c r="C55" s="3"/>
      <c r="D55" s="3"/>
      <c r="E55" s="1" t="str">
        <f>IFERROR(__xludf.DUMMYFUNCTION("IFERROR(REGEXEXTRACT(A55, ""res(269|122)""), ""none"")"),"269")</f>
        <v>269</v>
      </c>
      <c r="F55" s="1">
        <v>-15.111049</v>
      </c>
      <c r="G55" s="1">
        <v>8.0</v>
      </c>
      <c r="H55" s="1">
        <v>4.0</v>
      </c>
      <c r="I55" s="1">
        <v>0.5</v>
      </c>
      <c r="J55" s="1">
        <v>3.0</v>
      </c>
      <c r="K55" s="1">
        <v>-1.48802099999999</v>
      </c>
      <c r="L55" s="1">
        <v>100.0</v>
      </c>
      <c r="M55" s="1">
        <v>0.0</v>
      </c>
      <c r="N55" s="1">
        <v>0.0</v>
      </c>
      <c r="O55" s="1">
        <v>98.90093</v>
      </c>
    </row>
    <row r="56">
      <c r="A56" s="1" t="s">
        <v>498</v>
      </c>
      <c r="B56" s="1" t="s">
        <v>499</v>
      </c>
      <c r="C56" s="3"/>
      <c r="D56" s="3"/>
      <c r="E56" s="1" t="str">
        <f>IFERROR(__xludf.DUMMYFUNCTION("IFERROR(REGEXEXTRACT(A56, ""res(269|122)""), ""none"")"),"269")</f>
        <v>269</v>
      </c>
      <c r="F56" s="1">
        <v>-15.229256</v>
      </c>
      <c r="G56" s="1">
        <v>7.0</v>
      </c>
      <c r="H56" s="1">
        <v>3.0</v>
      </c>
      <c r="I56" s="1">
        <v>0.428571</v>
      </c>
      <c r="J56" s="1">
        <v>2.0</v>
      </c>
      <c r="K56" s="1">
        <v>-0.96092</v>
      </c>
      <c r="L56" s="1">
        <v>100.0</v>
      </c>
      <c r="M56" s="1">
        <v>0.0</v>
      </c>
      <c r="N56" s="1">
        <v>0.0</v>
      </c>
      <c r="O56" s="1">
        <v>96.238395</v>
      </c>
    </row>
    <row r="57">
      <c r="A57" s="1" t="s">
        <v>500</v>
      </c>
      <c r="B57" s="1" t="s">
        <v>501</v>
      </c>
      <c r="C57" s="3"/>
      <c r="D57" s="3"/>
      <c r="E57" s="1" t="str">
        <f>IFERROR(__xludf.DUMMYFUNCTION("IFERROR(REGEXEXTRACT(A57, ""res(269|122)""), ""none"")"),"269")</f>
        <v>269</v>
      </c>
      <c r="F57" s="1">
        <v>-16.557156</v>
      </c>
      <c r="G57" s="1">
        <v>8.0</v>
      </c>
      <c r="H57" s="1">
        <v>2.0</v>
      </c>
      <c r="I57" s="1">
        <v>0.25</v>
      </c>
      <c r="J57" s="1">
        <v>2.0</v>
      </c>
      <c r="K57" s="1">
        <v>-0.52554</v>
      </c>
      <c r="L57" s="1">
        <v>100.0</v>
      </c>
      <c r="M57" s="1">
        <v>0.0</v>
      </c>
      <c r="N57" s="1">
        <v>0.0</v>
      </c>
      <c r="O57" s="1">
        <v>95.167304</v>
      </c>
    </row>
    <row r="58">
      <c r="A58" s="1" t="s">
        <v>289</v>
      </c>
      <c r="B58" s="1" t="s">
        <v>290</v>
      </c>
      <c r="C58" s="3"/>
      <c r="D58" s="3"/>
      <c r="E58" s="1" t="str">
        <f>IFERROR(__xludf.DUMMYFUNCTION("IFERROR(REGEXEXTRACT(A58, ""res(269|122)""), ""none"")"),"269")</f>
        <v>269</v>
      </c>
      <c r="F58" s="1">
        <v>-15.62437</v>
      </c>
      <c r="G58" s="1">
        <v>8.0</v>
      </c>
      <c r="H58" s="1">
        <v>3.0</v>
      </c>
      <c r="I58" s="1">
        <v>0.25</v>
      </c>
      <c r="J58" s="1">
        <v>2.0</v>
      </c>
      <c r="K58" s="1">
        <v>-0.578782</v>
      </c>
      <c r="L58" s="1">
        <v>100.0</v>
      </c>
      <c r="M58" s="1">
        <v>0.0</v>
      </c>
      <c r="N58" s="1">
        <v>0.0</v>
      </c>
      <c r="O58" s="1">
        <v>97.046848</v>
      </c>
    </row>
    <row r="59">
      <c r="A59" s="1" t="s">
        <v>502</v>
      </c>
      <c r="B59" s="1" t="s">
        <v>503</v>
      </c>
      <c r="C59" s="3"/>
      <c r="D59" s="3"/>
      <c r="E59" s="1" t="str">
        <f>IFERROR(__xludf.DUMMYFUNCTION("IFERROR(REGEXEXTRACT(A59, ""res(269|122)""), ""none"")"),"269")</f>
        <v>269</v>
      </c>
      <c r="F59" s="1">
        <v>-15.732571</v>
      </c>
      <c r="G59" s="1">
        <v>7.0</v>
      </c>
      <c r="H59" s="1">
        <v>2.0</v>
      </c>
      <c r="I59" s="1">
        <v>0.428571</v>
      </c>
      <c r="J59" s="1">
        <v>2.0</v>
      </c>
      <c r="K59" s="1">
        <v>-0.385637</v>
      </c>
      <c r="L59" s="1">
        <v>100.0</v>
      </c>
      <c r="M59" s="1">
        <v>0.0</v>
      </c>
      <c r="N59" s="1">
        <v>0.0</v>
      </c>
      <c r="O59" s="1">
        <v>95.310363</v>
      </c>
    </row>
    <row r="60">
      <c r="A60" s="1" t="s">
        <v>504</v>
      </c>
      <c r="B60" s="1" t="s">
        <v>505</v>
      </c>
      <c r="C60" s="3"/>
      <c r="D60" s="3"/>
      <c r="E60" s="1" t="str">
        <f>IFERROR(__xludf.DUMMYFUNCTION("IFERROR(REGEXEXTRACT(A60, ""res(269|122)""), ""none"")"),"269")</f>
        <v>269</v>
      </c>
      <c r="F60" s="1">
        <v>-17.047287</v>
      </c>
      <c r="G60" s="1">
        <v>8.0</v>
      </c>
      <c r="H60" s="1">
        <v>2.0</v>
      </c>
      <c r="I60" s="1">
        <v>0.25</v>
      </c>
      <c r="J60" s="1">
        <v>2.0</v>
      </c>
      <c r="K60" s="1">
        <v>-1.214723</v>
      </c>
      <c r="L60" s="1">
        <v>100.0</v>
      </c>
      <c r="M60" s="1">
        <v>0.0</v>
      </c>
      <c r="N60" s="1">
        <v>0.0</v>
      </c>
      <c r="O60" s="1">
        <v>93.98799</v>
      </c>
    </row>
    <row r="61">
      <c r="A61" s="1" t="s">
        <v>291</v>
      </c>
      <c r="B61" s="1" t="s">
        <v>292</v>
      </c>
      <c r="C61" s="3"/>
      <c r="D61" s="3"/>
      <c r="E61" s="1" t="str">
        <f>IFERROR(__xludf.DUMMYFUNCTION("IFERROR(REGEXEXTRACT(A61, ""res(269|122)""), ""none"")"),"269")</f>
        <v>269</v>
      </c>
      <c r="F61" s="1">
        <v>-16.657537</v>
      </c>
      <c r="G61" s="1">
        <v>10.0</v>
      </c>
      <c r="H61" s="1">
        <v>3.0</v>
      </c>
      <c r="I61" s="1">
        <v>0.3</v>
      </c>
      <c r="J61" s="1">
        <v>2.0</v>
      </c>
      <c r="K61" s="1">
        <v>-1.135125</v>
      </c>
      <c r="L61" s="1">
        <v>100.0</v>
      </c>
      <c r="M61" s="1">
        <v>0.0</v>
      </c>
      <c r="N61" s="1">
        <v>0.0</v>
      </c>
      <c r="O61" s="1">
        <v>97.507338</v>
      </c>
    </row>
    <row r="62">
      <c r="A62" s="1" t="s">
        <v>293</v>
      </c>
      <c r="B62" s="1" t="s">
        <v>294</v>
      </c>
      <c r="C62" s="3"/>
      <c r="D62" s="3"/>
      <c r="E62" s="1" t="str">
        <f>IFERROR(__xludf.DUMMYFUNCTION("IFERROR(REGEXEXTRACT(A62, ""res(269|122)""), ""none"")"),"269")</f>
        <v>269</v>
      </c>
      <c r="F62" s="1">
        <v>-15.0051</v>
      </c>
      <c r="G62" s="1">
        <v>8.0</v>
      </c>
      <c r="H62" s="1">
        <v>1.0</v>
      </c>
      <c r="I62" s="1">
        <v>0.25</v>
      </c>
      <c r="J62" s="1">
        <v>3.0</v>
      </c>
      <c r="K62" s="1">
        <v>-2.024033</v>
      </c>
      <c r="L62" s="1">
        <v>100.0</v>
      </c>
      <c r="M62" s="1">
        <v>0.0</v>
      </c>
      <c r="N62" s="1">
        <v>0.0</v>
      </c>
      <c r="O62" s="1">
        <v>95.220867</v>
      </c>
    </row>
    <row r="63">
      <c r="A63" s="1" t="s">
        <v>295</v>
      </c>
      <c r="B63" s="1" t="s">
        <v>132</v>
      </c>
      <c r="C63" s="3"/>
      <c r="D63" s="3"/>
      <c r="E63" s="1" t="str">
        <f>IFERROR(__xludf.DUMMYFUNCTION("IFERROR(REGEXEXTRACT(A63, ""res(269|122)""), ""none"")"),"269")</f>
        <v>269</v>
      </c>
      <c r="F63" s="1">
        <v>-15.787491</v>
      </c>
      <c r="G63" s="1">
        <v>6.0</v>
      </c>
      <c r="H63" s="1">
        <v>2.0</v>
      </c>
      <c r="I63" s="1">
        <v>0.333333</v>
      </c>
      <c r="J63" s="1">
        <v>3.0</v>
      </c>
      <c r="K63" s="1">
        <v>-1.153959</v>
      </c>
      <c r="L63" s="1">
        <v>100.0</v>
      </c>
      <c r="M63" s="1">
        <v>0.0</v>
      </c>
      <c r="N63" s="1">
        <v>0.0</v>
      </c>
      <c r="O63" s="1">
        <v>94.391883</v>
      </c>
    </row>
    <row r="64">
      <c r="A64" s="1" t="s">
        <v>296</v>
      </c>
      <c r="B64" s="1" t="s">
        <v>135</v>
      </c>
      <c r="C64" s="3"/>
      <c r="D64" s="3"/>
      <c r="E64" s="1" t="str">
        <f>IFERROR(__xludf.DUMMYFUNCTION("IFERROR(REGEXEXTRACT(A64, ""res(269|122)""), ""none"")"),"269")</f>
        <v>269</v>
      </c>
      <c r="F64" s="1">
        <v>-16.526444</v>
      </c>
      <c r="G64" s="1">
        <v>7.0</v>
      </c>
      <c r="H64" s="1">
        <v>3.0</v>
      </c>
      <c r="I64" s="1">
        <v>0.428571</v>
      </c>
      <c r="J64" s="1">
        <v>3.0</v>
      </c>
      <c r="K64" s="1">
        <v>-1.370961</v>
      </c>
      <c r="L64" s="1">
        <v>100.0</v>
      </c>
      <c r="M64" s="1">
        <v>0.0</v>
      </c>
      <c r="N64" s="1">
        <v>0.0</v>
      </c>
      <c r="O64" s="1">
        <v>95.531166</v>
      </c>
    </row>
    <row r="65">
      <c r="A65" s="1" t="s">
        <v>506</v>
      </c>
      <c r="B65" s="1" t="s">
        <v>507</v>
      </c>
      <c r="C65" s="3"/>
      <c r="D65" s="3"/>
      <c r="E65" s="1" t="str">
        <f>IFERROR(__xludf.DUMMYFUNCTION("IFERROR(REGEXEXTRACT(A65, ""res(269|122)""), ""none"")"),"269")</f>
        <v>269</v>
      </c>
      <c r="F65" s="1">
        <v>-15.26509</v>
      </c>
      <c r="G65" s="1">
        <v>12.0</v>
      </c>
      <c r="H65" s="1">
        <v>4.0</v>
      </c>
      <c r="I65" s="1">
        <v>0.25</v>
      </c>
      <c r="J65" s="1">
        <v>3.0</v>
      </c>
      <c r="K65" s="1">
        <v>-1.724141</v>
      </c>
      <c r="L65" s="1">
        <v>100.0</v>
      </c>
      <c r="M65" s="1">
        <v>0.0</v>
      </c>
      <c r="N65" s="1">
        <v>0.0</v>
      </c>
      <c r="O65" s="1">
        <v>102.260769</v>
      </c>
    </row>
    <row r="66">
      <c r="A66" s="1" t="s">
        <v>508</v>
      </c>
      <c r="B66" s="1" t="s">
        <v>509</v>
      </c>
      <c r="C66" s="3"/>
      <c r="D66" s="3"/>
      <c r="E66" s="1" t="str">
        <f>IFERROR(__xludf.DUMMYFUNCTION("IFERROR(REGEXEXTRACT(A66, ""res(269|122)""), ""none"")"),"269")</f>
        <v>269</v>
      </c>
      <c r="F66" s="1">
        <v>-15.34782</v>
      </c>
      <c r="G66" s="1">
        <v>10.0</v>
      </c>
      <c r="H66" s="1">
        <v>2.0</v>
      </c>
      <c r="I66" s="1">
        <v>0.3</v>
      </c>
      <c r="J66" s="1">
        <v>2.0</v>
      </c>
      <c r="K66" s="1">
        <v>-0.762442</v>
      </c>
      <c r="L66" s="1">
        <v>100.0</v>
      </c>
      <c r="M66" s="1">
        <v>0.0</v>
      </c>
      <c r="N66" s="1">
        <v>0.0</v>
      </c>
      <c r="O66" s="1">
        <v>98.189738</v>
      </c>
    </row>
    <row r="67">
      <c r="A67" s="1" t="s">
        <v>297</v>
      </c>
      <c r="B67" s="1" t="s">
        <v>138</v>
      </c>
      <c r="C67" s="3"/>
      <c r="D67" s="3"/>
      <c r="E67" s="1" t="str">
        <f>IFERROR(__xludf.DUMMYFUNCTION("IFERROR(REGEXEXTRACT(A67, ""res(269|122)""), ""none"")"),"269")</f>
        <v>269</v>
      </c>
      <c r="F67" s="1">
        <v>-15.442965</v>
      </c>
      <c r="G67" s="1">
        <v>7.0</v>
      </c>
      <c r="H67" s="1">
        <v>3.0</v>
      </c>
      <c r="I67" s="1">
        <v>0.285714</v>
      </c>
      <c r="J67" s="1">
        <v>2.0</v>
      </c>
      <c r="K67" s="1">
        <v>-0.995888</v>
      </c>
      <c r="L67" s="1">
        <v>100.0</v>
      </c>
      <c r="M67" s="1">
        <v>0.0</v>
      </c>
      <c r="N67" s="1">
        <v>0.0</v>
      </c>
      <c r="O67" s="1">
        <v>95.846861</v>
      </c>
    </row>
    <row r="68">
      <c r="A68" s="1" t="s">
        <v>298</v>
      </c>
      <c r="B68" s="1" t="s">
        <v>299</v>
      </c>
      <c r="C68" s="3"/>
      <c r="D68" s="3"/>
      <c r="E68" s="1" t="str">
        <f>IFERROR(__xludf.DUMMYFUNCTION("IFERROR(REGEXEXTRACT(A68, ""res(269|122)""), ""none"")"),"269")</f>
        <v>269</v>
      </c>
      <c r="F68" s="1">
        <v>-15.442965</v>
      </c>
      <c r="G68" s="1">
        <v>7.0</v>
      </c>
      <c r="H68" s="1">
        <v>3.0</v>
      </c>
      <c r="I68" s="1">
        <v>0.285714</v>
      </c>
      <c r="J68" s="1">
        <v>2.0</v>
      </c>
      <c r="K68" s="1">
        <v>-0.995888</v>
      </c>
      <c r="L68" s="1">
        <v>100.0</v>
      </c>
      <c r="M68" s="1">
        <v>0.0</v>
      </c>
      <c r="N68" s="1">
        <v>0.0</v>
      </c>
      <c r="O68" s="1">
        <v>95.846861</v>
      </c>
    </row>
    <row r="69">
      <c r="A69" s="1" t="s">
        <v>300</v>
      </c>
      <c r="B69" s="1" t="s">
        <v>301</v>
      </c>
      <c r="C69" s="3"/>
      <c r="D69" s="3"/>
      <c r="E69" s="1" t="str">
        <f>IFERROR(__xludf.DUMMYFUNCTION("IFERROR(REGEXEXTRACT(A69, ""res(269|122)""), ""none"")"),"269")</f>
        <v>269</v>
      </c>
      <c r="F69" s="1">
        <v>-16.187871</v>
      </c>
      <c r="G69" s="1">
        <v>8.0</v>
      </c>
      <c r="H69" s="1">
        <v>2.0</v>
      </c>
      <c r="I69" s="1">
        <v>0.25</v>
      </c>
      <c r="J69" s="1">
        <v>2.0</v>
      </c>
      <c r="K69" s="1">
        <v>-1.664296</v>
      </c>
      <c r="L69" s="1">
        <v>100.0</v>
      </c>
      <c r="M69" s="1">
        <v>0.0</v>
      </c>
      <c r="N69" s="1">
        <v>0.0</v>
      </c>
      <c r="O69" s="1">
        <v>94.397833</v>
      </c>
    </row>
    <row r="70">
      <c r="A70" s="1" t="s">
        <v>302</v>
      </c>
      <c r="B70" s="1" t="s">
        <v>303</v>
      </c>
      <c r="C70" s="3"/>
      <c r="D70" s="3"/>
      <c r="E70" s="1" t="str">
        <f>IFERROR(__xludf.DUMMYFUNCTION("IFERROR(REGEXEXTRACT(A70, ""res(269|122)""), ""none"")"),"269")</f>
        <v>269</v>
      </c>
      <c r="F70" s="1">
        <v>-15.122502</v>
      </c>
      <c r="G70" s="1">
        <v>9.0</v>
      </c>
      <c r="H70" s="1">
        <v>1.0</v>
      </c>
      <c r="I70" s="1">
        <v>0.333333</v>
      </c>
      <c r="J70" s="1">
        <v>2.0</v>
      </c>
      <c r="K70" s="1">
        <v>-1.2518</v>
      </c>
      <c r="L70" s="1">
        <v>100.0</v>
      </c>
      <c r="M70" s="1">
        <v>0.0</v>
      </c>
      <c r="N70" s="1">
        <v>0.0</v>
      </c>
      <c r="O70" s="1">
        <v>95.959031</v>
      </c>
    </row>
    <row r="71">
      <c r="A71" s="1" t="s">
        <v>510</v>
      </c>
      <c r="B71" s="1" t="s">
        <v>511</v>
      </c>
      <c r="C71" s="3"/>
      <c r="D71" s="3"/>
      <c r="E71" s="1" t="str">
        <f>IFERROR(__xludf.DUMMYFUNCTION("IFERROR(REGEXEXTRACT(A71, ""res(269|122)""), ""none"")"),"269")</f>
        <v>269</v>
      </c>
      <c r="F71" s="1">
        <v>-15.348449</v>
      </c>
      <c r="G71" s="1">
        <v>9.0</v>
      </c>
      <c r="H71" s="1">
        <v>2.0</v>
      </c>
      <c r="I71" s="1">
        <v>0.333333</v>
      </c>
      <c r="J71" s="1">
        <v>3.0</v>
      </c>
      <c r="K71" s="1">
        <v>-0.898482</v>
      </c>
      <c r="L71" s="1">
        <v>100.0</v>
      </c>
      <c r="M71" s="1">
        <v>0.0</v>
      </c>
      <c r="N71" s="1">
        <v>0.0</v>
      </c>
      <c r="O71" s="1">
        <v>98.086402</v>
      </c>
    </row>
    <row r="72">
      <c r="A72" s="1" t="s">
        <v>512</v>
      </c>
      <c r="B72" s="1" t="s">
        <v>513</v>
      </c>
      <c r="C72" s="3"/>
      <c r="D72" s="3"/>
      <c r="E72" s="1" t="str">
        <f>IFERROR(__xludf.DUMMYFUNCTION("IFERROR(REGEXEXTRACT(A72, ""res(269|122)""), ""none"")"),"269")</f>
        <v>269</v>
      </c>
      <c r="F72" s="1">
        <v>-15.025488</v>
      </c>
      <c r="G72" s="1">
        <v>7.0</v>
      </c>
      <c r="H72" s="1">
        <v>2.0</v>
      </c>
      <c r="I72" s="1">
        <v>0.285714</v>
      </c>
      <c r="J72" s="1">
        <v>2.0</v>
      </c>
      <c r="K72" s="1">
        <v>-0.824596</v>
      </c>
      <c r="L72" s="1">
        <v>100.0</v>
      </c>
      <c r="M72" s="1">
        <v>0.0</v>
      </c>
      <c r="N72" s="1">
        <v>0.0</v>
      </c>
      <c r="O72" s="1">
        <v>95.43563</v>
      </c>
    </row>
    <row r="73">
      <c r="A73" s="1" t="s">
        <v>514</v>
      </c>
      <c r="B73" s="1" t="s">
        <v>515</v>
      </c>
      <c r="C73" s="3"/>
      <c r="D73" s="3"/>
      <c r="E73" s="1" t="str">
        <f>IFERROR(__xludf.DUMMYFUNCTION("IFERROR(REGEXEXTRACT(A73, ""res(269|122)""), ""none"")"),"269")</f>
        <v>269</v>
      </c>
      <c r="F73" s="1">
        <v>-15.791781</v>
      </c>
      <c r="G73" s="1">
        <v>8.0</v>
      </c>
      <c r="H73" s="1">
        <v>3.0</v>
      </c>
      <c r="I73" s="1">
        <v>0.25</v>
      </c>
      <c r="J73" s="1">
        <v>2.0</v>
      </c>
      <c r="K73" s="1">
        <v>-0.755884</v>
      </c>
      <c r="L73" s="1">
        <v>100.0</v>
      </c>
      <c r="M73" s="1">
        <v>0.0</v>
      </c>
      <c r="N73" s="1">
        <v>0.0</v>
      </c>
      <c r="O73" s="1">
        <v>96.702335</v>
      </c>
    </row>
    <row r="74">
      <c r="A74" s="1" t="s">
        <v>516</v>
      </c>
      <c r="B74" s="1" t="s">
        <v>517</v>
      </c>
      <c r="C74" s="3"/>
      <c r="D74" s="3"/>
      <c r="E74" s="1" t="str">
        <f>IFERROR(__xludf.DUMMYFUNCTION("IFERROR(REGEXEXTRACT(A74, ""res(269|122)""), ""none"")"),"269")</f>
        <v>269</v>
      </c>
      <c r="F74" s="1">
        <v>-15.031921</v>
      </c>
      <c r="G74" s="1">
        <v>8.0</v>
      </c>
      <c r="H74" s="1">
        <v>2.0</v>
      </c>
      <c r="I74" s="1">
        <v>0.25</v>
      </c>
      <c r="J74" s="1">
        <v>2.0</v>
      </c>
      <c r="K74" s="1">
        <v>-1.229831</v>
      </c>
      <c r="L74" s="1">
        <v>100.0</v>
      </c>
      <c r="M74" s="1">
        <v>0.0</v>
      </c>
      <c r="N74" s="1">
        <v>0.0</v>
      </c>
      <c r="O74" s="1">
        <v>95.988248</v>
      </c>
    </row>
    <row r="75">
      <c r="A75" s="1" t="s">
        <v>518</v>
      </c>
      <c r="B75" s="1" t="s">
        <v>519</v>
      </c>
      <c r="C75" s="3"/>
      <c r="D75" s="3"/>
      <c r="E75" s="1" t="str">
        <f>IFERROR(__xludf.DUMMYFUNCTION("IFERROR(REGEXEXTRACT(A75, ""res(269|122)""), ""none"")"),"269")</f>
        <v>269</v>
      </c>
      <c r="F75" s="1">
        <v>-15.408612</v>
      </c>
      <c r="G75" s="1">
        <v>7.0</v>
      </c>
      <c r="H75" s="1">
        <v>2.0</v>
      </c>
      <c r="I75" s="1">
        <v>0.285714</v>
      </c>
      <c r="J75" s="1">
        <v>2.0</v>
      </c>
      <c r="K75" s="1">
        <v>-0.850939</v>
      </c>
      <c r="L75" s="1">
        <v>100.0</v>
      </c>
      <c r="M75" s="1">
        <v>0.0</v>
      </c>
      <c r="N75" s="1">
        <v>0.0</v>
      </c>
      <c r="O75" s="1">
        <v>95.026163</v>
      </c>
    </row>
    <row r="76">
      <c r="A76" s="1" t="s">
        <v>304</v>
      </c>
      <c r="B76" s="1" t="s">
        <v>305</v>
      </c>
      <c r="C76" s="3"/>
      <c r="D76" s="3"/>
      <c r="E76" s="1" t="str">
        <f>IFERROR(__xludf.DUMMYFUNCTION("IFERROR(REGEXEXTRACT(A76, ""res(269|122)""), ""none"")"),"269")</f>
        <v>269</v>
      </c>
      <c r="F76" s="1">
        <v>-16.909101</v>
      </c>
      <c r="G76" s="1">
        <v>8.0</v>
      </c>
      <c r="H76" s="1">
        <v>3.0</v>
      </c>
      <c r="I76" s="1">
        <v>0.5</v>
      </c>
      <c r="J76" s="1">
        <v>2.0</v>
      </c>
      <c r="K76" s="1">
        <v>-1.107364</v>
      </c>
      <c r="L76" s="1">
        <v>100.0</v>
      </c>
      <c r="M76" s="1">
        <v>0.0</v>
      </c>
      <c r="N76" s="1">
        <v>0.0</v>
      </c>
      <c r="O76" s="1">
        <v>95.483535</v>
      </c>
    </row>
    <row r="77">
      <c r="A77" s="1" t="s">
        <v>520</v>
      </c>
      <c r="B77" s="1" t="s">
        <v>521</v>
      </c>
      <c r="C77" s="3"/>
      <c r="D77" s="3"/>
      <c r="E77" s="1" t="str">
        <f>IFERROR(__xludf.DUMMYFUNCTION("IFERROR(REGEXEXTRACT(A77, ""res(269|122)""), ""none"")"),"269")</f>
        <v>269</v>
      </c>
      <c r="F77" s="1">
        <v>-15.175735</v>
      </c>
      <c r="G77" s="1">
        <v>9.0</v>
      </c>
      <c r="H77" s="1">
        <v>4.0</v>
      </c>
      <c r="I77" s="1">
        <v>0.333333</v>
      </c>
      <c r="J77" s="1">
        <v>2.0</v>
      </c>
      <c r="K77" s="1">
        <v>-1.041475</v>
      </c>
      <c r="L77" s="1">
        <v>100.0</v>
      </c>
      <c r="M77" s="1">
        <v>0.0</v>
      </c>
      <c r="N77" s="1">
        <v>0.0</v>
      </c>
      <c r="O77" s="1">
        <v>99.116123</v>
      </c>
    </row>
    <row r="78">
      <c r="A78" s="1" t="s">
        <v>306</v>
      </c>
      <c r="B78" s="1" t="s">
        <v>307</v>
      </c>
      <c r="C78" s="3"/>
      <c r="D78" s="3"/>
      <c r="E78" s="1" t="str">
        <f>IFERROR(__xludf.DUMMYFUNCTION("IFERROR(REGEXEXTRACT(A78, ""res(269|122)""), ""none"")"),"269")</f>
        <v>269</v>
      </c>
      <c r="F78" s="1">
        <v>-15.785852</v>
      </c>
      <c r="G78" s="1">
        <v>7.0</v>
      </c>
      <c r="H78" s="1">
        <v>5.0</v>
      </c>
      <c r="I78" s="1">
        <v>0.285714</v>
      </c>
      <c r="J78" s="1">
        <v>2.0</v>
      </c>
      <c r="K78" s="1">
        <v>-0.799353999999999</v>
      </c>
      <c r="L78" s="1">
        <v>100.0</v>
      </c>
      <c r="M78" s="1">
        <v>0.0</v>
      </c>
      <c r="N78" s="1">
        <v>0.0</v>
      </c>
      <c r="O78" s="1">
        <v>97.700508</v>
      </c>
    </row>
    <row r="79">
      <c r="A79" s="1" t="s">
        <v>308</v>
      </c>
      <c r="B79" s="1" t="s">
        <v>141</v>
      </c>
      <c r="C79" s="3"/>
      <c r="D79" s="3"/>
      <c r="E79" s="1" t="str">
        <f>IFERROR(__xludf.DUMMYFUNCTION("IFERROR(REGEXEXTRACT(A79, ""res(269|122)""), ""none"")"),"269")</f>
        <v>269</v>
      </c>
      <c r="F79" s="1">
        <v>-15.155078</v>
      </c>
      <c r="G79" s="1">
        <v>8.0</v>
      </c>
      <c r="H79" s="1">
        <v>2.0</v>
      </c>
      <c r="I79" s="1">
        <v>0.25</v>
      </c>
      <c r="J79" s="1">
        <v>2.0</v>
      </c>
      <c r="K79" s="1">
        <v>-0.394031</v>
      </c>
      <c r="L79" s="1">
        <v>100.0</v>
      </c>
      <c r="M79" s="1">
        <v>0.0</v>
      </c>
      <c r="N79" s="1">
        <v>0.0</v>
      </c>
      <c r="O79" s="1">
        <v>96.700891</v>
      </c>
    </row>
    <row r="80">
      <c r="A80" s="1" t="s">
        <v>309</v>
      </c>
      <c r="B80" s="1" t="s">
        <v>144</v>
      </c>
      <c r="C80" s="3"/>
      <c r="D80" s="3"/>
      <c r="E80" s="1" t="str">
        <f>IFERROR(__xludf.DUMMYFUNCTION("IFERROR(REGEXEXTRACT(A80, ""res(269|122)""), ""none"")"),"269")</f>
        <v>269</v>
      </c>
      <c r="F80" s="1">
        <v>-15.473368</v>
      </c>
      <c r="G80" s="1">
        <v>8.0</v>
      </c>
      <c r="H80" s="1">
        <v>2.0</v>
      </c>
      <c r="I80" s="1">
        <v>0.375</v>
      </c>
      <c r="J80" s="1">
        <v>2.0</v>
      </c>
      <c r="K80" s="1">
        <v>-0.972362</v>
      </c>
      <c r="L80" s="1">
        <v>100.0</v>
      </c>
      <c r="M80" s="1">
        <v>0.0</v>
      </c>
      <c r="N80" s="1">
        <v>0.0</v>
      </c>
      <c r="O80" s="1">
        <v>95.92927</v>
      </c>
    </row>
    <row r="81">
      <c r="A81" s="1" t="s">
        <v>522</v>
      </c>
      <c r="B81" s="1" t="s">
        <v>523</v>
      </c>
      <c r="C81" s="3"/>
      <c r="D81" s="3"/>
      <c r="E81" s="1" t="str">
        <f>IFERROR(__xludf.DUMMYFUNCTION("IFERROR(REGEXEXTRACT(A81, ""res(269|122)""), ""none"")"),"269")</f>
        <v>269</v>
      </c>
      <c r="F81" s="1">
        <v>-16.989951</v>
      </c>
      <c r="G81" s="1">
        <v>11.0</v>
      </c>
      <c r="H81" s="1">
        <v>2.0</v>
      </c>
      <c r="I81" s="1">
        <v>0.363636</v>
      </c>
      <c r="J81" s="1">
        <v>3.0</v>
      </c>
      <c r="K81" s="1">
        <v>-1.466325</v>
      </c>
      <c r="L81" s="1">
        <v>100.0</v>
      </c>
      <c r="M81" s="1">
        <v>0.0</v>
      </c>
      <c r="N81" s="1">
        <v>0.0</v>
      </c>
      <c r="O81" s="1">
        <v>97.90736</v>
      </c>
    </row>
    <row r="82">
      <c r="A82" s="1" t="s">
        <v>524</v>
      </c>
      <c r="B82" s="1" t="s">
        <v>525</v>
      </c>
      <c r="C82" s="3"/>
      <c r="D82" s="3"/>
      <c r="E82" s="1" t="str">
        <f>IFERROR(__xludf.DUMMYFUNCTION("IFERROR(REGEXEXTRACT(A82, ""res(269|122)""), ""none"")"),"269")</f>
        <v>269</v>
      </c>
      <c r="F82" s="1">
        <v>-16.839472</v>
      </c>
      <c r="G82" s="1">
        <v>8.0</v>
      </c>
      <c r="H82" s="1">
        <v>3.0</v>
      </c>
      <c r="I82" s="1">
        <v>0.25</v>
      </c>
      <c r="J82" s="1">
        <v>2.0</v>
      </c>
      <c r="K82" s="1">
        <v>-0.470774</v>
      </c>
      <c r="L82" s="1">
        <v>100.0</v>
      </c>
      <c r="M82" s="1">
        <v>0.0</v>
      </c>
      <c r="N82" s="1">
        <v>0.0</v>
      </c>
      <c r="O82" s="1">
        <v>95.939754</v>
      </c>
    </row>
    <row r="83">
      <c r="A83" s="1" t="s">
        <v>526</v>
      </c>
      <c r="B83" s="1" t="s">
        <v>527</v>
      </c>
      <c r="C83" s="3"/>
      <c r="D83" s="3"/>
      <c r="E83" s="1" t="str">
        <f>IFERROR(__xludf.DUMMYFUNCTION("IFERROR(REGEXEXTRACT(A83, ""res(269|122)""), ""none"")"),"269")</f>
        <v>269</v>
      </c>
      <c r="F83" s="1">
        <v>-15.204053</v>
      </c>
      <c r="G83" s="1">
        <v>9.0</v>
      </c>
      <c r="H83" s="1">
        <v>3.0</v>
      </c>
      <c r="I83" s="1">
        <v>0.444444</v>
      </c>
      <c r="J83" s="1">
        <v>2.0</v>
      </c>
      <c r="K83" s="1">
        <v>-1.136467</v>
      </c>
      <c r="L83" s="1">
        <v>100.0</v>
      </c>
      <c r="M83" s="1">
        <v>0.0</v>
      </c>
      <c r="N83" s="1">
        <v>0.0</v>
      </c>
      <c r="O83" s="1">
        <v>98.103924</v>
      </c>
    </row>
    <row r="84">
      <c r="A84" s="1" t="s">
        <v>528</v>
      </c>
      <c r="B84" s="1" t="s">
        <v>529</v>
      </c>
      <c r="C84" s="3"/>
      <c r="D84" s="3"/>
      <c r="E84" s="1" t="str">
        <f>IFERROR(__xludf.DUMMYFUNCTION("IFERROR(REGEXEXTRACT(A84, ""res(269|122)""), ""none"")"),"269")</f>
        <v>269</v>
      </c>
      <c r="F84" s="1">
        <v>-15.204053</v>
      </c>
      <c r="G84" s="1">
        <v>9.0</v>
      </c>
      <c r="H84" s="1">
        <v>3.0</v>
      </c>
      <c r="I84" s="1">
        <v>0.444444</v>
      </c>
      <c r="J84" s="1">
        <v>2.0</v>
      </c>
      <c r="K84" s="1">
        <v>-1.136467</v>
      </c>
      <c r="L84" s="1">
        <v>100.0</v>
      </c>
      <c r="M84" s="1">
        <v>0.0</v>
      </c>
      <c r="N84" s="1">
        <v>0.0</v>
      </c>
      <c r="O84" s="1">
        <v>98.103924</v>
      </c>
    </row>
    <row r="85">
      <c r="A85" s="1" t="s">
        <v>530</v>
      </c>
      <c r="B85" s="1" t="s">
        <v>531</v>
      </c>
      <c r="C85" s="3"/>
      <c r="D85" s="3"/>
      <c r="E85" s="1" t="str">
        <f>IFERROR(__xludf.DUMMYFUNCTION("IFERROR(REGEXEXTRACT(A85, ""res(269|122)""), ""none"")"),"269")</f>
        <v>269</v>
      </c>
      <c r="F85" s="1">
        <v>-15.460704</v>
      </c>
      <c r="G85" s="1">
        <v>7.0</v>
      </c>
      <c r="H85" s="1">
        <v>2.0</v>
      </c>
      <c r="I85" s="1">
        <v>0.428571</v>
      </c>
      <c r="J85" s="1">
        <v>2.0</v>
      </c>
      <c r="K85" s="1">
        <v>-0.528978</v>
      </c>
      <c r="L85" s="1">
        <v>100.0</v>
      </c>
      <c r="M85" s="1">
        <v>0.0</v>
      </c>
      <c r="N85" s="1">
        <v>0.0</v>
      </c>
      <c r="O85" s="1">
        <v>95.438889</v>
      </c>
    </row>
    <row r="86">
      <c r="A86" s="1" t="s">
        <v>310</v>
      </c>
      <c r="B86" s="1" t="s">
        <v>147</v>
      </c>
      <c r="C86" s="3"/>
      <c r="D86" s="3"/>
      <c r="E86" s="1" t="str">
        <f>IFERROR(__xludf.DUMMYFUNCTION("IFERROR(REGEXEXTRACT(A86, ""res(269|122)""), ""none"")"),"269")</f>
        <v>269</v>
      </c>
      <c r="F86" s="1">
        <v>-15.32929</v>
      </c>
      <c r="G86" s="1">
        <v>9.0</v>
      </c>
      <c r="H86" s="1">
        <v>2.0</v>
      </c>
      <c r="I86" s="1">
        <v>0.444444</v>
      </c>
      <c r="J86" s="1">
        <v>3.0</v>
      </c>
      <c r="K86" s="1">
        <v>-1.169854</v>
      </c>
      <c r="L86" s="1">
        <v>100.0</v>
      </c>
      <c r="M86" s="1">
        <v>0.0</v>
      </c>
      <c r="N86" s="1">
        <v>0.0</v>
      </c>
      <c r="O86" s="1">
        <v>97.9453</v>
      </c>
    </row>
    <row r="87">
      <c r="A87" s="1" t="s">
        <v>311</v>
      </c>
      <c r="B87" s="1" t="s">
        <v>312</v>
      </c>
      <c r="C87" s="3"/>
      <c r="D87" s="3"/>
      <c r="E87" s="1" t="str">
        <f>IFERROR(__xludf.DUMMYFUNCTION("IFERROR(REGEXEXTRACT(A87, ""res(269|122)""), ""none"")"),"269")</f>
        <v>269</v>
      </c>
      <c r="F87" s="1">
        <v>-17.46746</v>
      </c>
      <c r="G87" s="1">
        <v>9.0</v>
      </c>
      <c r="H87" s="1">
        <v>2.0</v>
      </c>
      <c r="I87" s="1">
        <v>0.333333</v>
      </c>
      <c r="J87" s="1">
        <v>2.0</v>
      </c>
      <c r="K87" s="1">
        <v>-0.960204</v>
      </c>
      <c r="L87" s="1">
        <v>100.0</v>
      </c>
      <c r="M87" s="1">
        <v>0.0</v>
      </c>
      <c r="N87" s="1">
        <v>0.0</v>
      </c>
      <c r="O87" s="1">
        <v>94.905669</v>
      </c>
    </row>
    <row r="88">
      <c r="A88" s="1" t="s">
        <v>313</v>
      </c>
      <c r="B88" s="1" t="s">
        <v>314</v>
      </c>
      <c r="C88" s="3"/>
      <c r="D88" s="3"/>
      <c r="E88" s="1" t="str">
        <f>IFERROR(__xludf.DUMMYFUNCTION("IFERROR(REGEXEXTRACT(A88, ""res(269|122)""), ""none"")"),"269")</f>
        <v>269</v>
      </c>
      <c r="F88" s="1">
        <v>-15.769609</v>
      </c>
      <c r="G88" s="1">
        <v>8.0</v>
      </c>
      <c r="H88" s="1">
        <v>2.0</v>
      </c>
      <c r="I88" s="1">
        <v>0.25</v>
      </c>
      <c r="J88" s="1">
        <v>2.0</v>
      </c>
      <c r="K88" s="1">
        <v>-1.998276</v>
      </c>
      <c r="L88" s="1">
        <v>100.0</v>
      </c>
      <c r="M88" s="1">
        <v>0.0</v>
      </c>
      <c r="N88" s="1">
        <v>0.0</v>
      </c>
      <c r="O88" s="1">
        <v>94.482115</v>
      </c>
    </row>
    <row r="89">
      <c r="A89" s="1" t="s">
        <v>532</v>
      </c>
      <c r="B89" s="1" t="s">
        <v>533</v>
      </c>
      <c r="C89" s="3"/>
      <c r="D89" s="3"/>
      <c r="E89" s="1" t="str">
        <f>IFERROR(__xludf.DUMMYFUNCTION("IFERROR(REGEXEXTRACT(A89, ""res(269|122)""), ""none"")"),"269")</f>
        <v>269</v>
      </c>
      <c r="F89" s="1">
        <v>-16.236242</v>
      </c>
      <c r="G89" s="1">
        <v>7.0</v>
      </c>
      <c r="H89" s="1">
        <v>2.0</v>
      </c>
      <c r="I89" s="1">
        <v>0.428571</v>
      </c>
      <c r="J89" s="1">
        <v>2.0</v>
      </c>
      <c r="K89" s="1">
        <v>-0.505698</v>
      </c>
      <c r="L89" s="1">
        <v>100.0</v>
      </c>
      <c r="M89" s="1">
        <v>0.0</v>
      </c>
      <c r="N89" s="1">
        <v>0.0</v>
      </c>
      <c r="O89" s="1">
        <v>94.686631</v>
      </c>
    </row>
    <row r="90">
      <c r="A90" s="1" t="s">
        <v>315</v>
      </c>
      <c r="B90" s="1" t="s">
        <v>316</v>
      </c>
      <c r="C90" s="3"/>
      <c r="D90" s="3"/>
      <c r="E90" s="1" t="str">
        <f>IFERROR(__xludf.DUMMYFUNCTION("IFERROR(REGEXEXTRACT(A90, ""res(269|122)""), ""none"")"),"269")</f>
        <v>269</v>
      </c>
      <c r="F90" s="1">
        <v>-16.531836</v>
      </c>
      <c r="G90" s="1">
        <v>10.0</v>
      </c>
      <c r="H90" s="1">
        <v>2.0</v>
      </c>
      <c r="I90" s="1">
        <v>0.3</v>
      </c>
      <c r="J90" s="1">
        <v>2.0</v>
      </c>
      <c r="K90" s="1">
        <v>-0.888794</v>
      </c>
      <c r="L90" s="1">
        <v>100.0</v>
      </c>
      <c r="M90" s="1">
        <v>0.0</v>
      </c>
      <c r="N90" s="1">
        <v>0.0</v>
      </c>
      <c r="O90" s="1">
        <v>96.87937</v>
      </c>
    </row>
    <row r="91">
      <c r="A91" s="1" t="s">
        <v>534</v>
      </c>
      <c r="B91" s="1" t="s">
        <v>535</v>
      </c>
      <c r="C91" s="3"/>
      <c r="D91" s="3"/>
      <c r="E91" s="1" t="str">
        <f>IFERROR(__xludf.DUMMYFUNCTION("IFERROR(REGEXEXTRACT(A91, ""res(269|122)""), ""none"")"),"269")</f>
        <v>269</v>
      </c>
      <c r="F91" s="1">
        <v>-17.325922</v>
      </c>
      <c r="G91" s="1">
        <v>8.0</v>
      </c>
      <c r="H91" s="1">
        <v>2.0</v>
      </c>
      <c r="I91" s="1">
        <v>0.25</v>
      </c>
      <c r="J91" s="1">
        <v>2.0</v>
      </c>
      <c r="K91" s="1">
        <v>-0.547214</v>
      </c>
      <c r="L91" s="1">
        <v>100.0</v>
      </c>
      <c r="M91" s="1">
        <v>0.0</v>
      </c>
      <c r="N91" s="1">
        <v>0.0</v>
      </c>
      <c r="O91" s="1">
        <v>94.376864</v>
      </c>
    </row>
    <row r="92">
      <c r="A92" s="1" t="s">
        <v>536</v>
      </c>
      <c r="B92" s="1" t="s">
        <v>537</v>
      </c>
      <c r="C92" s="3"/>
      <c r="D92" s="3"/>
      <c r="E92" s="1" t="str">
        <f>IFERROR(__xludf.DUMMYFUNCTION("IFERROR(REGEXEXTRACT(A92, ""res(269|122)""), ""none"")"),"269")</f>
        <v>269</v>
      </c>
      <c r="F92" s="1">
        <v>-15.253563</v>
      </c>
      <c r="G92" s="1">
        <v>8.0</v>
      </c>
      <c r="H92" s="1">
        <v>2.0</v>
      </c>
      <c r="I92" s="1">
        <v>0.375</v>
      </c>
      <c r="J92" s="1">
        <v>2.0</v>
      </c>
      <c r="K92" s="1">
        <v>-0.551176999999999</v>
      </c>
      <c r="L92" s="1">
        <v>100.0</v>
      </c>
      <c r="M92" s="1">
        <v>0.0</v>
      </c>
      <c r="N92" s="1">
        <v>0.0</v>
      </c>
      <c r="O92" s="1">
        <v>96.57026</v>
      </c>
    </row>
    <row r="93">
      <c r="A93" s="1" t="s">
        <v>317</v>
      </c>
      <c r="B93" s="1" t="s">
        <v>318</v>
      </c>
      <c r="C93" s="3"/>
      <c r="D93" s="3"/>
      <c r="E93" s="1" t="str">
        <f>IFERROR(__xludf.DUMMYFUNCTION("IFERROR(REGEXEXTRACT(A93, ""res(269|122)""), ""none"")"),"269")</f>
        <v>269</v>
      </c>
      <c r="F93" s="1">
        <v>-15.695983</v>
      </c>
      <c r="G93" s="1">
        <v>8.0</v>
      </c>
      <c r="H93" s="1">
        <v>3.0</v>
      </c>
      <c r="I93" s="1">
        <v>0.375</v>
      </c>
      <c r="J93" s="1">
        <v>2.0</v>
      </c>
      <c r="K93" s="1">
        <v>-0.764023</v>
      </c>
      <c r="L93" s="1">
        <v>100.0</v>
      </c>
      <c r="M93" s="1">
        <v>0.0</v>
      </c>
      <c r="N93" s="1">
        <v>0.0</v>
      </c>
      <c r="O93" s="1">
        <v>96.914994</v>
      </c>
    </row>
    <row r="94">
      <c r="A94" s="1" t="s">
        <v>538</v>
      </c>
      <c r="B94" s="1" t="s">
        <v>539</v>
      </c>
      <c r="C94" s="3"/>
      <c r="D94" s="3"/>
      <c r="E94" s="1" t="str">
        <f>IFERROR(__xludf.DUMMYFUNCTION("IFERROR(REGEXEXTRACT(A94, ""res(269|122)""), ""none"")"),"269")</f>
        <v>269</v>
      </c>
      <c r="F94" s="1">
        <v>-15.251704</v>
      </c>
      <c r="G94" s="1">
        <v>7.0</v>
      </c>
      <c r="H94" s="1">
        <v>4.0</v>
      </c>
      <c r="I94" s="1">
        <v>0.428571</v>
      </c>
      <c r="J94" s="1">
        <v>2.0</v>
      </c>
      <c r="K94" s="1">
        <v>-1.266081</v>
      </c>
      <c r="L94" s="1">
        <v>100.0</v>
      </c>
      <c r="M94" s="1">
        <v>0.0</v>
      </c>
      <c r="N94" s="1">
        <v>0.0</v>
      </c>
      <c r="O94" s="1">
        <v>96.910786</v>
      </c>
    </row>
    <row r="95">
      <c r="A95" s="1" t="s">
        <v>319</v>
      </c>
      <c r="B95" s="1" t="s">
        <v>150</v>
      </c>
      <c r="C95" s="3"/>
      <c r="D95" s="3"/>
      <c r="E95" s="1" t="str">
        <f>IFERROR(__xludf.DUMMYFUNCTION("IFERROR(REGEXEXTRACT(A95, ""res(269|122)""), ""none"")"),"269")</f>
        <v>269</v>
      </c>
      <c r="F95" s="1">
        <v>-16.574584</v>
      </c>
      <c r="G95" s="1">
        <v>6.0</v>
      </c>
      <c r="H95" s="1">
        <v>1.0</v>
      </c>
      <c r="I95" s="1">
        <v>0.333333</v>
      </c>
      <c r="J95" s="1">
        <v>2.0</v>
      </c>
      <c r="K95" s="1">
        <v>-0.53138</v>
      </c>
      <c r="L95" s="1">
        <v>100.0</v>
      </c>
      <c r="M95" s="1">
        <v>0.0</v>
      </c>
      <c r="N95" s="1">
        <v>0.0</v>
      </c>
      <c r="O95" s="1">
        <v>92.227369</v>
      </c>
    </row>
    <row r="96">
      <c r="A96" s="1" t="s">
        <v>540</v>
      </c>
      <c r="B96" s="1" t="s">
        <v>541</v>
      </c>
      <c r="C96" s="3"/>
      <c r="D96" s="3"/>
      <c r="E96" s="1" t="str">
        <f>IFERROR(__xludf.DUMMYFUNCTION("IFERROR(REGEXEXTRACT(A96, ""res(269|122)""), ""none"")"),"269")</f>
        <v>269</v>
      </c>
      <c r="F96" s="1">
        <v>-15.023619</v>
      </c>
      <c r="G96" s="1">
        <v>9.0</v>
      </c>
      <c r="H96" s="1">
        <v>5.0</v>
      </c>
      <c r="I96" s="1">
        <v>0.333333</v>
      </c>
      <c r="J96" s="1">
        <v>2.0</v>
      </c>
      <c r="K96" s="1">
        <v>-0.778283</v>
      </c>
      <c r="L96" s="1">
        <v>100.0</v>
      </c>
      <c r="M96" s="1">
        <v>0.0</v>
      </c>
      <c r="N96" s="1">
        <v>0.0</v>
      </c>
      <c r="O96" s="1">
        <v>100.531431</v>
      </c>
    </row>
    <row r="97">
      <c r="A97" s="1" t="s">
        <v>542</v>
      </c>
      <c r="B97" s="1" t="s">
        <v>543</v>
      </c>
      <c r="C97" s="3"/>
      <c r="D97" s="3"/>
      <c r="E97" s="1" t="str">
        <f>IFERROR(__xludf.DUMMYFUNCTION("IFERROR(REGEXEXTRACT(A97, ""res(269|122)""), ""none"")"),"269")</f>
        <v>269</v>
      </c>
      <c r="F97" s="1">
        <v>-16.079465</v>
      </c>
      <c r="G97" s="1">
        <v>9.0</v>
      </c>
      <c r="H97" s="1">
        <v>2.0</v>
      </c>
      <c r="I97" s="1">
        <v>0.444444</v>
      </c>
      <c r="J97" s="1">
        <v>2.0</v>
      </c>
      <c r="K97" s="1">
        <v>-0.993186</v>
      </c>
      <c r="L97" s="1">
        <v>100.0</v>
      </c>
      <c r="M97" s="1">
        <v>0.0</v>
      </c>
      <c r="N97" s="1">
        <v>0.0</v>
      </c>
      <c r="O97" s="1">
        <v>96.371793</v>
      </c>
    </row>
    <row r="98">
      <c r="A98" s="1" t="s">
        <v>544</v>
      </c>
      <c r="B98" s="1" t="s">
        <v>545</v>
      </c>
      <c r="C98" s="3"/>
      <c r="D98" s="3"/>
      <c r="E98" s="1" t="str">
        <f>IFERROR(__xludf.DUMMYFUNCTION("IFERROR(REGEXEXTRACT(A98, ""res(269|122)""), ""none"")"),"269")</f>
        <v>269</v>
      </c>
      <c r="F98" s="1">
        <v>-16.487107</v>
      </c>
      <c r="G98" s="1">
        <v>8.0</v>
      </c>
      <c r="H98" s="1">
        <v>5.0</v>
      </c>
      <c r="I98" s="1">
        <v>0.25</v>
      </c>
      <c r="J98" s="1">
        <v>2.0</v>
      </c>
      <c r="K98" s="1">
        <v>-0.272644</v>
      </c>
      <c r="L98" s="1">
        <v>100.0</v>
      </c>
      <c r="M98" s="1">
        <v>0.0</v>
      </c>
      <c r="N98" s="1">
        <v>0.0</v>
      </c>
      <c r="O98" s="1">
        <v>98.490249</v>
      </c>
    </row>
    <row r="99">
      <c r="A99" s="1" t="s">
        <v>320</v>
      </c>
      <c r="B99" s="1" t="s">
        <v>153</v>
      </c>
      <c r="C99" s="3"/>
      <c r="D99" s="3"/>
      <c r="E99" s="1" t="str">
        <f>IFERROR(__xludf.DUMMYFUNCTION("IFERROR(REGEXEXTRACT(A99, ""res(269|122)""), ""none"")"),"269")</f>
        <v>269</v>
      </c>
      <c r="F99" s="1">
        <v>-16.381515</v>
      </c>
      <c r="G99" s="1">
        <v>6.0</v>
      </c>
      <c r="H99" s="1">
        <v>3.0</v>
      </c>
      <c r="I99" s="1">
        <v>0.5</v>
      </c>
      <c r="J99" s="1">
        <v>2.0</v>
      </c>
      <c r="K99" s="1">
        <v>-0.391175999999999</v>
      </c>
      <c r="L99" s="1">
        <v>100.0</v>
      </c>
      <c r="M99" s="1">
        <v>0.0</v>
      </c>
      <c r="N99" s="1">
        <v>0.0</v>
      </c>
      <c r="O99" s="1">
        <v>94.727309</v>
      </c>
    </row>
    <row r="100">
      <c r="A100" s="1" t="s">
        <v>321</v>
      </c>
      <c r="B100" s="1" t="s">
        <v>322</v>
      </c>
      <c r="C100" s="3"/>
      <c r="D100" s="3"/>
      <c r="E100" s="1" t="str">
        <f>IFERROR(__xludf.DUMMYFUNCTION("IFERROR(REGEXEXTRACT(A100, ""res(269|122)""), ""none"")"),"269")</f>
        <v>269</v>
      </c>
      <c r="F100" s="1">
        <v>-16.381515</v>
      </c>
      <c r="G100" s="1">
        <v>6.0</v>
      </c>
      <c r="H100" s="1">
        <v>3.0</v>
      </c>
      <c r="I100" s="1">
        <v>0.5</v>
      </c>
      <c r="J100" s="1">
        <v>2.0</v>
      </c>
      <c r="K100" s="1">
        <v>-0.391175999999999</v>
      </c>
      <c r="L100" s="1">
        <v>100.0</v>
      </c>
      <c r="M100" s="1">
        <v>0.0</v>
      </c>
      <c r="N100" s="1">
        <v>0.0</v>
      </c>
      <c r="O100" s="1">
        <v>94.727309</v>
      </c>
    </row>
    <row r="101">
      <c r="A101" s="1" t="s">
        <v>323</v>
      </c>
      <c r="B101" s="1" t="s">
        <v>324</v>
      </c>
      <c r="C101" s="3"/>
      <c r="D101" s="3"/>
      <c r="E101" s="1" t="str">
        <f>IFERROR(__xludf.DUMMYFUNCTION("IFERROR(REGEXEXTRACT(A101, ""res(269|122)""), ""none"")"),"269")</f>
        <v>269</v>
      </c>
      <c r="F101" s="1">
        <v>-16.381515</v>
      </c>
      <c r="G101" s="1">
        <v>6.0</v>
      </c>
      <c r="H101" s="1">
        <v>3.0</v>
      </c>
      <c r="I101" s="1">
        <v>0.5</v>
      </c>
      <c r="J101" s="1">
        <v>2.0</v>
      </c>
      <c r="K101" s="1">
        <v>-0.391175999999999</v>
      </c>
      <c r="L101" s="1">
        <v>100.0</v>
      </c>
      <c r="M101" s="1">
        <v>0.0</v>
      </c>
      <c r="N101" s="1">
        <v>0.0</v>
      </c>
      <c r="O101" s="1">
        <v>94.727309</v>
      </c>
    </row>
    <row r="102">
      <c r="A102" s="1" t="s">
        <v>325</v>
      </c>
      <c r="B102" s="1" t="s">
        <v>326</v>
      </c>
      <c r="C102" s="3"/>
      <c r="D102" s="3"/>
      <c r="E102" s="1" t="str">
        <f>IFERROR(__xludf.DUMMYFUNCTION("IFERROR(REGEXEXTRACT(A102, ""res(269|122)""), ""none"")"),"269")</f>
        <v>269</v>
      </c>
      <c r="F102" s="1">
        <v>-16.758312</v>
      </c>
      <c r="G102" s="1">
        <v>7.0</v>
      </c>
      <c r="H102" s="1">
        <v>4.0</v>
      </c>
      <c r="I102" s="1">
        <v>0.428571</v>
      </c>
      <c r="J102" s="1">
        <v>2.0</v>
      </c>
      <c r="K102" s="1">
        <v>-1.542056</v>
      </c>
      <c r="L102" s="1">
        <v>100.0</v>
      </c>
      <c r="M102" s="1">
        <v>0.0</v>
      </c>
      <c r="N102" s="1">
        <v>0.0</v>
      </c>
      <c r="O102" s="1">
        <v>95.128203</v>
      </c>
    </row>
    <row r="103">
      <c r="A103" s="1" t="s">
        <v>546</v>
      </c>
      <c r="B103" s="1" t="s">
        <v>547</v>
      </c>
      <c r="C103" s="3"/>
      <c r="D103" s="3"/>
      <c r="E103" s="1" t="str">
        <f>IFERROR(__xludf.DUMMYFUNCTION("IFERROR(REGEXEXTRACT(A103, ""res(269|122)""), ""none"")"),"269")</f>
        <v>269</v>
      </c>
      <c r="F103" s="1">
        <v>-16.555124</v>
      </c>
      <c r="G103" s="1">
        <v>8.0</v>
      </c>
      <c r="H103" s="1">
        <v>5.0</v>
      </c>
      <c r="I103" s="1">
        <v>0.25</v>
      </c>
      <c r="J103" s="1">
        <v>2.0</v>
      </c>
      <c r="K103" s="1">
        <v>-0.655343</v>
      </c>
      <c r="L103" s="1">
        <v>100.0</v>
      </c>
      <c r="M103" s="1">
        <v>0.0</v>
      </c>
      <c r="N103" s="1">
        <v>0.0</v>
      </c>
      <c r="O103" s="1">
        <v>98.039533</v>
      </c>
    </row>
    <row r="104">
      <c r="A104" s="1" t="s">
        <v>548</v>
      </c>
      <c r="B104" s="1" t="s">
        <v>549</v>
      </c>
      <c r="C104" s="3"/>
      <c r="D104" s="3"/>
      <c r="E104" s="1" t="str">
        <f>IFERROR(__xludf.DUMMYFUNCTION("IFERROR(REGEXEXTRACT(A104, ""res(269|122)""), ""none"")"),"269")</f>
        <v>269</v>
      </c>
      <c r="F104" s="1">
        <v>-16.280026</v>
      </c>
      <c r="G104" s="1">
        <v>10.0</v>
      </c>
      <c r="H104" s="1">
        <v>5.0</v>
      </c>
      <c r="I104" s="1">
        <v>0.4</v>
      </c>
      <c r="J104" s="1">
        <v>2.0</v>
      </c>
      <c r="K104" s="1">
        <v>-0.787125</v>
      </c>
      <c r="L104" s="1">
        <v>100.0</v>
      </c>
      <c r="M104" s="1">
        <v>0.0</v>
      </c>
      <c r="N104" s="1">
        <v>0.0</v>
      </c>
      <c r="O104" s="1">
        <v>100.332849</v>
      </c>
    </row>
    <row r="105">
      <c r="A105" s="1" t="s">
        <v>550</v>
      </c>
      <c r="B105" s="1" t="s">
        <v>551</v>
      </c>
      <c r="C105" s="3"/>
      <c r="D105" s="3"/>
      <c r="E105" s="1" t="str">
        <f>IFERROR(__xludf.DUMMYFUNCTION("IFERROR(REGEXEXTRACT(A105, ""res(269|122)""), ""none"")"),"269")</f>
        <v>269</v>
      </c>
      <c r="F105" s="1">
        <v>-15.097785</v>
      </c>
      <c r="G105" s="1">
        <v>7.0</v>
      </c>
      <c r="H105" s="1">
        <v>2.0</v>
      </c>
      <c r="I105" s="1">
        <v>0.285714</v>
      </c>
      <c r="J105" s="1">
        <v>2.0</v>
      </c>
      <c r="K105" s="1">
        <v>-0.30494</v>
      </c>
      <c r="L105" s="1">
        <v>100.0</v>
      </c>
      <c r="M105" s="1">
        <v>0.0</v>
      </c>
      <c r="N105" s="1">
        <v>0.0</v>
      </c>
      <c r="O105" s="1">
        <v>95.882989</v>
      </c>
    </row>
    <row r="106">
      <c r="A106" s="1" t="s">
        <v>327</v>
      </c>
      <c r="B106" s="1" t="s">
        <v>156</v>
      </c>
      <c r="C106" s="3"/>
      <c r="D106" s="3"/>
      <c r="E106" s="1" t="str">
        <f>IFERROR(__xludf.DUMMYFUNCTION("IFERROR(REGEXEXTRACT(A106, ""res(269|122)""), ""none"")"),"269")</f>
        <v>269</v>
      </c>
      <c r="F106" s="1">
        <v>-16.196607</v>
      </c>
      <c r="G106" s="1">
        <v>8.0</v>
      </c>
      <c r="H106" s="1">
        <v>5.0</v>
      </c>
      <c r="I106" s="1">
        <v>0.625</v>
      </c>
      <c r="J106" s="1">
        <v>3.0</v>
      </c>
      <c r="K106" s="1">
        <v>-1.08205699999999</v>
      </c>
      <c r="L106" s="1">
        <v>100.0</v>
      </c>
      <c r="M106" s="1">
        <v>0.0</v>
      </c>
      <c r="N106" s="1">
        <v>0.0</v>
      </c>
      <c r="O106" s="1">
        <v>99.346336</v>
      </c>
    </row>
    <row r="107">
      <c r="A107" s="1" t="s">
        <v>328</v>
      </c>
      <c r="B107" s="1" t="s">
        <v>329</v>
      </c>
      <c r="C107" s="3"/>
      <c r="D107" s="3"/>
      <c r="E107" s="1" t="str">
        <f>IFERROR(__xludf.DUMMYFUNCTION("IFERROR(REGEXEXTRACT(A107, ""res(269|122)""), ""none"")"),"269")</f>
        <v>269</v>
      </c>
      <c r="F107" s="1">
        <v>-15.182474</v>
      </c>
      <c r="G107" s="1">
        <v>7.0</v>
      </c>
      <c r="H107" s="1">
        <v>2.0</v>
      </c>
      <c r="I107" s="1">
        <v>0.285714</v>
      </c>
      <c r="J107" s="1">
        <v>2.0</v>
      </c>
      <c r="K107" s="1">
        <v>-0.62157</v>
      </c>
      <c r="L107" s="1">
        <v>100.0</v>
      </c>
      <c r="M107" s="1">
        <v>0.0</v>
      </c>
      <c r="N107" s="1">
        <v>0.0</v>
      </c>
      <c r="O107" s="1">
        <v>95.48167</v>
      </c>
    </row>
    <row r="108">
      <c r="A108" s="1" t="s">
        <v>330</v>
      </c>
      <c r="B108" s="1" t="s">
        <v>159</v>
      </c>
      <c r="C108" s="3"/>
      <c r="D108" s="3"/>
      <c r="E108" s="1" t="str">
        <f>IFERROR(__xludf.DUMMYFUNCTION("IFERROR(REGEXEXTRACT(A108, ""res(269|122)""), ""none"")"),"269")</f>
        <v>269</v>
      </c>
      <c r="F108" s="1">
        <v>-17.250811</v>
      </c>
      <c r="G108" s="1">
        <v>11.0</v>
      </c>
      <c r="H108" s="1">
        <v>5.0</v>
      </c>
      <c r="I108" s="1">
        <v>0.272727</v>
      </c>
      <c r="J108" s="1">
        <v>2.0</v>
      </c>
      <c r="K108" s="1">
        <v>-0.713731</v>
      </c>
      <c r="L108" s="1">
        <v>100.0</v>
      </c>
      <c r="M108" s="1">
        <v>0.0</v>
      </c>
      <c r="N108" s="1">
        <v>0.0</v>
      </c>
      <c r="O108" s="1">
        <v>100.308185</v>
      </c>
    </row>
    <row r="109">
      <c r="A109" s="1" t="s">
        <v>552</v>
      </c>
      <c r="B109" s="1" t="s">
        <v>553</v>
      </c>
      <c r="C109" s="3"/>
      <c r="D109" s="3"/>
      <c r="E109" s="1" t="str">
        <f>IFERROR(__xludf.DUMMYFUNCTION("IFERROR(REGEXEXTRACT(A109, ""res(269|122)""), ""none"")"),"269")</f>
        <v>269</v>
      </c>
      <c r="F109" s="1">
        <v>-15.356335</v>
      </c>
      <c r="G109" s="1">
        <v>8.0</v>
      </c>
      <c r="H109" s="1">
        <v>5.0</v>
      </c>
      <c r="I109" s="1">
        <v>0.25</v>
      </c>
      <c r="J109" s="1">
        <v>2.0</v>
      </c>
      <c r="K109" s="1">
        <v>-1.57059099999999</v>
      </c>
      <c r="L109" s="1">
        <v>100.0</v>
      </c>
      <c r="M109" s="1">
        <v>0.0</v>
      </c>
      <c r="N109" s="1">
        <v>0.0</v>
      </c>
      <c r="O109" s="1">
        <v>98.323074</v>
      </c>
    </row>
    <row r="110">
      <c r="A110" s="1" t="s">
        <v>554</v>
      </c>
      <c r="B110" s="1" t="s">
        <v>555</v>
      </c>
      <c r="C110" s="3"/>
      <c r="D110" s="3"/>
      <c r="E110" s="1" t="str">
        <f>IFERROR(__xludf.DUMMYFUNCTION("IFERROR(REGEXEXTRACT(A110, ""res(269|122)""), ""none"")"),"269")</f>
        <v>269</v>
      </c>
      <c r="F110" s="1">
        <v>-15.652692</v>
      </c>
      <c r="G110" s="1">
        <v>9.0</v>
      </c>
      <c r="H110" s="1">
        <v>5.0</v>
      </c>
      <c r="I110" s="1">
        <v>0.333333</v>
      </c>
      <c r="J110" s="1">
        <v>2.0</v>
      </c>
      <c r="K110" s="1">
        <v>-1.198917</v>
      </c>
      <c r="L110" s="1">
        <v>100.0</v>
      </c>
      <c r="M110" s="1">
        <v>0.0</v>
      </c>
      <c r="N110" s="1">
        <v>0.0</v>
      </c>
      <c r="O110" s="1">
        <v>99.481724</v>
      </c>
    </row>
    <row r="111">
      <c r="A111" s="1" t="s">
        <v>331</v>
      </c>
      <c r="B111" s="1" t="s">
        <v>332</v>
      </c>
      <c r="C111" s="3"/>
      <c r="D111" s="3"/>
      <c r="E111" s="1" t="str">
        <f>IFERROR(__xludf.DUMMYFUNCTION("IFERROR(REGEXEXTRACT(A111, ""res(269|122)""), ""none"")"),"269")</f>
        <v>269</v>
      </c>
      <c r="F111" s="1">
        <v>-15.813539</v>
      </c>
      <c r="G111" s="1">
        <v>8.0</v>
      </c>
      <c r="H111" s="1">
        <v>4.0</v>
      </c>
      <c r="I111" s="1">
        <v>0.375</v>
      </c>
      <c r="J111" s="1">
        <v>2.0</v>
      </c>
      <c r="K111" s="1">
        <v>-0.75356</v>
      </c>
      <c r="L111" s="1">
        <v>100.0</v>
      </c>
      <c r="M111" s="1">
        <v>0.0</v>
      </c>
      <c r="N111" s="1">
        <v>0.0</v>
      </c>
      <c r="O111" s="1">
        <v>97.807901</v>
      </c>
    </row>
    <row r="112">
      <c r="A112" s="1" t="s">
        <v>556</v>
      </c>
      <c r="B112" s="1" t="s">
        <v>557</v>
      </c>
      <c r="C112" s="3"/>
      <c r="D112" s="3"/>
      <c r="E112" s="1" t="str">
        <f>IFERROR(__xludf.DUMMYFUNCTION("IFERROR(REGEXEXTRACT(A112, ""res(269|122)""), ""none"")"),"269")</f>
        <v>269</v>
      </c>
      <c r="F112" s="1">
        <v>-16.773883</v>
      </c>
      <c r="G112" s="1">
        <v>8.0</v>
      </c>
      <c r="H112" s="1">
        <v>2.0</v>
      </c>
      <c r="I112" s="1">
        <v>0.25</v>
      </c>
      <c r="J112" s="1">
        <v>2.0</v>
      </c>
      <c r="K112" s="1">
        <v>-0.683917</v>
      </c>
      <c r="L112" s="1">
        <v>100.0</v>
      </c>
      <c r="M112" s="1">
        <v>0.0</v>
      </c>
      <c r="N112" s="1">
        <v>0.0</v>
      </c>
      <c r="O112" s="1">
        <v>94.7922</v>
      </c>
    </row>
    <row r="113">
      <c r="A113" s="1" t="s">
        <v>333</v>
      </c>
      <c r="B113" s="1" t="s">
        <v>162</v>
      </c>
      <c r="C113" s="3"/>
      <c r="D113" s="3"/>
      <c r="E113" s="1" t="str">
        <f>IFERROR(__xludf.DUMMYFUNCTION("IFERROR(REGEXEXTRACT(A113, ""res(269|122)""), ""none"")"),"269")</f>
        <v>269</v>
      </c>
      <c r="F113" s="1">
        <v>-17.483332</v>
      </c>
      <c r="G113" s="1">
        <v>7.0</v>
      </c>
      <c r="H113" s="1">
        <v>2.0</v>
      </c>
      <c r="I113" s="1">
        <v>0.428571</v>
      </c>
      <c r="J113" s="1">
        <v>2.0</v>
      </c>
      <c r="K113" s="1">
        <v>-0.934603</v>
      </c>
      <c r="L113" s="1">
        <v>100.0</v>
      </c>
      <c r="M113" s="1">
        <v>0.0</v>
      </c>
      <c r="N113" s="1">
        <v>0.0</v>
      </c>
      <c r="O113" s="1">
        <v>93.010636</v>
      </c>
    </row>
    <row r="114">
      <c r="A114" s="1" t="s">
        <v>558</v>
      </c>
      <c r="B114" s="1" t="s">
        <v>559</v>
      </c>
      <c r="C114" s="3"/>
      <c r="D114" s="3"/>
      <c r="E114" s="1" t="str">
        <f>IFERROR(__xludf.DUMMYFUNCTION("IFERROR(REGEXEXTRACT(A114, ""res(269|122)""), ""none"")"),"269")</f>
        <v>269</v>
      </c>
      <c r="F114" s="1">
        <v>-17.8777</v>
      </c>
      <c r="G114" s="1">
        <v>12.0</v>
      </c>
      <c r="H114" s="1">
        <v>3.0</v>
      </c>
      <c r="I114" s="1">
        <v>0.25</v>
      </c>
      <c r="J114" s="1">
        <v>2.0</v>
      </c>
      <c r="K114" s="1">
        <v>-0.895779</v>
      </c>
      <c r="L114" s="1">
        <v>100.0</v>
      </c>
      <c r="M114" s="1">
        <v>0.0</v>
      </c>
      <c r="N114" s="1">
        <v>0.0</v>
      </c>
      <c r="O114" s="1">
        <v>98.476521</v>
      </c>
    </row>
    <row r="115">
      <c r="A115" s="1" t="s">
        <v>560</v>
      </c>
      <c r="B115" s="1" t="s">
        <v>561</v>
      </c>
      <c r="C115" s="3"/>
      <c r="D115" s="3"/>
      <c r="E115" s="1" t="str">
        <f>IFERROR(__xludf.DUMMYFUNCTION("IFERROR(REGEXEXTRACT(A115, ""res(269|122)""), ""none"")"),"269")</f>
        <v>269</v>
      </c>
      <c r="F115" s="1">
        <v>-16.65494</v>
      </c>
      <c r="G115" s="1">
        <v>8.0</v>
      </c>
      <c r="H115" s="1">
        <v>2.0</v>
      </c>
      <c r="I115" s="1">
        <v>0.25</v>
      </c>
      <c r="J115" s="1">
        <v>2.0</v>
      </c>
      <c r="K115" s="1">
        <v>-0.791185</v>
      </c>
      <c r="L115" s="1">
        <v>100.0</v>
      </c>
      <c r="M115" s="1">
        <v>0.0</v>
      </c>
      <c r="N115" s="1">
        <v>0.0</v>
      </c>
      <c r="O115" s="1">
        <v>94.803875</v>
      </c>
    </row>
    <row r="116">
      <c r="A116" s="1" t="s">
        <v>562</v>
      </c>
      <c r="B116" s="1" t="s">
        <v>563</v>
      </c>
      <c r="C116" s="3"/>
      <c r="D116" s="3"/>
      <c r="E116" s="1" t="str">
        <f>IFERROR(__xludf.DUMMYFUNCTION("IFERROR(REGEXEXTRACT(A116, ""res(269|122)""), ""none"")"),"269")</f>
        <v>269</v>
      </c>
      <c r="F116" s="1">
        <v>-15.287436</v>
      </c>
      <c r="G116" s="1">
        <v>7.0</v>
      </c>
      <c r="H116" s="1">
        <v>3.0</v>
      </c>
      <c r="I116" s="1">
        <v>0.285714</v>
      </c>
      <c r="J116" s="1">
        <v>2.0</v>
      </c>
      <c r="K116" s="1">
        <v>-0.768648</v>
      </c>
      <c r="L116" s="1">
        <v>100.0</v>
      </c>
      <c r="M116" s="1">
        <v>0.0</v>
      </c>
      <c r="N116" s="1">
        <v>0.0</v>
      </c>
      <c r="O116" s="1">
        <v>96.22963</v>
      </c>
    </row>
    <row r="117">
      <c r="A117" s="1" t="s">
        <v>564</v>
      </c>
      <c r="B117" s="1" t="s">
        <v>565</v>
      </c>
      <c r="C117" s="3"/>
      <c r="D117" s="3"/>
      <c r="E117" s="1" t="str">
        <f>IFERROR(__xludf.DUMMYFUNCTION("IFERROR(REGEXEXTRACT(A117, ""res(269|122)""), ""none"")"),"269")</f>
        <v>269</v>
      </c>
      <c r="F117" s="1">
        <v>-15.042413</v>
      </c>
      <c r="G117" s="1">
        <v>9.0</v>
      </c>
      <c r="H117" s="1">
        <v>3.0</v>
      </c>
      <c r="I117" s="1">
        <v>0.333333</v>
      </c>
      <c r="J117" s="1">
        <v>2.0</v>
      </c>
      <c r="K117" s="1">
        <v>-0.962515</v>
      </c>
      <c r="L117" s="1">
        <v>100.0</v>
      </c>
      <c r="M117" s="1">
        <v>0.0</v>
      </c>
      <c r="N117" s="1">
        <v>0.0</v>
      </c>
      <c r="O117" s="1">
        <v>98.328405</v>
      </c>
    </row>
    <row r="118">
      <c r="A118" s="1" t="s">
        <v>334</v>
      </c>
      <c r="B118" s="1" t="s">
        <v>335</v>
      </c>
      <c r="C118" s="3"/>
      <c r="D118" s="3"/>
      <c r="E118" s="1" t="str">
        <f>IFERROR(__xludf.DUMMYFUNCTION("IFERROR(REGEXEXTRACT(A118, ""res(269|122)""), ""none"")"),"269")</f>
        <v>269</v>
      </c>
      <c r="F118" s="1">
        <v>-15.044133</v>
      </c>
      <c r="G118" s="1">
        <v>7.0</v>
      </c>
      <c r="H118" s="1">
        <v>3.0</v>
      </c>
      <c r="I118" s="1">
        <v>0.285714</v>
      </c>
      <c r="J118" s="1">
        <v>2.0</v>
      </c>
      <c r="K118" s="1">
        <v>-0.869404</v>
      </c>
      <c r="L118" s="1">
        <v>100.0</v>
      </c>
      <c r="M118" s="1">
        <v>0.0</v>
      </c>
      <c r="N118" s="1">
        <v>0.0</v>
      </c>
      <c r="O118" s="1">
        <v>96.372177</v>
      </c>
    </row>
    <row r="119">
      <c r="A119" s="1" t="s">
        <v>336</v>
      </c>
      <c r="B119" s="1" t="s">
        <v>337</v>
      </c>
      <c r="C119" s="3"/>
      <c r="D119" s="3"/>
      <c r="E119" s="1" t="str">
        <f>IFERROR(__xludf.DUMMYFUNCTION("IFERROR(REGEXEXTRACT(A119, ""res(269|122)""), ""none"")"),"269")</f>
        <v>269</v>
      </c>
      <c r="F119" s="1">
        <v>-16.338997</v>
      </c>
      <c r="G119" s="1">
        <v>6.0</v>
      </c>
      <c r="H119" s="1">
        <v>1.0</v>
      </c>
      <c r="I119" s="1">
        <v>0.333333</v>
      </c>
      <c r="J119" s="1">
        <v>2.0</v>
      </c>
      <c r="K119" s="1">
        <v>-1.569369</v>
      </c>
      <c r="L119" s="1">
        <v>100.0</v>
      </c>
      <c r="M119" s="1">
        <v>0.0</v>
      </c>
      <c r="N119" s="1">
        <v>0.0</v>
      </c>
      <c r="O119" s="1">
        <v>91.424967</v>
      </c>
    </row>
    <row r="120">
      <c r="A120" s="1" t="s">
        <v>566</v>
      </c>
      <c r="B120" s="1" t="s">
        <v>567</v>
      </c>
      <c r="C120" s="3"/>
      <c r="D120" s="3"/>
      <c r="E120" s="1" t="str">
        <f>IFERROR(__xludf.DUMMYFUNCTION("IFERROR(REGEXEXTRACT(A120, ""res(269|122)""), ""none"")"),"269")</f>
        <v>269</v>
      </c>
      <c r="F120" s="1">
        <v>-16.135472</v>
      </c>
      <c r="G120" s="1">
        <v>8.0</v>
      </c>
      <c r="H120" s="1">
        <v>2.0</v>
      </c>
      <c r="I120" s="1">
        <v>0.25</v>
      </c>
      <c r="J120" s="1">
        <v>2.0</v>
      </c>
      <c r="K120" s="1">
        <v>-1.048501</v>
      </c>
      <c r="L120" s="1">
        <v>100.0</v>
      </c>
      <c r="M120" s="1">
        <v>0.0</v>
      </c>
      <c r="N120" s="1">
        <v>0.0</v>
      </c>
      <c r="O120" s="1">
        <v>95.066027</v>
      </c>
    </row>
    <row r="121">
      <c r="A121" s="1" t="s">
        <v>338</v>
      </c>
      <c r="B121" s="1" t="s">
        <v>339</v>
      </c>
      <c r="C121" s="3"/>
      <c r="D121" s="3"/>
      <c r="E121" s="1" t="str">
        <f>IFERROR(__xludf.DUMMYFUNCTION("IFERROR(REGEXEXTRACT(A121, ""res(269|122)""), ""none"")"),"269")</f>
        <v>269</v>
      </c>
      <c r="F121" s="1">
        <v>-15.874894</v>
      </c>
      <c r="G121" s="1">
        <v>8.0</v>
      </c>
      <c r="H121" s="1">
        <v>2.0</v>
      </c>
      <c r="I121" s="1">
        <v>0.25</v>
      </c>
      <c r="J121" s="1">
        <v>2.0</v>
      </c>
      <c r="K121" s="1">
        <v>-1.527443</v>
      </c>
      <c r="L121" s="1">
        <v>100.0</v>
      </c>
      <c r="M121" s="1">
        <v>0.0</v>
      </c>
      <c r="N121" s="1">
        <v>0.0</v>
      </c>
      <c r="O121" s="1">
        <v>94.847663</v>
      </c>
    </row>
    <row r="122">
      <c r="A122" s="1" t="s">
        <v>568</v>
      </c>
      <c r="B122" s="1" t="s">
        <v>569</v>
      </c>
      <c r="C122" s="3"/>
      <c r="D122" s="3"/>
      <c r="E122" s="1" t="str">
        <f>IFERROR(__xludf.DUMMYFUNCTION("IFERROR(REGEXEXTRACT(A122, ""res(269|122)""), ""none"")"),"269")</f>
        <v>269</v>
      </c>
      <c r="F122" s="1">
        <v>-16.12762</v>
      </c>
      <c r="G122" s="1">
        <v>8.0</v>
      </c>
      <c r="H122" s="1">
        <v>3.0</v>
      </c>
      <c r="I122" s="1">
        <v>0.25</v>
      </c>
      <c r="J122" s="1">
        <v>2.0</v>
      </c>
      <c r="K122" s="1">
        <v>-0.539806</v>
      </c>
      <c r="L122" s="1">
        <v>100.0</v>
      </c>
      <c r="M122" s="1">
        <v>0.0</v>
      </c>
      <c r="N122" s="1">
        <v>0.0</v>
      </c>
      <c r="O122" s="1">
        <v>96.582574</v>
      </c>
    </row>
    <row r="123">
      <c r="A123" s="1" t="s">
        <v>570</v>
      </c>
      <c r="B123" s="1" t="s">
        <v>571</v>
      </c>
      <c r="C123" s="3"/>
      <c r="D123" s="3"/>
      <c r="E123" s="1" t="str">
        <f>IFERROR(__xludf.DUMMYFUNCTION("IFERROR(REGEXEXTRACT(A123, ""res(269|122)""), ""none"")"),"269")</f>
        <v>269</v>
      </c>
      <c r="F123" s="1">
        <v>-16.007709</v>
      </c>
      <c r="G123" s="1">
        <v>6.0</v>
      </c>
      <c r="H123" s="1">
        <v>1.0</v>
      </c>
      <c r="I123" s="1">
        <v>0.333333</v>
      </c>
      <c r="J123" s="1">
        <v>2.0</v>
      </c>
      <c r="K123" s="1">
        <v>-0.634004</v>
      </c>
      <c r="L123" s="1">
        <v>100.0</v>
      </c>
      <c r="M123" s="1">
        <v>0.0</v>
      </c>
      <c r="N123" s="1">
        <v>0.0</v>
      </c>
      <c r="O123" s="1">
        <v>92.69162</v>
      </c>
    </row>
    <row r="124">
      <c r="A124" s="1" t="s">
        <v>572</v>
      </c>
      <c r="B124" s="1" t="s">
        <v>573</v>
      </c>
      <c r="C124" s="3"/>
      <c r="D124" s="3"/>
      <c r="E124" s="1" t="str">
        <f>IFERROR(__xludf.DUMMYFUNCTION("IFERROR(REGEXEXTRACT(A124, ""res(269|122)""), ""none"")"),"269")</f>
        <v>269</v>
      </c>
      <c r="F124" s="1">
        <v>-15.183288</v>
      </c>
      <c r="G124" s="1">
        <v>6.0</v>
      </c>
      <c r="H124" s="1">
        <v>3.0</v>
      </c>
      <c r="I124" s="1">
        <v>0.666667</v>
      </c>
      <c r="J124" s="1">
        <v>2.0</v>
      </c>
      <c r="K124" s="1">
        <v>-0.991667</v>
      </c>
      <c r="L124" s="1">
        <v>100.0</v>
      </c>
      <c r="M124" s="1">
        <v>0.0</v>
      </c>
      <c r="N124" s="1">
        <v>0.0</v>
      </c>
      <c r="O124" s="1">
        <v>95.491712</v>
      </c>
    </row>
    <row r="125">
      <c r="A125" s="1" t="s">
        <v>340</v>
      </c>
      <c r="B125" s="1" t="s">
        <v>84</v>
      </c>
      <c r="C125" s="3"/>
      <c r="D125" s="3"/>
      <c r="E125" s="1" t="str">
        <f>IFERROR(__xludf.DUMMYFUNCTION("IFERROR(REGEXEXTRACT(A125, ""res(269|122)""), ""none"")"),"269")</f>
        <v>269</v>
      </c>
      <c r="F125" s="1">
        <v>-15.19198</v>
      </c>
      <c r="G125" s="1">
        <v>8.0</v>
      </c>
      <c r="H125" s="1">
        <v>3.0</v>
      </c>
      <c r="I125" s="1">
        <v>0.375</v>
      </c>
      <c r="J125" s="1">
        <v>2.0</v>
      </c>
      <c r="K125" s="1">
        <v>-1.182302</v>
      </c>
      <c r="L125" s="1">
        <v>100.0</v>
      </c>
      <c r="M125" s="1">
        <v>0.0</v>
      </c>
      <c r="N125" s="1">
        <v>0.0</v>
      </c>
      <c r="O125" s="1">
        <v>97.000718</v>
      </c>
    </row>
    <row r="126">
      <c r="A126" s="1" t="s">
        <v>341</v>
      </c>
      <c r="B126" s="1" t="s">
        <v>87</v>
      </c>
      <c r="C126" s="3"/>
      <c r="D126" s="3"/>
      <c r="E126" s="1" t="str">
        <f>IFERROR(__xludf.DUMMYFUNCTION("IFERROR(REGEXEXTRACT(A126, ""res(269|122)""), ""none"")"),"269")</f>
        <v>269</v>
      </c>
      <c r="F126" s="1">
        <v>-15.653385</v>
      </c>
      <c r="G126" s="1">
        <v>8.0</v>
      </c>
      <c r="H126" s="1">
        <v>3.0</v>
      </c>
      <c r="I126" s="1">
        <v>0.25</v>
      </c>
      <c r="J126" s="1">
        <v>2.0</v>
      </c>
      <c r="K126" s="1">
        <v>-0.166637</v>
      </c>
      <c r="L126" s="1">
        <v>100.0</v>
      </c>
      <c r="M126" s="1">
        <v>0.0</v>
      </c>
      <c r="N126" s="1">
        <v>0.0</v>
      </c>
      <c r="O126" s="1">
        <v>97.429978</v>
      </c>
    </row>
    <row r="127">
      <c r="A127" s="1" t="s">
        <v>342</v>
      </c>
      <c r="B127" s="1" t="s">
        <v>165</v>
      </c>
      <c r="C127" s="3"/>
      <c r="D127" s="3"/>
      <c r="E127" s="1" t="str">
        <f>IFERROR(__xludf.DUMMYFUNCTION("IFERROR(REGEXEXTRACT(A127, ""res(269|122)""), ""none"")"),"269")</f>
        <v>269</v>
      </c>
      <c r="F127" s="1">
        <v>-15.468589</v>
      </c>
      <c r="G127" s="1">
        <v>8.0</v>
      </c>
      <c r="H127" s="1">
        <v>3.0</v>
      </c>
      <c r="I127" s="1">
        <v>0.375</v>
      </c>
      <c r="J127" s="1">
        <v>2.0</v>
      </c>
      <c r="K127" s="1">
        <v>-0.987794</v>
      </c>
      <c r="L127" s="1">
        <v>100.0</v>
      </c>
      <c r="M127" s="1">
        <v>0.0</v>
      </c>
      <c r="N127" s="1">
        <v>0.0</v>
      </c>
      <c r="O127" s="1">
        <v>96.918617</v>
      </c>
    </row>
    <row r="128">
      <c r="A128" s="1" t="s">
        <v>343</v>
      </c>
      <c r="B128" s="1" t="s">
        <v>344</v>
      </c>
      <c r="C128" s="3"/>
      <c r="D128" s="3"/>
      <c r="E128" s="1" t="str">
        <f>IFERROR(__xludf.DUMMYFUNCTION("IFERROR(REGEXEXTRACT(A128, ""res(269|122)""), ""none"")"),"269")</f>
        <v>269</v>
      </c>
      <c r="F128" s="1">
        <v>-16.533467</v>
      </c>
      <c r="G128" s="1">
        <v>8.0</v>
      </c>
      <c r="H128" s="1">
        <v>5.0</v>
      </c>
      <c r="I128" s="1">
        <v>0.25</v>
      </c>
      <c r="J128" s="1">
        <v>2.0</v>
      </c>
      <c r="K128" s="1">
        <v>-1.486018</v>
      </c>
      <c r="L128" s="1">
        <v>100.0</v>
      </c>
      <c r="M128" s="1">
        <v>0.0</v>
      </c>
      <c r="N128" s="1">
        <v>0.0</v>
      </c>
      <c r="O128" s="1">
        <v>97.230515</v>
      </c>
    </row>
    <row r="129">
      <c r="A129" s="1" t="s">
        <v>574</v>
      </c>
      <c r="B129" s="1" t="s">
        <v>575</v>
      </c>
      <c r="C129" s="3"/>
      <c r="D129" s="3"/>
      <c r="E129" s="1" t="str">
        <f>IFERROR(__xludf.DUMMYFUNCTION("IFERROR(REGEXEXTRACT(A129, ""res(269|122)""), ""none"")"),"269")</f>
        <v>269</v>
      </c>
      <c r="F129" s="1">
        <v>-15.811695</v>
      </c>
      <c r="G129" s="1">
        <v>8.0</v>
      </c>
      <c r="H129" s="1">
        <v>1.0</v>
      </c>
      <c r="I129" s="1">
        <v>0.25</v>
      </c>
      <c r="J129" s="1">
        <v>3.0</v>
      </c>
      <c r="K129" s="1">
        <v>-1.385348</v>
      </c>
      <c r="L129" s="1">
        <v>100.0</v>
      </c>
      <c r="M129" s="1">
        <v>0.0</v>
      </c>
      <c r="N129" s="1">
        <v>0.0</v>
      </c>
      <c r="O129" s="1">
        <v>95.052957</v>
      </c>
    </row>
    <row r="130">
      <c r="A130" s="1" t="s">
        <v>576</v>
      </c>
      <c r="B130" s="1" t="s">
        <v>577</v>
      </c>
      <c r="C130" s="5"/>
      <c r="D130" s="5"/>
      <c r="E130" s="1" t="str">
        <f>IFERROR(__xludf.DUMMYFUNCTION("IFERROR(REGEXEXTRACT(A130, ""res(269|122)""), ""none"")"),"269")</f>
        <v>269</v>
      </c>
      <c r="F130" s="1">
        <v>-15.166917</v>
      </c>
      <c r="G130" s="1">
        <v>8.0</v>
      </c>
      <c r="H130" s="1">
        <v>5.0</v>
      </c>
      <c r="I130" s="1">
        <v>0.25</v>
      </c>
      <c r="J130" s="1">
        <v>2.0</v>
      </c>
      <c r="K130" s="1">
        <v>-0.351184999999999</v>
      </c>
      <c r="L130" s="1">
        <v>100.0</v>
      </c>
      <c r="M130" s="1">
        <v>0.0</v>
      </c>
      <c r="N130" s="1">
        <v>0.0</v>
      </c>
      <c r="O130" s="1">
        <v>99.731898</v>
      </c>
    </row>
    <row r="131">
      <c r="A131" s="1" t="s">
        <v>578</v>
      </c>
      <c r="B131" s="1" t="s">
        <v>579</v>
      </c>
      <c r="C131" s="5"/>
      <c r="D131" s="5"/>
      <c r="E131" s="1" t="str">
        <f>IFERROR(__xludf.DUMMYFUNCTION("IFERROR(REGEXEXTRACT(A131, ""res(269|122)""), ""none"")"),"269")</f>
        <v>269</v>
      </c>
      <c r="F131" s="1">
        <v>-16.068084</v>
      </c>
      <c r="G131" s="1">
        <v>9.0</v>
      </c>
      <c r="H131" s="1">
        <v>2.0</v>
      </c>
      <c r="I131" s="1">
        <v>0.444444</v>
      </c>
      <c r="J131" s="1">
        <v>2.0</v>
      </c>
      <c r="K131" s="1">
        <v>-1.018293</v>
      </c>
      <c r="L131" s="1">
        <v>100.0</v>
      </c>
      <c r="M131" s="1">
        <v>0.0</v>
      </c>
      <c r="N131" s="1">
        <v>0.0</v>
      </c>
      <c r="O131" s="1">
        <v>96.358067</v>
      </c>
    </row>
    <row r="132">
      <c r="A132" s="1" t="s">
        <v>345</v>
      </c>
      <c r="B132" s="1" t="s">
        <v>346</v>
      </c>
      <c r="C132" s="5"/>
      <c r="D132" s="5"/>
      <c r="E132" s="1" t="str">
        <f>IFERROR(__xludf.DUMMYFUNCTION("IFERROR(REGEXEXTRACT(A132, ""res(269|122)""), ""none"")"),"269")</f>
        <v>269</v>
      </c>
      <c r="F132" s="1">
        <v>-16.383014</v>
      </c>
      <c r="G132" s="1">
        <v>11.0</v>
      </c>
      <c r="H132" s="1">
        <v>5.0</v>
      </c>
      <c r="I132" s="1">
        <v>0.545455</v>
      </c>
      <c r="J132" s="1">
        <v>2.0</v>
      </c>
      <c r="K132" s="1">
        <v>-1.431922</v>
      </c>
      <c r="L132" s="1">
        <v>100.0</v>
      </c>
      <c r="M132" s="1">
        <v>0.0</v>
      </c>
      <c r="N132" s="1">
        <v>0.0</v>
      </c>
      <c r="O132" s="1">
        <v>100.730519</v>
      </c>
    </row>
    <row r="133">
      <c r="A133" s="1" t="s">
        <v>347</v>
      </c>
      <c r="B133" s="1" t="s">
        <v>348</v>
      </c>
      <c r="C133" s="5"/>
      <c r="D133" s="5"/>
      <c r="E133" s="1" t="str">
        <f>IFERROR(__xludf.DUMMYFUNCTION("IFERROR(REGEXEXTRACT(A133, ""res(269|122)""), ""none"")"),"269")</f>
        <v>269</v>
      </c>
      <c r="F133" s="1">
        <v>-15.915515</v>
      </c>
      <c r="G133" s="1">
        <v>8.0</v>
      </c>
      <c r="H133" s="1">
        <v>4.0</v>
      </c>
      <c r="I133" s="1">
        <v>0.375</v>
      </c>
      <c r="J133" s="1">
        <v>2.0</v>
      </c>
      <c r="K133" s="1">
        <v>-0.684045</v>
      </c>
      <c r="L133" s="1">
        <v>100.0</v>
      </c>
      <c r="M133" s="1">
        <v>0.0</v>
      </c>
      <c r="N133" s="1">
        <v>0.0</v>
      </c>
      <c r="O133" s="1">
        <v>97.77544</v>
      </c>
    </row>
    <row r="134">
      <c r="A134" s="1" t="s">
        <v>349</v>
      </c>
      <c r="B134" s="1" t="s">
        <v>90</v>
      </c>
      <c r="C134" s="5"/>
      <c r="D134" s="5"/>
      <c r="E134" s="1" t="str">
        <f>IFERROR(__xludf.DUMMYFUNCTION("IFERROR(REGEXEXTRACT(A134, ""res(269|122)""), ""none"")"),"269")</f>
        <v>269</v>
      </c>
      <c r="F134" s="1">
        <v>-15.759066</v>
      </c>
      <c r="G134" s="1">
        <v>7.0</v>
      </c>
      <c r="H134" s="1">
        <v>2.0</v>
      </c>
      <c r="I134" s="1">
        <v>0.571429</v>
      </c>
      <c r="J134" s="1">
        <v>2.0</v>
      </c>
      <c r="K134" s="1">
        <v>-0.931789</v>
      </c>
      <c r="L134" s="1">
        <v>100.0</v>
      </c>
      <c r="M134" s="1">
        <v>0.0</v>
      </c>
      <c r="N134" s="1">
        <v>0.0</v>
      </c>
      <c r="O134" s="1">
        <v>94.880574</v>
      </c>
    </row>
    <row r="135">
      <c r="A135" s="1" t="s">
        <v>350</v>
      </c>
      <c r="B135" s="1" t="s">
        <v>351</v>
      </c>
      <c r="C135" s="5"/>
      <c r="D135" s="5"/>
      <c r="E135" s="1" t="str">
        <f>IFERROR(__xludf.DUMMYFUNCTION("IFERROR(REGEXEXTRACT(A135, ""res(269|122)""), ""none"")"),"269")</f>
        <v>269</v>
      </c>
      <c r="F135" s="1">
        <v>-15.759066</v>
      </c>
      <c r="G135" s="1">
        <v>7.0</v>
      </c>
      <c r="H135" s="1">
        <v>2.0</v>
      </c>
      <c r="I135" s="1">
        <v>0.571429</v>
      </c>
      <c r="J135" s="1">
        <v>2.0</v>
      </c>
      <c r="K135" s="1">
        <v>-0.931789</v>
      </c>
      <c r="L135" s="1">
        <v>100.0</v>
      </c>
      <c r="M135" s="1">
        <v>0.0</v>
      </c>
      <c r="N135" s="1">
        <v>0.0</v>
      </c>
      <c r="O135" s="1">
        <v>94.880574</v>
      </c>
    </row>
    <row r="136">
      <c r="A136" s="1" t="s">
        <v>580</v>
      </c>
      <c r="B136" s="1" t="s">
        <v>581</v>
      </c>
      <c r="C136" s="5"/>
      <c r="D136" s="5"/>
      <c r="E136" s="1" t="str">
        <f>IFERROR(__xludf.DUMMYFUNCTION("IFERROR(REGEXEXTRACT(A136, ""res(269|122)""), ""none"")"),"269")</f>
        <v>269</v>
      </c>
      <c r="F136" s="1">
        <v>-15.59682</v>
      </c>
      <c r="G136" s="1">
        <v>8.0</v>
      </c>
      <c r="H136" s="1">
        <v>3.0</v>
      </c>
      <c r="I136" s="1">
        <v>0.25</v>
      </c>
      <c r="J136" s="1">
        <v>2.0</v>
      </c>
      <c r="K136" s="1">
        <v>-0.781714999999999</v>
      </c>
      <c r="L136" s="1">
        <v>100.0</v>
      </c>
      <c r="M136" s="1">
        <v>0.0</v>
      </c>
      <c r="N136" s="1">
        <v>0.0</v>
      </c>
      <c r="O136" s="1">
        <v>96.871465</v>
      </c>
    </row>
    <row r="137">
      <c r="A137" s="1" t="s">
        <v>582</v>
      </c>
      <c r="B137" s="1" t="s">
        <v>583</v>
      </c>
      <c r="C137" s="5"/>
      <c r="D137" s="5"/>
      <c r="E137" s="1" t="str">
        <f>IFERROR(__xludf.DUMMYFUNCTION("IFERROR(REGEXEXTRACT(A137, ""res(269|122)""), ""none"")"),"269")</f>
        <v>269</v>
      </c>
      <c r="F137" s="1">
        <v>-15.480946</v>
      </c>
      <c r="G137" s="1">
        <v>8.0</v>
      </c>
      <c r="H137" s="1">
        <v>4.0</v>
      </c>
      <c r="I137" s="1">
        <v>0.25</v>
      </c>
      <c r="J137" s="1">
        <v>2.0</v>
      </c>
      <c r="K137" s="1">
        <v>-0.505827</v>
      </c>
      <c r="L137" s="1">
        <v>100.0</v>
      </c>
      <c r="M137" s="1">
        <v>0.0</v>
      </c>
      <c r="N137" s="1">
        <v>0.0</v>
      </c>
      <c r="O137" s="1">
        <v>98.263227</v>
      </c>
    </row>
    <row r="138">
      <c r="A138" s="1" t="s">
        <v>584</v>
      </c>
      <c r="B138" s="1" t="s">
        <v>585</v>
      </c>
      <c r="C138" s="5"/>
      <c r="D138" s="5"/>
      <c r="E138" s="1" t="str">
        <f>IFERROR(__xludf.DUMMYFUNCTION("IFERROR(REGEXEXTRACT(A138, ""res(269|122)""), ""none"")"),"269")</f>
        <v>269</v>
      </c>
      <c r="F138" s="1">
        <v>-15.084562</v>
      </c>
      <c r="G138" s="1">
        <v>9.0</v>
      </c>
      <c r="H138" s="1">
        <v>2.0</v>
      </c>
      <c r="I138" s="1">
        <v>0.333333</v>
      </c>
      <c r="J138" s="1">
        <v>2.0</v>
      </c>
      <c r="K138" s="1">
        <v>-1.126036</v>
      </c>
      <c r="L138" s="1">
        <v>100.0</v>
      </c>
      <c r="M138" s="1">
        <v>0.0</v>
      </c>
      <c r="N138" s="1">
        <v>0.0</v>
      </c>
      <c r="O138" s="1">
        <v>97.122735</v>
      </c>
    </row>
    <row r="139">
      <c r="A139" s="1" t="s">
        <v>586</v>
      </c>
      <c r="B139" s="1" t="s">
        <v>587</v>
      </c>
      <c r="C139" s="5"/>
      <c r="D139" s="5"/>
      <c r="E139" s="1" t="str">
        <f>IFERROR(__xludf.DUMMYFUNCTION("IFERROR(REGEXEXTRACT(A139, ""res(269|122)""), ""none"")"),"269")</f>
        <v>269</v>
      </c>
      <c r="F139" s="1">
        <v>-16.433564</v>
      </c>
      <c r="G139" s="1">
        <v>12.0</v>
      </c>
      <c r="H139" s="1">
        <v>4.0</v>
      </c>
      <c r="I139" s="1">
        <v>0.333333</v>
      </c>
      <c r="J139" s="1">
        <v>2.0</v>
      </c>
      <c r="K139" s="1">
        <v>-0.696566999999999</v>
      </c>
      <c r="L139" s="1">
        <v>100.0</v>
      </c>
      <c r="M139" s="1">
        <v>0.0</v>
      </c>
      <c r="N139" s="1">
        <v>0.0</v>
      </c>
      <c r="O139" s="1">
        <v>101.203202</v>
      </c>
    </row>
    <row r="140">
      <c r="A140" s="1" t="s">
        <v>588</v>
      </c>
      <c r="B140" s="1" t="s">
        <v>589</v>
      </c>
      <c r="C140" s="5"/>
      <c r="D140" s="5"/>
      <c r="E140" s="1" t="str">
        <f>IFERROR(__xludf.DUMMYFUNCTION("IFERROR(REGEXEXTRACT(A140, ""res(269|122)""), ""none"")"),"269")</f>
        <v>269</v>
      </c>
      <c r="F140" s="1">
        <v>-15.248368</v>
      </c>
      <c r="G140" s="1">
        <v>7.0</v>
      </c>
      <c r="H140" s="1">
        <v>1.0</v>
      </c>
      <c r="I140" s="1">
        <v>0.285714</v>
      </c>
      <c r="J140" s="1">
        <v>2.0</v>
      </c>
      <c r="K140" s="1">
        <v>-0.793475</v>
      </c>
      <c r="L140" s="1">
        <v>100.0</v>
      </c>
      <c r="M140" s="1">
        <v>0.0</v>
      </c>
      <c r="N140" s="1">
        <v>0.0</v>
      </c>
      <c r="O140" s="1">
        <v>94.243871</v>
      </c>
    </row>
    <row r="141">
      <c r="A141" s="1" t="s">
        <v>590</v>
      </c>
      <c r="B141" s="1" t="s">
        <v>591</v>
      </c>
      <c r="C141" s="5"/>
      <c r="D141" s="5"/>
      <c r="E141" s="1" t="str">
        <f>IFERROR(__xludf.DUMMYFUNCTION("IFERROR(REGEXEXTRACT(A141, ""res(269|122)""), ""none"")"),"269")</f>
        <v>269</v>
      </c>
      <c r="F141" s="1">
        <v>-15.046665</v>
      </c>
      <c r="G141" s="1">
        <v>10.0</v>
      </c>
      <c r="H141" s="1">
        <v>3.0</v>
      </c>
      <c r="I141" s="1">
        <v>0.3</v>
      </c>
      <c r="J141" s="1">
        <v>2.0</v>
      </c>
      <c r="K141" s="1">
        <v>-0.432822</v>
      </c>
      <c r="L141" s="1">
        <v>100.0</v>
      </c>
      <c r="M141" s="1">
        <v>0.0</v>
      </c>
      <c r="N141" s="1">
        <v>0.0</v>
      </c>
      <c r="O141" s="1">
        <v>99.820513</v>
      </c>
    </row>
    <row r="142">
      <c r="A142" s="1" t="s">
        <v>592</v>
      </c>
      <c r="B142" s="1" t="s">
        <v>593</v>
      </c>
      <c r="C142" s="5"/>
      <c r="D142" s="5"/>
      <c r="E142" s="1" t="str">
        <f>IFERROR(__xludf.DUMMYFUNCTION("IFERROR(REGEXEXTRACT(A142, ""res(269|122)""), ""none"")"),"269")</f>
        <v>269</v>
      </c>
      <c r="F142" s="1">
        <v>-15.496757</v>
      </c>
      <c r="G142" s="1">
        <v>10.0</v>
      </c>
      <c r="H142" s="1">
        <v>2.0</v>
      </c>
      <c r="I142" s="1">
        <v>0.3</v>
      </c>
      <c r="J142" s="1">
        <v>2.0</v>
      </c>
      <c r="K142" s="1">
        <v>-0.809153999999999</v>
      </c>
      <c r="L142" s="1">
        <v>100.0</v>
      </c>
      <c r="M142" s="1">
        <v>0.0</v>
      </c>
      <c r="N142" s="1">
        <v>0.0</v>
      </c>
      <c r="O142" s="1">
        <v>97.994089</v>
      </c>
    </row>
    <row r="143">
      <c r="A143" s="1" t="s">
        <v>594</v>
      </c>
      <c r="B143" s="1" t="s">
        <v>595</v>
      </c>
      <c r="C143" s="5"/>
      <c r="D143" s="5"/>
      <c r="E143" s="1" t="str">
        <f>IFERROR(__xludf.DUMMYFUNCTION("IFERROR(REGEXEXTRACT(A143, ""res(269|122)""), ""none"")"),"269")</f>
        <v>269</v>
      </c>
      <c r="F143" s="1">
        <v>-15.123891</v>
      </c>
      <c r="G143" s="1">
        <v>7.0</v>
      </c>
      <c r="H143" s="1">
        <v>1.0</v>
      </c>
      <c r="I143" s="1">
        <v>0.428571</v>
      </c>
      <c r="J143" s="1">
        <v>2.0</v>
      </c>
      <c r="K143" s="1">
        <v>-0.389964</v>
      </c>
      <c r="L143" s="1">
        <v>100.0</v>
      </c>
      <c r="M143" s="1">
        <v>0.0</v>
      </c>
      <c r="N143" s="1">
        <v>0.0</v>
      </c>
      <c r="O143" s="1">
        <v>94.914716</v>
      </c>
    </row>
    <row r="144">
      <c r="A144" s="1" t="s">
        <v>596</v>
      </c>
      <c r="B144" s="1" t="s">
        <v>597</v>
      </c>
      <c r="C144" s="5"/>
      <c r="D144" s="5"/>
      <c r="E144" s="1" t="str">
        <f>IFERROR(__xludf.DUMMYFUNCTION("IFERROR(REGEXEXTRACT(A144, ""res(269|122)""), ""none"")"),"269")</f>
        <v>269</v>
      </c>
      <c r="F144" s="1">
        <v>-17.851558</v>
      </c>
      <c r="G144" s="1">
        <v>7.0</v>
      </c>
      <c r="H144" s="1">
        <v>2.0</v>
      </c>
      <c r="I144" s="1">
        <v>0.285714</v>
      </c>
      <c r="J144" s="1">
        <v>2.0</v>
      </c>
      <c r="K144" s="1">
        <v>-0.879698</v>
      </c>
      <c r="L144" s="1">
        <v>100.0</v>
      </c>
      <c r="M144" s="1">
        <v>0.0</v>
      </c>
      <c r="N144" s="1">
        <v>0.0</v>
      </c>
      <c r="O144" s="1">
        <v>92.554458</v>
      </c>
    </row>
    <row r="145">
      <c r="A145" s="1" t="s">
        <v>598</v>
      </c>
      <c r="B145" s="1" t="s">
        <v>599</v>
      </c>
      <c r="C145" s="5"/>
      <c r="D145" s="5"/>
      <c r="E145" s="1" t="str">
        <f>IFERROR(__xludf.DUMMYFUNCTION("IFERROR(REGEXEXTRACT(A145, ""res(269|122)""), ""none"")"),"269")</f>
        <v>269</v>
      </c>
      <c r="F145" s="1">
        <v>-16.37987</v>
      </c>
      <c r="G145" s="1">
        <v>13.0</v>
      </c>
      <c r="H145" s="1">
        <v>3.0</v>
      </c>
      <c r="I145" s="1">
        <v>0.307692</v>
      </c>
      <c r="J145" s="1">
        <v>2.0</v>
      </c>
      <c r="K145" s="1">
        <v>-0.226607</v>
      </c>
      <c r="L145" s="1">
        <v>100.0</v>
      </c>
      <c r="M145" s="1">
        <v>0.0</v>
      </c>
      <c r="N145" s="1">
        <v>0.0</v>
      </c>
      <c r="O145" s="1">
        <v>101.701215</v>
      </c>
    </row>
    <row r="146">
      <c r="A146" s="1" t="s">
        <v>600</v>
      </c>
      <c r="B146" s="1" t="s">
        <v>601</v>
      </c>
      <c r="C146" s="5"/>
      <c r="D146" s="5"/>
      <c r="E146" s="1" t="str">
        <f>IFERROR(__xludf.DUMMYFUNCTION("IFERROR(REGEXEXTRACT(A146, ""res(269|122)""), ""none"")"),"269")</f>
        <v>269</v>
      </c>
      <c r="F146" s="1">
        <v>-15.216876</v>
      </c>
      <c r="G146" s="1">
        <v>7.0</v>
      </c>
      <c r="H146" s="1">
        <v>1.0</v>
      </c>
      <c r="I146" s="1">
        <v>0.285714</v>
      </c>
      <c r="J146" s="1">
        <v>2.0</v>
      </c>
      <c r="K146" s="1">
        <v>-0.938238</v>
      </c>
      <c r="L146" s="1">
        <v>100.0</v>
      </c>
      <c r="M146" s="1">
        <v>0.0</v>
      </c>
      <c r="N146" s="1">
        <v>0.0</v>
      </c>
      <c r="O146" s="1">
        <v>94.1306</v>
      </c>
    </row>
    <row r="147">
      <c r="A147" s="1" t="s">
        <v>602</v>
      </c>
      <c r="B147" s="1" t="s">
        <v>603</v>
      </c>
      <c r="C147" s="5"/>
      <c r="D147" s="5"/>
      <c r="E147" s="1" t="str">
        <f>IFERROR(__xludf.DUMMYFUNCTION("IFERROR(REGEXEXTRACT(A147, ""res(269|122)""), ""none"")"),"269")</f>
        <v>269</v>
      </c>
      <c r="F147" s="1">
        <v>-15.926988</v>
      </c>
      <c r="G147" s="1">
        <v>10.0</v>
      </c>
      <c r="H147" s="1">
        <v>3.0</v>
      </c>
      <c r="I147" s="1">
        <v>0.3</v>
      </c>
      <c r="J147" s="1">
        <v>2.0</v>
      </c>
      <c r="K147" s="1">
        <v>-0.899726</v>
      </c>
      <c r="L147" s="1">
        <v>100.0</v>
      </c>
      <c r="M147" s="1">
        <v>0.0</v>
      </c>
      <c r="N147" s="1">
        <v>0.0</v>
      </c>
      <c r="O147" s="1">
        <v>98.473286</v>
      </c>
    </row>
    <row r="148">
      <c r="A148" s="1" t="s">
        <v>352</v>
      </c>
      <c r="B148" s="1" t="s">
        <v>353</v>
      </c>
      <c r="C148" s="5"/>
      <c r="D148" s="5"/>
      <c r="E148" s="1" t="str">
        <f>IFERROR(__xludf.DUMMYFUNCTION("IFERROR(REGEXEXTRACT(A148, ""res(269|122)""), ""none"")"),"269")</f>
        <v>269</v>
      </c>
      <c r="F148" s="1">
        <v>-15.088626</v>
      </c>
      <c r="G148" s="1">
        <v>12.0</v>
      </c>
      <c r="H148" s="1">
        <v>3.0</v>
      </c>
      <c r="I148" s="1">
        <v>0.416667</v>
      </c>
      <c r="J148" s="1">
        <v>2.0</v>
      </c>
      <c r="K148" s="1">
        <v>-0.765151</v>
      </c>
      <c r="L148" s="1">
        <v>100.0</v>
      </c>
      <c r="M148" s="1">
        <v>0.0</v>
      </c>
      <c r="N148" s="1">
        <v>0.0</v>
      </c>
      <c r="O148" s="1">
        <v>101.56289</v>
      </c>
    </row>
    <row r="149">
      <c r="A149" s="1" t="s">
        <v>604</v>
      </c>
      <c r="B149" s="1" t="s">
        <v>605</v>
      </c>
      <c r="C149" s="5"/>
      <c r="D149" s="5"/>
      <c r="E149" s="1" t="str">
        <f>IFERROR(__xludf.DUMMYFUNCTION("IFERROR(REGEXEXTRACT(A149, ""res(269|122)""), ""none"")"),"269")</f>
        <v>269</v>
      </c>
      <c r="F149" s="1">
        <v>-16.476724</v>
      </c>
      <c r="G149" s="1">
        <v>7.0</v>
      </c>
      <c r="H149" s="1">
        <v>2.0</v>
      </c>
      <c r="I149" s="1">
        <v>0.285714</v>
      </c>
      <c r="J149" s="1">
        <v>3.0</v>
      </c>
      <c r="K149" s="1">
        <v>-0.823762</v>
      </c>
      <c r="L149" s="1">
        <v>100.0</v>
      </c>
      <c r="M149" s="1">
        <v>0.0</v>
      </c>
      <c r="N149" s="1">
        <v>0.0</v>
      </c>
      <c r="O149" s="1">
        <v>94.985228</v>
      </c>
    </row>
    <row r="150">
      <c r="A150" s="1" t="s">
        <v>606</v>
      </c>
      <c r="B150" s="1" t="s">
        <v>607</v>
      </c>
      <c r="C150" s="5"/>
      <c r="D150" s="5"/>
      <c r="E150" s="1" t="str">
        <f>IFERROR(__xludf.DUMMYFUNCTION("IFERROR(REGEXEXTRACT(A150, ""res(269|122)""), ""none"")"),"269")</f>
        <v>269</v>
      </c>
      <c r="F150" s="1">
        <v>-15.583805</v>
      </c>
      <c r="G150" s="1">
        <v>7.0</v>
      </c>
      <c r="H150" s="1">
        <v>3.0</v>
      </c>
      <c r="I150" s="1">
        <v>0.285714</v>
      </c>
      <c r="J150" s="1">
        <v>2.0</v>
      </c>
      <c r="K150" s="1">
        <v>-1.40151</v>
      </c>
      <c r="L150" s="1">
        <v>100.0</v>
      </c>
      <c r="M150" s="1">
        <v>0.0</v>
      </c>
      <c r="N150" s="1">
        <v>0.0</v>
      </c>
      <c r="O150" s="1">
        <v>95.300399</v>
      </c>
    </row>
    <row r="151">
      <c r="A151" s="1" t="s">
        <v>608</v>
      </c>
      <c r="B151" s="1" t="s">
        <v>609</v>
      </c>
      <c r="C151" s="5"/>
      <c r="D151" s="5"/>
      <c r="E151" s="1" t="str">
        <f>IFERROR(__xludf.DUMMYFUNCTION("IFERROR(REGEXEXTRACT(A151, ""res(269|122)""), ""none"")"),"269")</f>
        <v>269</v>
      </c>
      <c r="F151" s="1">
        <v>-18.086218</v>
      </c>
      <c r="G151" s="1">
        <v>12.0</v>
      </c>
      <c r="H151" s="1">
        <v>4.0</v>
      </c>
      <c r="I151" s="1">
        <v>0.25</v>
      </c>
      <c r="J151" s="1">
        <v>2.0</v>
      </c>
      <c r="K151" s="1">
        <v>-1.08402</v>
      </c>
      <c r="L151" s="1">
        <v>100.0</v>
      </c>
      <c r="M151" s="1">
        <v>0.0</v>
      </c>
      <c r="N151" s="1">
        <v>0.0</v>
      </c>
      <c r="O151" s="1">
        <v>99.079762</v>
      </c>
    </row>
    <row r="152">
      <c r="A152" s="1" t="s">
        <v>610</v>
      </c>
      <c r="B152" s="1" t="s">
        <v>611</v>
      </c>
      <c r="C152" s="5"/>
      <c r="D152" s="5"/>
      <c r="E152" s="1" t="str">
        <f>IFERROR(__xludf.DUMMYFUNCTION("IFERROR(REGEXEXTRACT(A152, ""res(269|122)""), ""none"")"),"269")</f>
        <v>269</v>
      </c>
      <c r="F152" s="1">
        <v>-17.2643</v>
      </c>
      <c r="G152" s="1">
        <v>7.0</v>
      </c>
      <c r="H152" s="1">
        <v>4.0</v>
      </c>
      <c r="I152" s="1">
        <v>0.285714</v>
      </c>
      <c r="J152" s="1">
        <v>2.0</v>
      </c>
      <c r="K152" s="1">
        <v>-0.594912</v>
      </c>
      <c r="L152" s="1">
        <v>100.0</v>
      </c>
      <c r="M152" s="1">
        <v>0.0</v>
      </c>
      <c r="N152" s="1">
        <v>0.0</v>
      </c>
      <c r="O152" s="1">
        <v>95.426502</v>
      </c>
    </row>
    <row r="153">
      <c r="A153" s="1" t="s">
        <v>354</v>
      </c>
      <c r="B153" s="1" t="s">
        <v>355</v>
      </c>
      <c r="C153" s="5"/>
      <c r="D153" s="5"/>
      <c r="E153" s="1" t="str">
        <f>IFERROR(__xludf.DUMMYFUNCTION("IFERROR(REGEXEXTRACT(A153, ""res(269|122)""), ""none"")"),"269")</f>
        <v>269</v>
      </c>
      <c r="F153" s="1">
        <v>-16.551482</v>
      </c>
      <c r="G153" s="1">
        <v>8.0</v>
      </c>
      <c r="H153" s="1">
        <v>3.0</v>
      </c>
      <c r="I153" s="1">
        <v>0.25</v>
      </c>
      <c r="J153" s="1">
        <v>2.0</v>
      </c>
      <c r="K153" s="1">
        <v>-0.695112</v>
      </c>
      <c r="L153" s="1">
        <v>100.0</v>
      </c>
      <c r="M153" s="1">
        <v>0.0</v>
      </c>
      <c r="N153" s="1">
        <v>0.0</v>
      </c>
      <c r="O153" s="1">
        <v>96.003406</v>
      </c>
    </row>
    <row r="154">
      <c r="A154" s="1" t="s">
        <v>356</v>
      </c>
      <c r="B154" s="1" t="s">
        <v>168</v>
      </c>
      <c r="C154" s="5"/>
      <c r="D154" s="5"/>
      <c r="E154" s="1" t="str">
        <f>IFERROR(__xludf.DUMMYFUNCTION("IFERROR(REGEXEXTRACT(A154, ""res(269|122)""), ""none"")"),"269")</f>
        <v>269</v>
      </c>
      <c r="F154" s="1">
        <v>-16.947939</v>
      </c>
      <c r="G154" s="1">
        <v>7.0</v>
      </c>
      <c r="H154" s="1">
        <v>1.0</v>
      </c>
      <c r="I154" s="1">
        <v>0.285714</v>
      </c>
      <c r="J154" s="1">
        <v>2.0</v>
      </c>
      <c r="K154" s="1">
        <v>-1.26662</v>
      </c>
      <c r="L154" s="1">
        <v>100.0</v>
      </c>
      <c r="M154" s="1">
        <v>0.0</v>
      </c>
      <c r="N154" s="1">
        <v>0.0</v>
      </c>
      <c r="O154" s="1">
        <v>92.071155</v>
      </c>
    </row>
    <row r="155">
      <c r="A155" s="1" t="s">
        <v>612</v>
      </c>
      <c r="B155" s="1" t="s">
        <v>613</v>
      </c>
      <c r="C155" s="5"/>
      <c r="D155" s="5"/>
      <c r="E155" s="1" t="str">
        <f>IFERROR(__xludf.DUMMYFUNCTION("IFERROR(REGEXEXTRACT(A155, ""res(269|122)""), ""none"")"),"269")</f>
        <v>269</v>
      </c>
      <c r="F155" s="1">
        <v>-16.985042</v>
      </c>
      <c r="G155" s="1">
        <v>8.0</v>
      </c>
      <c r="H155" s="1">
        <v>4.0</v>
      </c>
      <c r="I155" s="1">
        <v>0.25</v>
      </c>
      <c r="J155" s="1">
        <v>2.0</v>
      </c>
      <c r="K155" s="1">
        <v>-1.067859</v>
      </c>
      <c r="L155" s="1">
        <v>100.0</v>
      </c>
      <c r="M155" s="1">
        <v>0.0</v>
      </c>
      <c r="N155" s="1">
        <v>0.0</v>
      </c>
      <c r="O155" s="1">
        <v>96.197099</v>
      </c>
    </row>
    <row r="156">
      <c r="A156" s="1" t="s">
        <v>614</v>
      </c>
      <c r="B156" s="1" t="s">
        <v>615</v>
      </c>
      <c r="C156" s="5"/>
      <c r="D156" s="5"/>
      <c r="E156" s="1" t="str">
        <f>IFERROR(__xludf.DUMMYFUNCTION("IFERROR(REGEXEXTRACT(A156, ""res(269|122)""), ""none"")"),"269")</f>
        <v>269</v>
      </c>
      <c r="F156" s="1">
        <v>-15.509211</v>
      </c>
      <c r="G156" s="1">
        <v>9.0</v>
      </c>
      <c r="H156" s="1">
        <v>3.0</v>
      </c>
      <c r="I156" s="1">
        <v>0.333333</v>
      </c>
      <c r="J156" s="1">
        <v>2.0</v>
      </c>
      <c r="K156" s="1">
        <v>-0.596599</v>
      </c>
      <c r="L156" s="1">
        <v>100.0</v>
      </c>
      <c r="M156" s="1">
        <v>0.0</v>
      </c>
      <c r="N156" s="1">
        <v>0.0</v>
      </c>
      <c r="O156" s="1">
        <v>98.227523</v>
      </c>
    </row>
    <row r="157">
      <c r="A157" s="1" t="s">
        <v>616</v>
      </c>
      <c r="B157" s="1" t="s">
        <v>617</v>
      </c>
      <c r="C157" s="5"/>
      <c r="D157" s="5"/>
      <c r="E157" s="1" t="str">
        <f>IFERROR(__xludf.DUMMYFUNCTION("IFERROR(REGEXEXTRACT(A157, ""res(269|122)""), ""none"")"),"269")</f>
        <v>269</v>
      </c>
      <c r="F157" s="1">
        <v>-16.224626</v>
      </c>
      <c r="G157" s="1">
        <v>12.0</v>
      </c>
      <c r="H157" s="1">
        <v>3.0</v>
      </c>
      <c r="I157" s="1">
        <v>0.25</v>
      </c>
      <c r="J157" s="1">
        <v>2.0</v>
      </c>
      <c r="K157" s="1">
        <v>-0.717456</v>
      </c>
      <c r="L157" s="1">
        <v>100.0</v>
      </c>
      <c r="M157" s="1">
        <v>0.0</v>
      </c>
      <c r="N157" s="1">
        <v>0.0</v>
      </c>
      <c r="O157" s="1">
        <v>100.307918</v>
      </c>
    </row>
    <row r="158">
      <c r="A158" s="1" t="s">
        <v>618</v>
      </c>
      <c r="B158" s="1" t="s">
        <v>619</v>
      </c>
      <c r="C158" s="5"/>
      <c r="D158" s="5"/>
      <c r="E158" s="1" t="str">
        <f>IFERROR(__xludf.DUMMYFUNCTION("IFERROR(REGEXEXTRACT(A158, ""res(269|122)""), ""none"")"),"269")</f>
        <v>269</v>
      </c>
      <c r="F158" s="1">
        <v>-15.347144</v>
      </c>
      <c r="G158" s="1">
        <v>8.0</v>
      </c>
      <c r="H158" s="1">
        <v>1.0</v>
      </c>
      <c r="I158" s="1">
        <v>0.375</v>
      </c>
      <c r="J158" s="1">
        <v>2.0</v>
      </c>
      <c r="K158" s="1">
        <v>-1.417512</v>
      </c>
      <c r="L158" s="1">
        <v>100.0</v>
      </c>
      <c r="M158" s="1">
        <v>0.0</v>
      </c>
      <c r="N158" s="1">
        <v>0.0</v>
      </c>
      <c r="O158" s="1">
        <v>94.610344</v>
      </c>
    </row>
    <row r="159">
      <c r="A159" s="1" t="s">
        <v>620</v>
      </c>
      <c r="B159" s="1" t="s">
        <v>621</v>
      </c>
      <c r="C159" s="5"/>
      <c r="D159" s="5"/>
      <c r="E159" s="1" t="str">
        <f>IFERROR(__xludf.DUMMYFUNCTION("IFERROR(REGEXEXTRACT(A159, ""res(269|122)""), ""none"")"),"269")</f>
        <v>269</v>
      </c>
      <c r="F159" s="1">
        <v>-15.969661</v>
      </c>
      <c r="G159" s="1">
        <v>10.0</v>
      </c>
      <c r="H159" s="1">
        <v>2.0</v>
      </c>
      <c r="I159" s="1">
        <v>0.5</v>
      </c>
      <c r="J159" s="1">
        <v>2.0</v>
      </c>
      <c r="K159" s="1">
        <v>-0.737468999999999</v>
      </c>
      <c r="L159" s="1">
        <v>100.0</v>
      </c>
      <c r="M159" s="1">
        <v>0.0</v>
      </c>
      <c r="N159" s="1">
        <v>0.0</v>
      </c>
      <c r="O159" s="1">
        <v>97.79287</v>
      </c>
    </row>
    <row r="160">
      <c r="A160" s="1" t="s">
        <v>622</v>
      </c>
      <c r="B160" s="1" t="s">
        <v>623</v>
      </c>
      <c r="C160" s="5"/>
      <c r="D160" s="5"/>
      <c r="E160" s="1" t="str">
        <f>IFERROR(__xludf.DUMMYFUNCTION("IFERROR(REGEXEXTRACT(A160, ""res(269|122)""), ""none"")"),"269")</f>
        <v>269</v>
      </c>
      <c r="F160" s="1">
        <v>-15.981415</v>
      </c>
      <c r="G160" s="1">
        <v>10.0</v>
      </c>
      <c r="H160" s="1">
        <v>3.0</v>
      </c>
      <c r="I160" s="1">
        <v>0.4</v>
      </c>
      <c r="J160" s="1">
        <v>2.0</v>
      </c>
      <c r="K160" s="1">
        <v>-1.45702499999999</v>
      </c>
      <c r="L160" s="1">
        <v>100.0</v>
      </c>
      <c r="M160" s="1">
        <v>0.0</v>
      </c>
      <c r="N160" s="1">
        <v>0.0</v>
      </c>
      <c r="O160" s="1">
        <v>97.96156</v>
      </c>
    </row>
    <row r="161">
      <c r="A161" s="1" t="s">
        <v>624</v>
      </c>
      <c r="B161" s="1" t="s">
        <v>625</v>
      </c>
      <c r="C161" s="5"/>
      <c r="D161" s="5"/>
      <c r="E161" s="1" t="str">
        <f>IFERROR(__xludf.DUMMYFUNCTION("IFERROR(REGEXEXTRACT(A161, ""res(269|122)""), ""none"")"),"269")</f>
        <v>269</v>
      </c>
      <c r="F161" s="1">
        <v>-15.875838</v>
      </c>
      <c r="G161" s="1">
        <v>7.0</v>
      </c>
      <c r="H161" s="1">
        <v>2.0</v>
      </c>
      <c r="I161" s="1">
        <v>0.285714</v>
      </c>
      <c r="J161" s="1">
        <v>2.0</v>
      </c>
      <c r="K161" s="1">
        <v>-0.561351</v>
      </c>
      <c r="L161" s="1">
        <v>100.0</v>
      </c>
      <c r="M161" s="1">
        <v>0.0</v>
      </c>
      <c r="N161" s="1">
        <v>0.0</v>
      </c>
      <c r="O161" s="1">
        <v>94.848525</v>
      </c>
    </row>
    <row r="162">
      <c r="A162" s="1" t="s">
        <v>626</v>
      </c>
      <c r="B162" s="1" t="s">
        <v>627</v>
      </c>
      <c r="C162" s="5"/>
      <c r="D162" s="5"/>
      <c r="E162" s="1" t="str">
        <f>IFERROR(__xludf.DUMMYFUNCTION("IFERROR(REGEXEXTRACT(A162, ""res(269|122)""), ""none"")"),"269")</f>
        <v>269</v>
      </c>
      <c r="F162" s="1">
        <v>-15.397525</v>
      </c>
      <c r="G162" s="1">
        <v>10.0</v>
      </c>
      <c r="H162" s="1">
        <v>3.0</v>
      </c>
      <c r="I162" s="1">
        <v>0.3</v>
      </c>
      <c r="J162" s="1">
        <v>3.0</v>
      </c>
      <c r="K162" s="1">
        <v>-2.80944</v>
      </c>
      <c r="L162" s="1">
        <v>100.0</v>
      </c>
      <c r="M162" s="1">
        <v>0.0</v>
      </c>
      <c r="N162" s="1">
        <v>0.0</v>
      </c>
      <c r="O162" s="1">
        <v>98.093035</v>
      </c>
    </row>
    <row r="163">
      <c r="A163" s="1" t="s">
        <v>628</v>
      </c>
      <c r="B163" s="1" t="s">
        <v>629</v>
      </c>
      <c r="C163" s="5"/>
      <c r="D163" s="5"/>
      <c r="E163" s="1" t="str">
        <f>IFERROR(__xludf.DUMMYFUNCTION("IFERROR(REGEXEXTRACT(A163, ""res(269|122)""), ""none"")"),"269")</f>
        <v>269</v>
      </c>
      <c r="F163" s="1">
        <v>-18.249974</v>
      </c>
      <c r="G163" s="1">
        <v>7.0</v>
      </c>
      <c r="H163" s="1">
        <v>3.0</v>
      </c>
      <c r="I163" s="1">
        <v>0.285714</v>
      </c>
      <c r="J163" s="1">
        <v>2.0</v>
      </c>
      <c r="K163" s="1">
        <v>-0.785149</v>
      </c>
      <c r="L163" s="1">
        <v>100.0</v>
      </c>
      <c r="M163" s="1">
        <v>0.0</v>
      </c>
      <c r="N163" s="1">
        <v>0.0</v>
      </c>
      <c r="O163" s="1">
        <v>93.250591</v>
      </c>
    </row>
    <row r="164">
      <c r="A164" s="1" t="s">
        <v>630</v>
      </c>
      <c r="B164" s="1" t="s">
        <v>631</v>
      </c>
      <c r="C164" s="5"/>
      <c r="D164" s="5"/>
      <c r="E164" s="1" t="str">
        <f>IFERROR(__xludf.DUMMYFUNCTION("IFERROR(REGEXEXTRACT(A164, ""res(269|122)""), ""none"")"),"269")</f>
        <v>269</v>
      </c>
      <c r="F164" s="1">
        <v>-16.682557</v>
      </c>
      <c r="G164" s="1">
        <v>8.0</v>
      </c>
      <c r="H164" s="1">
        <v>2.0</v>
      </c>
      <c r="I164" s="1">
        <v>0.25</v>
      </c>
      <c r="J164" s="1">
        <v>2.0</v>
      </c>
      <c r="K164" s="1">
        <v>-0.664636</v>
      </c>
      <c r="L164" s="1">
        <v>100.0</v>
      </c>
      <c r="M164" s="1">
        <v>0.0</v>
      </c>
      <c r="N164" s="1">
        <v>0.0</v>
      </c>
      <c r="O164" s="1">
        <v>94.902807</v>
      </c>
    </row>
    <row r="165">
      <c r="A165" s="1" t="s">
        <v>632</v>
      </c>
      <c r="B165" s="1" t="s">
        <v>633</v>
      </c>
      <c r="C165" s="5"/>
      <c r="D165" s="5"/>
      <c r="E165" s="1" t="str">
        <f>IFERROR(__xludf.DUMMYFUNCTION("IFERROR(REGEXEXTRACT(A165, ""res(269|122)""), ""none"")"),"269")</f>
        <v>269</v>
      </c>
      <c r="F165" s="1">
        <v>-16.279523</v>
      </c>
      <c r="G165" s="1">
        <v>9.0</v>
      </c>
      <c r="H165" s="1">
        <v>3.0</v>
      </c>
      <c r="I165" s="1">
        <v>0.333333</v>
      </c>
      <c r="J165" s="1">
        <v>2.0</v>
      </c>
      <c r="K165" s="1">
        <v>-1.390816</v>
      </c>
      <c r="L165" s="1">
        <v>100.0</v>
      </c>
      <c r="M165" s="1">
        <v>0.0</v>
      </c>
      <c r="N165" s="1">
        <v>0.0</v>
      </c>
      <c r="O165" s="1">
        <v>96.662994</v>
      </c>
    </row>
    <row r="166">
      <c r="A166" s="1" t="s">
        <v>357</v>
      </c>
      <c r="B166" s="1" t="s">
        <v>358</v>
      </c>
      <c r="C166" s="5"/>
      <c r="D166" s="5"/>
      <c r="E166" s="1" t="str">
        <f>IFERROR(__xludf.DUMMYFUNCTION("IFERROR(REGEXEXTRACT(A166, ""res(269|122)""), ""none"")"),"269")</f>
        <v>269</v>
      </c>
      <c r="F166" s="1">
        <v>-18.499142</v>
      </c>
      <c r="G166" s="1">
        <v>10.0</v>
      </c>
      <c r="H166" s="1">
        <v>1.0</v>
      </c>
      <c r="I166" s="1">
        <v>0.3</v>
      </c>
      <c r="J166" s="1">
        <v>3.0</v>
      </c>
      <c r="K166" s="1">
        <v>-0.362342</v>
      </c>
      <c r="L166" s="1">
        <v>100.0</v>
      </c>
      <c r="M166" s="1">
        <v>0.0</v>
      </c>
      <c r="N166" s="1">
        <v>0.0</v>
      </c>
      <c r="O166" s="1">
        <v>95.438516</v>
      </c>
    </row>
    <row r="167">
      <c r="A167" s="1" t="s">
        <v>634</v>
      </c>
      <c r="B167" s="1" t="s">
        <v>635</v>
      </c>
      <c r="C167" s="5"/>
      <c r="D167" s="5"/>
      <c r="E167" s="1" t="str">
        <f>IFERROR(__xludf.DUMMYFUNCTION("IFERROR(REGEXEXTRACT(A167, ""res(269|122)""), ""none"")"),"269")</f>
        <v>269</v>
      </c>
      <c r="F167" s="1">
        <v>-15.449765</v>
      </c>
      <c r="G167" s="1">
        <v>12.0</v>
      </c>
      <c r="H167" s="1">
        <v>5.0</v>
      </c>
      <c r="I167" s="1">
        <v>0.333333</v>
      </c>
      <c r="J167" s="1">
        <v>2.0</v>
      </c>
      <c r="K167" s="1">
        <v>-1.438979</v>
      </c>
      <c r="L167" s="1">
        <v>100.0</v>
      </c>
      <c r="M167" s="1">
        <v>0.0</v>
      </c>
      <c r="N167" s="1">
        <v>0.0</v>
      </c>
      <c r="O167" s="1">
        <v>102.444589</v>
      </c>
    </row>
    <row r="168">
      <c r="A168" s="1" t="s">
        <v>359</v>
      </c>
      <c r="B168" s="1" t="s">
        <v>360</v>
      </c>
      <c r="C168" s="5"/>
      <c r="D168" s="5"/>
      <c r="E168" s="1" t="str">
        <f>IFERROR(__xludf.DUMMYFUNCTION("IFERROR(REGEXEXTRACT(A168, ""res(269|122)""), ""none"")"),"269")</f>
        <v>269</v>
      </c>
      <c r="F168" s="1">
        <v>-16.983006</v>
      </c>
      <c r="G168" s="1">
        <v>12.0</v>
      </c>
      <c r="H168" s="1">
        <v>5.0</v>
      </c>
      <c r="I168" s="1">
        <v>0.25</v>
      </c>
      <c r="J168" s="1">
        <v>2.0</v>
      </c>
      <c r="K168" s="1">
        <v>-0.69205</v>
      </c>
      <c r="L168" s="1">
        <v>100.0</v>
      </c>
      <c r="M168" s="1">
        <v>0.0</v>
      </c>
      <c r="N168" s="1">
        <v>0.0</v>
      </c>
      <c r="O168" s="1">
        <v>101.574944</v>
      </c>
    </row>
    <row r="169">
      <c r="A169" s="1" t="s">
        <v>636</v>
      </c>
      <c r="B169" s="1" t="s">
        <v>637</v>
      </c>
      <c r="C169" s="5"/>
      <c r="D169" s="5"/>
      <c r="E169" s="1" t="str">
        <f>IFERROR(__xludf.DUMMYFUNCTION("IFERROR(REGEXEXTRACT(A169, ""res(269|122)""), ""none"")"),"269")</f>
        <v>269</v>
      </c>
      <c r="F169" s="1">
        <v>-15.081811</v>
      </c>
      <c r="G169" s="1">
        <v>10.0</v>
      </c>
      <c r="H169" s="1">
        <v>3.0</v>
      </c>
      <c r="I169" s="1">
        <v>0.3</v>
      </c>
      <c r="J169" s="1">
        <v>2.0</v>
      </c>
      <c r="K169" s="1">
        <v>-0.81487</v>
      </c>
      <c r="L169" s="1">
        <v>100.0</v>
      </c>
      <c r="M169" s="1">
        <v>0.0</v>
      </c>
      <c r="N169" s="1">
        <v>0.0</v>
      </c>
      <c r="O169" s="1">
        <v>99.403319</v>
      </c>
    </row>
    <row r="170">
      <c r="A170" s="1" t="s">
        <v>638</v>
      </c>
      <c r="B170" s="1" t="s">
        <v>639</v>
      </c>
      <c r="C170" s="5"/>
      <c r="D170" s="5"/>
      <c r="E170" s="1" t="str">
        <f>IFERROR(__xludf.DUMMYFUNCTION("IFERROR(REGEXEXTRACT(A170, ""res(269|122)""), ""none"")"),"269")</f>
        <v>269</v>
      </c>
      <c r="F170" s="1">
        <v>-15.039533</v>
      </c>
      <c r="G170" s="1">
        <v>11.0</v>
      </c>
      <c r="H170" s="1">
        <v>2.0</v>
      </c>
      <c r="I170" s="1">
        <v>0.272727</v>
      </c>
      <c r="J170" s="1">
        <v>2.0</v>
      </c>
      <c r="K170" s="1">
        <v>-0.298395</v>
      </c>
      <c r="L170" s="1">
        <v>100.0</v>
      </c>
      <c r="M170" s="1">
        <v>0.0</v>
      </c>
      <c r="N170" s="1">
        <v>0.0</v>
      </c>
      <c r="O170" s="1">
        <v>99.934799</v>
      </c>
    </row>
    <row r="171">
      <c r="A171" s="1" t="s">
        <v>640</v>
      </c>
      <c r="B171" s="1" t="s">
        <v>641</v>
      </c>
      <c r="C171" s="5"/>
      <c r="D171" s="5"/>
      <c r="E171" s="1" t="str">
        <f>IFERROR(__xludf.DUMMYFUNCTION("IFERROR(REGEXEXTRACT(A171, ""res(269|122)""), ""none"")"),"269")</f>
        <v>269</v>
      </c>
      <c r="F171" s="1">
        <v>-16.102788</v>
      </c>
      <c r="G171" s="1">
        <v>7.0</v>
      </c>
      <c r="H171" s="1">
        <v>4.0</v>
      </c>
      <c r="I171" s="1">
        <v>0.285714</v>
      </c>
      <c r="J171" s="1">
        <v>2.0</v>
      </c>
      <c r="K171" s="1">
        <v>-0.534735</v>
      </c>
      <c r="L171" s="1">
        <v>100.0</v>
      </c>
      <c r="M171" s="1">
        <v>0.0</v>
      </c>
      <c r="N171" s="1">
        <v>0.0</v>
      </c>
      <c r="O171" s="1">
        <v>96.648191</v>
      </c>
    </row>
    <row r="172">
      <c r="A172" s="1" t="s">
        <v>642</v>
      </c>
      <c r="B172" s="1" t="s">
        <v>643</v>
      </c>
      <c r="C172" s="5"/>
      <c r="D172" s="5"/>
      <c r="E172" s="1" t="str">
        <f>IFERROR(__xludf.DUMMYFUNCTION("IFERROR(REGEXEXTRACT(A172, ""res(269|122)""), ""none"")"),"269")</f>
        <v>269</v>
      </c>
      <c r="F172" s="1">
        <v>-15.730727</v>
      </c>
      <c r="G172" s="1">
        <v>7.0</v>
      </c>
      <c r="H172" s="1">
        <v>3.0</v>
      </c>
      <c r="I172" s="1">
        <v>0.285714</v>
      </c>
      <c r="J172" s="1">
        <v>2.0</v>
      </c>
      <c r="K172" s="1">
        <v>-0.917975</v>
      </c>
      <c r="L172" s="1">
        <v>100.0</v>
      </c>
      <c r="M172" s="1">
        <v>0.0</v>
      </c>
      <c r="N172" s="1">
        <v>0.0</v>
      </c>
      <c r="O172" s="1">
        <v>95.637012</v>
      </c>
    </row>
    <row r="173">
      <c r="A173" s="1" t="s">
        <v>644</v>
      </c>
      <c r="B173" s="1" t="s">
        <v>645</v>
      </c>
      <c r="C173" s="5"/>
      <c r="D173" s="5"/>
      <c r="E173" s="1" t="str">
        <f>IFERROR(__xludf.DUMMYFUNCTION("IFERROR(REGEXEXTRACT(A173, ""res(269|122)""), ""none"")"),"269")</f>
        <v>269</v>
      </c>
      <c r="F173" s="1">
        <v>-18.238756</v>
      </c>
      <c r="G173" s="1">
        <v>11.0</v>
      </c>
      <c r="H173" s="1">
        <v>2.0</v>
      </c>
      <c r="I173" s="1">
        <v>0.363636</v>
      </c>
      <c r="J173" s="1">
        <v>3.0</v>
      </c>
      <c r="K173" s="1">
        <v>-0.437833</v>
      </c>
      <c r="L173" s="1">
        <v>100.0</v>
      </c>
      <c r="M173" s="1">
        <v>0.0</v>
      </c>
      <c r="N173" s="1">
        <v>0.0</v>
      </c>
      <c r="O173" s="1">
        <v>97.687047</v>
      </c>
    </row>
    <row r="174">
      <c r="A174" s="1" t="s">
        <v>361</v>
      </c>
      <c r="B174" s="1" t="s">
        <v>362</v>
      </c>
      <c r="C174" s="5"/>
      <c r="D174" s="5"/>
      <c r="E174" s="1" t="str">
        <f>IFERROR(__xludf.DUMMYFUNCTION("IFERROR(REGEXEXTRACT(A174, ""res(269|122)""), ""none"")"),"269")</f>
        <v>269</v>
      </c>
      <c r="F174" s="1">
        <v>-15.529597</v>
      </c>
      <c r="G174" s="1">
        <v>9.0</v>
      </c>
      <c r="H174" s="1">
        <v>2.0</v>
      </c>
      <c r="I174" s="1">
        <v>0.444444</v>
      </c>
      <c r="J174" s="1">
        <v>2.0</v>
      </c>
      <c r="K174" s="1">
        <v>-0.986909</v>
      </c>
      <c r="L174" s="1">
        <v>100.0</v>
      </c>
      <c r="M174" s="1">
        <v>0.0</v>
      </c>
      <c r="N174" s="1">
        <v>0.0</v>
      </c>
      <c r="O174" s="1">
        <v>96.927938</v>
      </c>
    </row>
    <row r="175">
      <c r="A175" s="1" t="s">
        <v>646</v>
      </c>
      <c r="B175" s="1" t="s">
        <v>647</v>
      </c>
      <c r="C175" s="5"/>
      <c r="D175" s="5"/>
      <c r="E175" s="1" t="str">
        <f>IFERROR(__xludf.DUMMYFUNCTION("IFERROR(REGEXEXTRACT(A175, ""res(269|122)""), ""none"")"),"269")</f>
        <v>269</v>
      </c>
      <c r="F175" s="1">
        <v>-15.250452</v>
      </c>
      <c r="G175" s="1">
        <v>10.0</v>
      </c>
      <c r="H175" s="1">
        <v>5.0</v>
      </c>
      <c r="I175" s="1">
        <v>0.6</v>
      </c>
      <c r="J175" s="1">
        <v>2.0</v>
      </c>
      <c r="K175" s="1">
        <v>-0.981478</v>
      </c>
      <c r="L175" s="1">
        <v>100.0</v>
      </c>
      <c r="M175" s="1">
        <v>0.0</v>
      </c>
      <c r="N175" s="1">
        <v>0.0</v>
      </c>
      <c r="O175" s="1">
        <v>101.36807</v>
      </c>
    </row>
    <row r="176">
      <c r="A176" s="1" t="s">
        <v>363</v>
      </c>
      <c r="B176" s="1" t="s">
        <v>364</v>
      </c>
      <c r="C176" s="5"/>
      <c r="D176" s="5"/>
      <c r="E176" s="1" t="str">
        <f>IFERROR(__xludf.DUMMYFUNCTION("IFERROR(REGEXEXTRACT(A176, ""res(269|122)""), ""none"")"),"269")</f>
        <v>269</v>
      </c>
      <c r="F176" s="1">
        <v>-16.175959</v>
      </c>
      <c r="G176" s="1">
        <v>9.0</v>
      </c>
      <c r="H176" s="1">
        <v>3.0</v>
      </c>
      <c r="I176" s="1">
        <v>0.333333</v>
      </c>
      <c r="J176" s="1">
        <v>2.0</v>
      </c>
      <c r="K176" s="1">
        <v>-0.314357</v>
      </c>
      <c r="L176" s="1">
        <v>100.0</v>
      </c>
      <c r="M176" s="1">
        <v>0.0</v>
      </c>
      <c r="N176" s="1">
        <v>0.0</v>
      </c>
      <c r="O176" s="1">
        <v>97.843017</v>
      </c>
    </row>
    <row r="177">
      <c r="A177" s="1" t="s">
        <v>648</v>
      </c>
      <c r="B177" s="1" t="s">
        <v>649</v>
      </c>
      <c r="C177" s="5"/>
      <c r="D177" s="5"/>
      <c r="E177" s="1" t="str">
        <f>IFERROR(__xludf.DUMMYFUNCTION("IFERROR(REGEXEXTRACT(A177, ""res(269|122)""), ""none"")"),"269")</f>
        <v>269</v>
      </c>
      <c r="F177" s="1">
        <v>-16.232479</v>
      </c>
      <c r="G177" s="1">
        <v>9.0</v>
      </c>
      <c r="H177" s="1">
        <v>2.0</v>
      </c>
      <c r="I177" s="1">
        <v>0.333333</v>
      </c>
      <c r="J177" s="1">
        <v>2.0</v>
      </c>
      <c r="K177" s="1">
        <v>-0.871795</v>
      </c>
      <c r="L177" s="1">
        <v>100.0</v>
      </c>
      <c r="M177" s="1">
        <v>0.0</v>
      </c>
      <c r="N177" s="1">
        <v>0.0</v>
      </c>
      <c r="O177" s="1">
        <v>96.229059</v>
      </c>
    </row>
    <row r="178">
      <c r="A178" s="1" t="s">
        <v>365</v>
      </c>
      <c r="B178" s="1" t="s">
        <v>366</v>
      </c>
      <c r="C178" s="5"/>
      <c r="D178" s="5"/>
      <c r="E178" s="1" t="str">
        <f>IFERROR(__xludf.DUMMYFUNCTION("IFERROR(REGEXEXTRACT(A178, ""res(269|122)""), ""none"")"),"269")</f>
        <v>269</v>
      </c>
      <c r="F178" s="1">
        <v>-17.343073</v>
      </c>
      <c r="G178" s="1">
        <v>7.0</v>
      </c>
      <c r="H178" s="1">
        <v>2.0</v>
      </c>
      <c r="I178" s="1">
        <v>0.285714</v>
      </c>
      <c r="J178" s="1">
        <v>2.0</v>
      </c>
      <c r="K178" s="1">
        <v>-0.812617</v>
      </c>
      <c r="L178" s="1">
        <v>100.0</v>
      </c>
      <c r="M178" s="1">
        <v>0.0</v>
      </c>
      <c r="N178" s="1">
        <v>0.0</v>
      </c>
      <c r="O178" s="1">
        <v>93.130024</v>
      </c>
    </row>
    <row r="179">
      <c r="A179" s="1" t="s">
        <v>650</v>
      </c>
      <c r="B179" s="1" t="s">
        <v>651</v>
      </c>
      <c r="C179" s="5"/>
      <c r="D179" s="5"/>
      <c r="E179" s="1" t="str">
        <f>IFERROR(__xludf.DUMMYFUNCTION("IFERROR(REGEXEXTRACT(A179, ""res(269|122)""), ""none"")"),"269")</f>
        <v>269</v>
      </c>
      <c r="F179" s="1">
        <v>-15.101642</v>
      </c>
      <c r="G179" s="1">
        <v>8.0</v>
      </c>
      <c r="H179" s="1">
        <v>3.0</v>
      </c>
      <c r="I179" s="1">
        <v>0.25</v>
      </c>
      <c r="J179" s="1">
        <v>2.0</v>
      </c>
      <c r="K179" s="1">
        <v>-0.759632</v>
      </c>
      <c r="L179" s="1">
        <v>100.0</v>
      </c>
      <c r="M179" s="1">
        <v>0.0</v>
      </c>
      <c r="N179" s="1">
        <v>0.0</v>
      </c>
      <c r="O179" s="1">
        <v>97.388726</v>
      </c>
    </row>
    <row r="180">
      <c r="A180" s="1" t="s">
        <v>652</v>
      </c>
      <c r="B180" s="1" t="s">
        <v>653</v>
      </c>
      <c r="C180" s="5"/>
      <c r="D180" s="5"/>
      <c r="E180" s="1" t="str">
        <f>IFERROR(__xludf.DUMMYFUNCTION("IFERROR(REGEXEXTRACT(A180, ""res(269|122)""), ""none"")"),"269")</f>
        <v>269</v>
      </c>
      <c r="F180" s="1">
        <v>-17.123586</v>
      </c>
      <c r="G180" s="1">
        <v>8.0</v>
      </c>
      <c r="H180" s="1">
        <v>2.0</v>
      </c>
      <c r="I180" s="1">
        <v>0.375</v>
      </c>
      <c r="J180" s="1">
        <v>2.0</v>
      </c>
      <c r="K180" s="1">
        <v>-1.047168</v>
      </c>
      <c r="L180" s="1">
        <v>100.0</v>
      </c>
      <c r="M180" s="1">
        <v>0.0</v>
      </c>
      <c r="N180" s="1">
        <v>0.0</v>
      </c>
      <c r="O180" s="1">
        <v>94.204246</v>
      </c>
    </row>
    <row r="181">
      <c r="A181" s="1" t="s">
        <v>654</v>
      </c>
      <c r="B181" s="1" t="s">
        <v>655</v>
      </c>
      <c r="C181" s="5"/>
      <c r="D181" s="5"/>
      <c r="E181" s="1" t="str">
        <f>IFERROR(__xludf.DUMMYFUNCTION("IFERROR(REGEXEXTRACT(A181, ""res(269|122)""), ""none"")"),"269")</f>
        <v>269</v>
      </c>
      <c r="F181" s="1">
        <v>-15.116665</v>
      </c>
      <c r="G181" s="1">
        <v>8.0</v>
      </c>
      <c r="H181" s="1">
        <v>2.0</v>
      </c>
      <c r="I181" s="1">
        <v>0.25</v>
      </c>
      <c r="J181" s="1">
        <v>2.0</v>
      </c>
      <c r="K181" s="1">
        <v>-1.150909</v>
      </c>
      <c r="L181" s="1">
        <v>100.0</v>
      </c>
      <c r="M181" s="1">
        <v>0.0</v>
      </c>
      <c r="N181" s="1">
        <v>0.0</v>
      </c>
      <c r="O181" s="1">
        <v>95.982426</v>
      </c>
    </row>
    <row r="182">
      <c r="A182" s="1" t="s">
        <v>656</v>
      </c>
      <c r="B182" s="1" t="s">
        <v>657</v>
      </c>
      <c r="C182" s="5"/>
      <c r="D182" s="5"/>
      <c r="E182" s="1" t="str">
        <f>IFERROR(__xludf.DUMMYFUNCTION("IFERROR(REGEXEXTRACT(A182, ""res(269|122)""), ""none"")"),"269")</f>
        <v>269</v>
      </c>
      <c r="F182" s="1">
        <v>-15.353643</v>
      </c>
      <c r="G182" s="1">
        <v>9.0</v>
      </c>
      <c r="H182" s="1">
        <v>1.0</v>
      </c>
      <c r="I182" s="1">
        <v>0.333333</v>
      </c>
      <c r="J182" s="1">
        <v>2.0</v>
      </c>
      <c r="K182" s="1">
        <v>-1.274051</v>
      </c>
      <c r="L182" s="1">
        <v>100.0</v>
      </c>
      <c r="M182" s="1">
        <v>0.0</v>
      </c>
      <c r="N182" s="1">
        <v>0.0</v>
      </c>
      <c r="O182" s="1">
        <v>95.705639</v>
      </c>
    </row>
    <row r="183">
      <c r="A183" s="1" t="s">
        <v>658</v>
      </c>
      <c r="B183" s="1" t="s">
        <v>659</v>
      </c>
      <c r="C183" s="5"/>
      <c r="D183" s="5"/>
      <c r="E183" s="1" t="str">
        <f>IFERROR(__xludf.DUMMYFUNCTION("IFERROR(REGEXEXTRACT(A183, ""res(269|122)""), ""none"")"),"269")</f>
        <v>269</v>
      </c>
      <c r="F183" s="1">
        <v>-16.125849</v>
      </c>
      <c r="G183" s="1">
        <v>7.0</v>
      </c>
      <c r="H183" s="1">
        <v>4.0</v>
      </c>
      <c r="I183" s="1">
        <v>0.428571</v>
      </c>
      <c r="J183" s="1">
        <v>2.0</v>
      </c>
      <c r="K183" s="1">
        <v>-0.665465</v>
      </c>
      <c r="L183" s="1">
        <v>100.0</v>
      </c>
      <c r="M183" s="1">
        <v>0.0</v>
      </c>
      <c r="N183" s="1">
        <v>0.0</v>
      </c>
      <c r="O183" s="1">
        <v>96.637257</v>
      </c>
    </row>
    <row r="184">
      <c r="A184" s="1" t="s">
        <v>660</v>
      </c>
      <c r="B184" s="1" t="s">
        <v>661</v>
      </c>
      <c r="C184" s="5"/>
      <c r="D184" s="5"/>
      <c r="E184" s="1" t="str">
        <f>IFERROR(__xludf.DUMMYFUNCTION("IFERROR(REGEXEXTRACT(A184, ""res(269|122)""), ""none"")"),"269")</f>
        <v>269</v>
      </c>
      <c r="F184" s="1">
        <v>-16.253947</v>
      </c>
      <c r="G184" s="1">
        <v>7.0</v>
      </c>
      <c r="H184" s="1">
        <v>4.0</v>
      </c>
      <c r="I184" s="1">
        <v>0.285714</v>
      </c>
      <c r="J184" s="1">
        <v>2.0</v>
      </c>
      <c r="K184" s="1">
        <v>-0.635597</v>
      </c>
      <c r="L184" s="1">
        <v>100.0</v>
      </c>
      <c r="M184" s="1">
        <v>0.0</v>
      </c>
      <c r="N184" s="1">
        <v>0.0</v>
      </c>
      <c r="O184" s="1">
        <v>96.39617</v>
      </c>
    </row>
    <row r="185">
      <c r="A185" s="1" t="s">
        <v>662</v>
      </c>
      <c r="B185" s="1" t="s">
        <v>663</v>
      </c>
      <c r="C185" s="5"/>
      <c r="D185" s="5"/>
      <c r="E185" s="1" t="str">
        <f>IFERROR(__xludf.DUMMYFUNCTION("IFERROR(REGEXEXTRACT(A185, ""res(269|122)""), ""none"")"),"269")</f>
        <v>269</v>
      </c>
      <c r="F185" s="1">
        <v>-15.462274</v>
      </c>
      <c r="G185" s="1">
        <v>8.0</v>
      </c>
      <c r="H185" s="1">
        <v>3.0</v>
      </c>
      <c r="I185" s="1">
        <v>0.25</v>
      </c>
      <c r="J185" s="1">
        <v>2.0</v>
      </c>
      <c r="K185" s="1">
        <v>-0.696577</v>
      </c>
      <c r="L185" s="1">
        <v>100.0</v>
      </c>
      <c r="M185" s="1">
        <v>0.0</v>
      </c>
      <c r="N185" s="1">
        <v>0.0</v>
      </c>
      <c r="O185" s="1">
        <v>97.091149</v>
      </c>
    </row>
    <row r="186">
      <c r="A186" s="1" t="s">
        <v>367</v>
      </c>
      <c r="B186" s="1" t="s">
        <v>368</v>
      </c>
      <c r="C186" s="5"/>
      <c r="D186" s="5"/>
      <c r="E186" s="1" t="str">
        <f>IFERROR(__xludf.DUMMYFUNCTION("IFERROR(REGEXEXTRACT(A186, ""res(269|122)""), ""none"")"),"269")</f>
        <v>269</v>
      </c>
      <c r="F186" s="1">
        <v>-15.840535</v>
      </c>
      <c r="G186" s="1">
        <v>8.0</v>
      </c>
      <c r="H186" s="1">
        <v>3.0</v>
      </c>
      <c r="I186" s="1">
        <v>0.25</v>
      </c>
      <c r="J186" s="1">
        <v>2.0</v>
      </c>
      <c r="K186" s="1">
        <v>-1.102898</v>
      </c>
      <c r="L186" s="1">
        <v>100.0</v>
      </c>
      <c r="M186" s="1">
        <v>0.0</v>
      </c>
      <c r="N186" s="1">
        <v>0.0</v>
      </c>
      <c r="O186" s="1">
        <v>96.306567</v>
      </c>
    </row>
    <row r="187">
      <c r="A187" s="1" t="s">
        <v>664</v>
      </c>
      <c r="B187" s="1" t="s">
        <v>665</v>
      </c>
      <c r="C187" s="5"/>
      <c r="D187" s="5"/>
      <c r="E187" s="1" t="str">
        <f>IFERROR(__xludf.DUMMYFUNCTION("IFERROR(REGEXEXTRACT(A187, ""res(269|122)""), ""none"")"),"269")</f>
        <v>269</v>
      </c>
      <c r="F187" s="1">
        <v>-16.40512</v>
      </c>
      <c r="G187" s="1">
        <v>7.0</v>
      </c>
      <c r="H187" s="1">
        <v>3.0</v>
      </c>
      <c r="I187" s="1">
        <v>0.428571</v>
      </c>
      <c r="J187" s="1">
        <v>2.0</v>
      </c>
      <c r="K187" s="1">
        <v>-0.666266999999999</v>
      </c>
      <c r="L187" s="1">
        <v>100.0</v>
      </c>
      <c r="M187" s="1">
        <v>0.0</v>
      </c>
      <c r="N187" s="1">
        <v>0.0</v>
      </c>
      <c r="O187" s="1">
        <v>95.357184</v>
      </c>
    </row>
    <row r="188">
      <c r="A188" s="1" t="s">
        <v>666</v>
      </c>
      <c r="B188" s="1" t="s">
        <v>667</v>
      </c>
      <c r="C188" s="5"/>
      <c r="D188" s="5"/>
      <c r="E188" s="1" t="str">
        <f>IFERROR(__xludf.DUMMYFUNCTION("IFERROR(REGEXEXTRACT(A188, ""res(269|122)""), ""none"")"),"269")</f>
        <v>269</v>
      </c>
      <c r="F188" s="1">
        <v>-17.584245</v>
      </c>
      <c r="G188" s="1">
        <v>9.0</v>
      </c>
      <c r="H188" s="1">
        <v>3.0</v>
      </c>
      <c r="I188" s="1">
        <v>0.333333</v>
      </c>
      <c r="J188" s="1">
        <v>2.0</v>
      </c>
      <c r="K188" s="1">
        <v>-0.939133</v>
      </c>
      <c r="L188" s="1">
        <v>100.0</v>
      </c>
      <c r="M188" s="1">
        <v>0.0</v>
      </c>
      <c r="N188" s="1">
        <v>0.0</v>
      </c>
      <c r="O188" s="1">
        <v>95.809955</v>
      </c>
    </row>
    <row r="189">
      <c r="A189" s="1" t="s">
        <v>668</v>
      </c>
      <c r="B189" s="1" t="s">
        <v>669</v>
      </c>
      <c r="C189" s="5"/>
      <c r="D189" s="5"/>
      <c r="E189" s="1" t="str">
        <f>IFERROR(__xludf.DUMMYFUNCTION("IFERROR(REGEXEXTRACT(A189, ""res(269|122)""), ""none"")"),"269")</f>
        <v>269</v>
      </c>
      <c r="F189" s="1">
        <v>-16.176007</v>
      </c>
      <c r="G189" s="1">
        <v>7.0</v>
      </c>
      <c r="H189" s="1">
        <v>3.0</v>
      </c>
      <c r="I189" s="1">
        <v>0.285714</v>
      </c>
      <c r="J189" s="1">
        <v>2.0</v>
      </c>
      <c r="K189" s="1">
        <v>-1.054648</v>
      </c>
      <c r="L189" s="1">
        <v>100.0</v>
      </c>
      <c r="M189" s="1">
        <v>0.0</v>
      </c>
      <c r="N189" s="1">
        <v>0.0</v>
      </c>
      <c r="O189" s="1">
        <v>95.055059</v>
      </c>
    </row>
    <row r="190">
      <c r="A190" s="1" t="s">
        <v>670</v>
      </c>
      <c r="B190" s="1" t="s">
        <v>671</v>
      </c>
      <c r="C190" s="5"/>
      <c r="D190" s="5"/>
      <c r="E190" s="1" t="str">
        <f>IFERROR(__xludf.DUMMYFUNCTION("IFERROR(REGEXEXTRACT(A190, ""res(269|122)""), ""none"")"),"269")</f>
        <v>269</v>
      </c>
      <c r="F190" s="1">
        <v>-16.225543</v>
      </c>
      <c r="G190" s="1">
        <v>7.0</v>
      </c>
      <c r="H190" s="1">
        <v>2.0</v>
      </c>
      <c r="I190" s="1">
        <v>0.428571</v>
      </c>
      <c r="J190" s="1">
        <v>2.0</v>
      </c>
      <c r="K190" s="1">
        <v>-0.484107</v>
      </c>
      <c r="L190" s="1">
        <v>100.0</v>
      </c>
      <c r="M190" s="1">
        <v>0.0</v>
      </c>
      <c r="N190" s="1">
        <v>0.0</v>
      </c>
      <c r="O190" s="1">
        <v>94.718921</v>
      </c>
    </row>
    <row r="191">
      <c r="A191" s="1" t="s">
        <v>369</v>
      </c>
      <c r="B191" s="1" t="s">
        <v>370</v>
      </c>
      <c r="C191" s="5"/>
      <c r="D191" s="5"/>
      <c r="E191" s="1" t="str">
        <f>IFERROR(__xludf.DUMMYFUNCTION("IFERROR(REGEXEXTRACT(A191, ""res(269|122)""), ""none"")"),"269")</f>
        <v>269</v>
      </c>
      <c r="F191" s="1">
        <v>-15.34511</v>
      </c>
      <c r="G191" s="1">
        <v>6.0</v>
      </c>
      <c r="H191" s="1">
        <v>3.0</v>
      </c>
      <c r="I191" s="1">
        <v>0.333333</v>
      </c>
      <c r="J191" s="1">
        <v>2.0</v>
      </c>
      <c r="K191" s="1">
        <v>-0.649549</v>
      </c>
      <c r="L191" s="1">
        <v>100.0</v>
      </c>
      <c r="M191" s="1">
        <v>0.0</v>
      </c>
      <c r="N191" s="1">
        <v>0.0</v>
      </c>
      <c r="O191" s="1">
        <v>95.338674</v>
      </c>
    </row>
    <row r="192">
      <c r="A192" s="1" t="s">
        <v>672</v>
      </c>
      <c r="B192" s="1" t="s">
        <v>673</v>
      </c>
      <c r="C192" s="5"/>
      <c r="D192" s="5"/>
      <c r="E192" s="1" t="str">
        <f>IFERROR(__xludf.DUMMYFUNCTION("IFERROR(REGEXEXTRACT(A192, ""res(269|122)""), ""none"")"),"269")</f>
        <v>269</v>
      </c>
      <c r="F192" s="1">
        <v>-15.045702</v>
      </c>
      <c r="G192" s="1">
        <v>7.0</v>
      </c>
      <c r="H192" s="1">
        <v>2.0</v>
      </c>
      <c r="I192" s="1">
        <v>0.428571</v>
      </c>
      <c r="J192" s="1">
        <v>2.0</v>
      </c>
      <c r="K192" s="1">
        <v>-0.145764</v>
      </c>
      <c r="L192" s="1">
        <v>100.0</v>
      </c>
      <c r="M192" s="1">
        <v>0.0</v>
      </c>
      <c r="N192" s="1">
        <v>0.0</v>
      </c>
      <c r="O192" s="1">
        <v>96.237105</v>
      </c>
    </row>
    <row r="193">
      <c r="A193" s="1" t="s">
        <v>674</v>
      </c>
      <c r="B193" s="1" t="s">
        <v>675</v>
      </c>
      <c r="C193" s="5"/>
      <c r="D193" s="5"/>
      <c r="E193" s="1" t="str">
        <f>IFERROR(__xludf.DUMMYFUNCTION("IFERROR(REGEXEXTRACT(A193, ""res(269|122)""), ""none"")"),"269")</f>
        <v>269</v>
      </c>
      <c r="F193" s="1">
        <v>-15.974714</v>
      </c>
      <c r="G193" s="1">
        <v>8.0</v>
      </c>
      <c r="H193" s="1">
        <v>3.0</v>
      </c>
      <c r="I193" s="1">
        <v>0.75</v>
      </c>
      <c r="J193" s="1">
        <v>2.0</v>
      </c>
      <c r="K193" s="1">
        <v>-1.016178</v>
      </c>
      <c r="L193" s="1">
        <v>100.0</v>
      </c>
      <c r="M193" s="1">
        <v>0.0</v>
      </c>
      <c r="N193" s="1">
        <v>0.0</v>
      </c>
      <c r="O193" s="1">
        <v>96.759108</v>
      </c>
    </row>
    <row r="194">
      <c r="A194" s="1" t="s">
        <v>676</v>
      </c>
      <c r="B194" s="1" t="s">
        <v>677</v>
      </c>
      <c r="C194" s="5"/>
      <c r="D194" s="5"/>
      <c r="E194" s="1" t="str">
        <f>IFERROR(__xludf.DUMMYFUNCTION("IFERROR(REGEXEXTRACT(A194, ""res(269|122)""), ""none"")"),"269")</f>
        <v>269</v>
      </c>
      <c r="F194" s="1">
        <v>-16.160059</v>
      </c>
      <c r="G194" s="1">
        <v>8.0</v>
      </c>
      <c r="H194" s="1">
        <v>4.0</v>
      </c>
      <c r="I194" s="1">
        <v>0.25</v>
      </c>
      <c r="J194" s="1">
        <v>2.0</v>
      </c>
      <c r="K194" s="1">
        <v>-0.878462</v>
      </c>
      <c r="L194" s="1">
        <v>100.0</v>
      </c>
      <c r="M194" s="1">
        <v>0.0</v>
      </c>
      <c r="N194" s="1">
        <v>0.0</v>
      </c>
      <c r="O194" s="1">
        <v>97.211479</v>
      </c>
    </row>
    <row r="195">
      <c r="A195" s="1" t="s">
        <v>371</v>
      </c>
      <c r="B195" s="1" t="s">
        <v>372</v>
      </c>
      <c r="C195" s="5"/>
      <c r="D195" s="5"/>
      <c r="E195" s="1" t="str">
        <f>IFERROR(__xludf.DUMMYFUNCTION("IFERROR(REGEXEXTRACT(A195, ""res(269|122)""), ""none"")"),"269")</f>
        <v>269</v>
      </c>
      <c r="F195" s="1">
        <v>-15.869256</v>
      </c>
      <c r="G195" s="1">
        <v>7.0</v>
      </c>
      <c r="H195" s="1">
        <v>2.0</v>
      </c>
      <c r="I195" s="1">
        <v>0.428571</v>
      </c>
      <c r="J195" s="1">
        <v>3.0</v>
      </c>
      <c r="K195" s="1">
        <v>-2.176816</v>
      </c>
      <c r="L195" s="1">
        <v>100.0</v>
      </c>
      <c r="M195" s="1">
        <v>0.0</v>
      </c>
      <c r="N195" s="1">
        <v>0.0</v>
      </c>
      <c r="O195" s="1">
        <v>94.382499</v>
      </c>
    </row>
    <row r="196">
      <c r="A196" s="1" t="s">
        <v>678</v>
      </c>
      <c r="B196" s="1" t="s">
        <v>679</v>
      </c>
      <c r="C196" s="5"/>
      <c r="D196" s="5"/>
      <c r="E196" s="1" t="str">
        <f>IFERROR(__xludf.DUMMYFUNCTION("IFERROR(REGEXEXTRACT(A196, ""res(269|122)""), ""none"")"),"269")</f>
        <v>269</v>
      </c>
      <c r="F196" s="1">
        <v>-18.272222</v>
      </c>
      <c r="G196" s="1">
        <v>10.0</v>
      </c>
      <c r="H196" s="1">
        <v>5.0</v>
      </c>
      <c r="I196" s="1">
        <v>0.3</v>
      </c>
      <c r="J196" s="1">
        <v>2.0</v>
      </c>
      <c r="K196" s="1">
        <v>-0.405121</v>
      </c>
      <c r="L196" s="1">
        <v>100.0</v>
      </c>
      <c r="M196" s="1">
        <v>0.0</v>
      </c>
      <c r="N196" s="1">
        <v>0.0</v>
      </c>
      <c r="O196" s="1">
        <v>98.622657</v>
      </c>
    </row>
    <row r="197">
      <c r="A197" s="1" t="s">
        <v>680</v>
      </c>
      <c r="B197" s="1" t="s">
        <v>681</v>
      </c>
      <c r="C197" s="5"/>
      <c r="D197" s="5"/>
      <c r="E197" s="1" t="str">
        <f>IFERROR(__xludf.DUMMYFUNCTION("IFERROR(REGEXEXTRACT(A197, ""res(269|122)""), ""none"")"),"269")</f>
        <v>269</v>
      </c>
      <c r="F197" s="1">
        <v>-15.01485</v>
      </c>
      <c r="G197" s="1">
        <v>10.0</v>
      </c>
      <c r="H197" s="1">
        <v>2.0</v>
      </c>
      <c r="I197" s="1">
        <v>0.3</v>
      </c>
      <c r="J197" s="1">
        <v>2.0</v>
      </c>
      <c r="K197" s="1">
        <v>-1.104749</v>
      </c>
      <c r="L197" s="1">
        <v>100.0</v>
      </c>
      <c r="M197" s="1">
        <v>0.0</v>
      </c>
      <c r="N197" s="1">
        <v>0.0</v>
      </c>
      <c r="O197" s="1">
        <v>98.180401</v>
      </c>
    </row>
    <row r="198">
      <c r="A198" s="1" t="s">
        <v>682</v>
      </c>
      <c r="B198" s="1" t="s">
        <v>683</v>
      </c>
      <c r="C198" s="5"/>
      <c r="D198" s="5"/>
      <c r="E198" s="1" t="str">
        <f>IFERROR(__xludf.DUMMYFUNCTION("IFERROR(REGEXEXTRACT(A198, ""res(269|122)""), ""none"")"),"269")</f>
        <v>269</v>
      </c>
      <c r="F198" s="1">
        <v>-15.989297</v>
      </c>
      <c r="G198" s="1">
        <v>11.0</v>
      </c>
      <c r="H198" s="1">
        <v>5.0</v>
      </c>
      <c r="I198" s="1">
        <v>0.272727</v>
      </c>
      <c r="J198" s="1">
        <v>2.0</v>
      </c>
      <c r="K198" s="1">
        <v>-1.369641</v>
      </c>
      <c r="L198" s="1">
        <v>100.0</v>
      </c>
      <c r="M198" s="1">
        <v>0.0</v>
      </c>
      <c r="N198" s="1">
        <v>0.0</v>
      </c>
      <c r="O198" s="1">
        <v>100.913789</v>
      </c>
    </row>
    <row r="199">
      <c r="A199" s="1" t="s">
        <v>684</v>
      </c>
      <c r="B199" s="1" t="s">
        <v>685</v>
      </c>
      <c r="C199" s="5"/>
      <c r="D199" s="5"/>
      <c r="E199" s="1" t="str">
        <f>IFERROR(__xludf.DUMMYFUNCTION("IFERROR(REGEXEXTRACT(A199, ""res(269|122)""), ""none"")"),"269")</f>
        <v>269</v>
      </c>
      <c r="F199" s="1">
        <v>-15.306522</v>
      </c>
      <c r="G199" s="1">
        <v>6.0</v>
      </c>
      <c r="H199" s="1">
        <v>3.0</v>
      </c>
      <c r="I199" s="1">
        <v>0.333333</v>
      </c>
      <c r="J199" s="1">
        <v>2.0</v>
      </c>
      <c r="K199" s="1">
        <v>-0.742594</v>
      </c>
      <c r="L199" s="1">
        <v>100.0</v>
      </c>
      <c r="M199" s="1">
        <v>0.0</v>
      </c>
      <c r="N199" s="1">
        <v>0.0</v>
      </c>
      <c r="O199" s="1">
        <v>95.284217</v>
      </c>
    </row>
    <row r="200">
      <c r="A200" s="1" t="s">
        <v>686</v>
      </c>
      <c r="B200" s="1" t="s">
        <v>687</v>
      </c>
      <c r="C200" s="5"/>
      <c r="D200" s="5"/>
      <c r="E200" s="1" t="str">
        <f>IFERROR(__xludf.DUMMYFUNCTION("IFERROR(REGEXEXTRACT(A200, ""res(269|122)""), ""none"")"),"269")</f>
        <v>269</v>
      </c>
      <c r="F200" s="1">
        <v>-15.475451</v>
      </c>
      <c r="G200" s="1">
        <v>7.0</v>
      </c>
      <c r="H200" s="1">
        <v>3.0</v>
      </c>
      <c r="I200" s="1">
        <v>0.285714</v>
      </c>
      <c r="J200" s="1">
        <v>2.0</v>
      </c>
      <c r="K200" s="1">
        <v>-0.691715</v>
      </c>
      <c r="L200" s="1">
        <v>100.0</v>
      </c>
      <c r="M200" s="1">
        <v>0.0</v>
      </c>
      <c r="N200" s="1">
        <v>0.0</v>
      </c>
      <c r="O200" s="1">
        <v>96.118548</v>
      </c>
    </row>
    <row r="201">
      <c r="A201" s="1" t="s">
        <v>688</v>
      </c>
      <c r="B201" s="1" t="s">
        <v>689</v>
      </c>
      <c r="C201" s="5"/>
      <c r="D201" s="5"/>
      <c r="E201" s="1" t="str">
        <f>IFERROR(__xludf.DUMMYFUNCTION("IFERROR(REGEXEXTRACT(A201, ""res(269|122)""), ""none"")"),"269")</f>
        <v>269</v>
      </c>
      <c r="F201" s="1">
        <v>-15.264499</v>
      </c>
      <c r="G201" s="1">
        <v>8.0</v>
      </c>
      <c r="H201" s="1">
        <v>4.0</v>
      </c>
      <c r="I201" s="1">
        <v>0.25</v>
      </c>
      <c r="J201" s="1">
        <v>3.0</v>
      </c>
      <c r="K201" s="1">
        <v>-2.824081</v>
      </c>
      <c r="L201" s="1">
        <v>100.0</v>
      </c>
      <c r="M201" s="1">
        <v>0.0</v>
      </c>
      <c r="N201" s="1">
        <v>0.0</v>
      </c>
      <c r="O201" s="1">
        <v>97.16142</v>
      </c>
    </row>
    <row r="202">
      <c r="A202" s="1" t="s">
        <v>690</v>
      </c>
      <c r="B202" s="1" t="s">
        <v>691</v>
      </c>
      <c r="C202" s="5"/>
      <c r="D202" s="5"/>
      <c r="E202" s="1" t="str">
        <f>IFERROR(__xludf.DUMMYFUNCTION("IFERROR(REGEXEXTRACT(A202, ""res(269|122)""), ""none"")"),"269")</f>
        <v>269</v>
      </c>
      <c r="F202" s="1">
        <v>-17.916145</v>
      </c>
      <c r="G202" s="1">
        <v>7.0</v>
      </c>
      <c r="H202" s="1">
        <v>3.0</v>
      </c>
      <c r="I202" s="1">
        <v>0.285714</v>
      </c>
      <c r="J202" s="1">
        <v>2.0</v>
      </c>
      <c r="K202" s="1">
        <v>-0.498345</v>
      </c>
      <c r="L202" s="1">
        <v>100.0</v>
      </c>
      <c r="M202" s="1">
        <v>0.0</v>
      </c>
      <c r="N202" s="1">
        <v>0.0</v>
      </c>
      <c r="O202" s="1">
        <v>93.871224</v>
      </c>
    </row>
    <row r="203">
      <c r="A203" s="1" t="s">
        <v>692</v>
      </c>
      <c r="B203" s="1" t="s">
        <v>693</v>
      </c>
      <c r="C203" s="5"/>
      <c r="D203" s="5"/>
      <c r="E203" s="1" t="str">
        <f>IFERROR(__xludf.DUMMYFUNCTION("IFERROR(REGEXEXTRACT(A203, ""res(269|122)""), ""none"")"),"269")</f>
        <v>269</v>
      </c>
      <c r="F203" s="1">
        <v>-17.862429</v>
      </c>
      <c r="G203" s="1">
        <v>7.0</v>
      </c>
      <c r="H203" s="1">
        <v>2.0</v>
      </c>
      <c r="I203" s="1">
        <v>0.428571</v>
      </c>
      <c r="J203" s="1">
        <v>2.0</v>
      </c>
      <c r="K203" s="1">
        <v>-1.010229</v>
      </c>
      <c r="L203" s="1">
        <v>100.0</v>
      </c>
      <c r="M203" s="1">
        <v>0.0</v>
      </c>
      <c r="N203" s="1">
        <v>0.0</v>
      </c>
      <c r="O203" s="1">
        <v>92.555913</v>
      </c>
    </row>
    <row r="204">
      <c r="A204" s="1" t="s">
        <v>694</v>
      </c>
      <c r="B204" s="1" t="s">
        <v>695</v>
      </c>
      <c r="C204" s="5"/>
      <c r="D204" s="5"/>
      <c r="E204" s="1" t="str">
        <f>IFERROR(__xludf.DUMMYFUNCTION("IFERROR(REGEXEXTRACT(A204, ""res(269|122)""), ""none"")"),"269")</f>
        <v>269</v>
      </c>
      <c r="F204" s="1">
        <v>-17.2393</v>
      </c>
      <c r="G204" s="1">
        <v>10.0</v>
      </c>
      <c r="H204" s="1">
        <v>2.0</v>
      </c>
      <c r="I204" s="1">
        <v>0.4</v>
      </c>
      <c r="J204" s="1">
        <v>2.0</v>
      </c>
      <c r="K204" s="1">
        <v>-0.929713</v>
      </c>
      <c r="L204" s="1">
        <v>100.0</v>
      </c>
      <c r="M204" s="1">
        <v>0.0</v>
      </c>
      <c r="N204" s="1">
        <v>0.0</v>
      </c>
      <c r="O204" s="1">
        <v>96.230987</v>
      </c>
    </row>
    <row r="205">
      <c r="A205" s="1" t="s">
        <v>696</v>
      </c>
      <c r="B205" s="1" t="s">
        <v>697</v>
      </c>
      <c r="C205" s="5"/>
      <c r="D205" s="5"/>
      <c r="E205" s="1" t="str">
        <f>IFERROR(__xludf.DUMMYFUNCTION("IFERROR(REGEXEXTRACT(A205, ""res(269|122)""), ""none"")"),"269")</f>
        <v>269</v>
      </c>
      <c r="F205" s="1">
        <v>-15.670032</v>
      </c>
      <c r="G205" s="1">
        <v>9.0</v>
      </c>
      <c r="H205" s="1">
        <v>2.0</v>
      </c>
      <c r="I205" s="1">
        <v>0.333333</v>
      </c>
      <c r="J205" s="1">
        <v>3.0</v>
      </c>
      <c r="K205" s="1">
        <v>-2.085592</v>
      </c>
      <c r="L205" s="1">
        <v>100.0</v>
      </c>
      <c r="M205" s="1">
        <v>0.0</v>
      </c>
      <c r="N205" s="1">
        <v>0.0</v>
      </c>
      <c r="O205" s="1">
        <v>96.577709</v>
      </c>
    </row>
    <row r="206">
      <c r="A206" s="1" t="s">
        <v>698</v>
      </c>
      <c r="B206" s="1" t="s">
        <v>699</v>
      </c>
      <c r="C206" s="5"/>
      <c r="D206" s="5"/>
      <c r="E206" s="1" t="str">
        <f>IFERROR(__xludf.DUMMYFUNCTION("IFERROR(REGEXEXTRACT(A206, ""res(269|122)""), ""none"")"),"269")</f>
        <v>269</v>
      </c>
      <c r="F206" s="1">
        <v>-16.41529</v>
      </c>
      <c r="G206" s="1">
        <v>11.0</v>
      </c>
      <c r="H206" s="1">
        <v>3.0</v>
      </c>
      <c r="I206" s="1">
        <v>0.272727</v>
      </c>
      <c r="J206" s="1">
        <v>2.0</v>
      </c>
      <c r="K206" s="1">
        <v>-1.249983</v>
      </c>
      <c r="L206" s="1">
        <v>100.0</v>
      </c>
      <c r="M206" s="1">
        <v>0.0</v>
      </c>
      <c r="N206" s="1">
        <v>0.0</v>
      </c>
      <c r="O206" s="1">
        <v>98.607454</v>
      </c>
    </row>
    <row r="207">
      <c r="A207" s="1" t="s">
        <v>700</v>
      </c>
      <c r="B207" s="1" t="s">
        <v>701</v>
      </c>
      <c r="C207" s="5"/>
      <c r="D207" s="5"/>
      <c r="E207" s="1" t="str">
        <f>IFERROR(__xludf.DUMMYFUNCTION("IFERROR(REGEXEXTRACT(A207, ""res(269|122)""), ""none"")"),"269")</f>
        <v>269</v>
      </c>
      <c r="F207" s="1">
        <v>-17.405701</v>
      </c>
      <c r="G207" s="1">
        <v>8.0</v>
      </c>
      <c r="H207" s="1">
        <v>3.0</v>
      </c>
      <c r="I207" s="1">
        <v>0.25</v>
      </c>
      <c r="J207" s="1">
        <v>2.0</v>
      </c>
      <c r="K207" s="1">
        <v>-0.784250999999999</v>
      </c>
      <c r="L207" s="1">
        <v>100.0</v>
      </c>
      <c r="M207" s="1">
        <v>0.0</v>
      </c>
      <c r="N207" s="1">
        <v>0.0</v>
      </c>
      <c r="O207" s="1">
        <v>95.060048</v>
      </c>
    </row>
    <row r="208">
      <c r="A208" s="1" t="s">
        <v>702</v>
      </c>
      <c r="B208" s="1" t="s">
        <v>703</v>
      </c>
      <c r="C208" s="5"/>
      <c r="D208" s="5"/>
      <c r="E208" s="1" t="str">
        <f>IFERROR(__xludf.DUMMYFUNCTION("IFERROR(REGEXEXTRACT(A208, ""res(269|122)""), ""none"")"),"269")</f>
        <v>269</v>
      </c>
      <c r="F208" s="1">
        <v>-15.051101</v>
      </c>
      <c r="G208" s="1">
        <v>7.0</v>
      </c>
      <c r="H208" s="1">
        <v>1.0</v>
      </c>
      <c r="I208" s="1">
        <v>0.285714</v>
      </c>
      <c r="J208" s="1">
        <v>2.0</v>
      </c>
      <c r="K208" s="1">
        <v>-1.221512</v>
      </c>
      <c r="L208" s="1">
        <v>100.0</v>
      </c>
      <c r="M208" s="1">
        <v>0.0</v>
      </c>
      <c r="N208" s="1">
        <v>0.0</v>
      </c>
      <c r="O208" s="1">
        <v>94.013101</v>
      </c>
    </row>
    <row r="209">
      <c r="A209" s="1" t="s">
        <v>373</v>
      </c>
      <c r="B209" s="1" t="s">
        <v>171</v>
      </c>
      <c r="C209" s="5"/>
      <c r="D209" s="5"/>
      <c r="E209" s="1" t="str">
        <f>IFERROR(__xludf.DUMMYFUNCTION("IFERROR(REGEXEXTRACT(A209, ""res(269|122)""), ""none"")"),"269")</f>
        <v>269</v>
      </c>
      <c r="F209" s="1">
        <v>-16.284917</v>
      </c>
      <c r="G209" s="1">
        <v>8.0</v>
      </c>
      <c r="H209" s="1">
        <v>5.0</v>
      </c>
      <c r="I209" s="1">
        <v>0.25</v>
      </c>
      <c r="J209" s="1">
        <v>2.0</v>
      </c>
      <c r="K209" s="1">
        <v>-1.566179</v>
      </c>
      <c r="L209" s="1">
        <v>100.0</v>
      </c>
      <c r="M209" s="1">
        <v>0.0</v>
      </c>
      <c r="N209" s="1">
        <v>0.0</v>
      </c>
      <c r="O209" s="1">
        <v>97.398904</v>
      </c>
    </row>
    <row r="210">
      <c r="A210" s="1" t="s">
        <v>704</v>
      </c>
      <c r="B210" s="1" t="s">
        <v>705</v>
      </c>
      <c r="C210" s="5"/>
      <c r="D210" s="5"/>
      <c r="E210" s="1" t="str">
        <f>IFERROR(__xludf.DUMMYFUNCTION("IFERROR(REGEXEXTRACT(A210, ""res(269|122)""), ""none"")"),"269")</f>
        <v>269</v>
      </c>
      <c r="F210" s="1">
        <v>-15.372243</v>
      </c>
      <c r="G210" s="1">
        <v>9.0</v>
      </c>
      <c r="H210" s="1">
        <v>3.0</v>
      </c>
      <c r="I210" s="1">
        <v>0.444444</v>
      </c>
      <c r="J210" s="1">
        <v>2.0</v>
      </c>
      <c r="K210" s="1">
        <v>-0.654994</v>
      </c>
      <c r="L210" s="1">
        <v>100.0</v>
      </c>
      <c r="M210" s="1">
        <v>0.0</v>
      </c>
      <c r="N210" s="1">
        <v>0.0</v>
      </c>
      <c r="O210" s="1">
        <v>98.417207</v>
      </c>
    </row>
    <row r="211">
      <c r="A211" s="1" t="s">
        <v>706</v>
      </c>
      <c r="B211" s="1" t="s">
        <v>707</v>
      </c>
      <c r="C211" s="5"/>
      <c r="D211" s="5"/>
      <c r="E211" s="1" t="str">
        <f>IFERROR(__xludf.DUMMYFUNCTION("IFERROR(REGEXEXTRACT(A211, ""res(269|122)""), ""none"")"),"269")</f>
        <v>269</v>
      </c>
      <c r="F211" s="1">
        <v>-15.595989</v>
      </c>
      <c r="G211" s="1">
        <v>6.0</v>
      </c>
      <c r="H211" s="1">
        <v>2.0</v>
      </c>
      <c r="I211" s="1">
        <v>0.333333</v>
      </c>
      <c r="J211" s="1">
        <v>2.0</v>
      </c>
      <c r="K211" s="1">
        <v>-1.006767</v>
      </c>
      <c r="L211" s="1">
        <v>100.0</v>
      </c>
      <c r="M211" s="1">
        <v>0.0</v>
      </c>
      <c r="N211" s="1">
        <v>0.0</v>
      </c>
      <c r="O211" s="1">
        <v>93.730577</v>
      </c>
    </row>
    <row r="212">
      <c r="A212" s="1" t="s">
        <v>708</v>
      </c>
      <c r="B212" s="1" t="s">
        <v>709</v>
      </c>
      <c r="C212" s="5"/>
      <c r="D212" s="5"/>
      <c r="E212" s="1" t="str">
        <f>IFERROR(__xludf.DUMMYFUNCTION("IFERROR(REGEXEXTRACT(A212, ""res(269|122)""), ""none"")"),"269")</f>
        <v>269</v>
      </c>
      <c r="F212" s="1">
        <v>-15.472997</v>
      </c>
      <c r="G212" s="1">
        <v>12.0</v>
      </c>
      <c r="H212" s="1">
        <v>3.0</v>
      </c>
      <c r="I212" s="1">
        <v>0.25</v>
      </c>
      <c r="J212" s="1">
        <v>2.0</v>
      </c>
      <c r="K212" s="1">
        <v>-1.558156</v>
      </c>
      <c r="L212" s="1">
        <v>100.0</v>
      </c>
      <c r="M212" s="1">
        <v>0.0</v>
      </c>
      <c r="N212" s="1">
        <v>0.0</v>
      </c>
      <c r="O212" s="1">
        <v>100.218847</v>
      </c>
    </row>
    <row r="213">
      <c r="A213" s="1" t="s">
        <v>710</v>
      </c>
      <c r="B213" s="1" t="s">
        <v>711</v>
      </c>
      <c r="C213" s="5"/>
      <c r="D213" s="5"/>
      <c r="E213" s="1" t="str">
        <f>IFERROR(__xludf.DUMMYFUNCTION("IFERROR(REGEXEXTRACT(A213, ""res(269|122)""), ""none"")"),"269")</f>
        <v>269</v>
      </c>
      <c r="F213" s="1">
        <v>-15.848889</v>
      </c>
      <c r="G213" s="1">
        <v>9.0</v>
      </c>
      <c r="H213" s="1">
        <v>2.0</v>
      </c>
      <c r="I213" s="1">
        <v>0.444444</v>
      </c>
      <c r="J213" s="1">
        <v>2.0</v>
      </c>
      <c r="K213" s="1">
        <v>-0.821315</v>
      </c>
      <c r="L213" s="1">
        <v>100.0</v>
      </c>
      <c r="M213" s="1">
        <v>0.0</v>
      </c>
      <c r="N213" s="1">
        <v>0.0</v>
      </c>
      <c r="O213" s="1">
        <v>96.77424</v>
      </c>
    </row>
    <row r="214">
      <c r="A214" s="1" t="s">
        <v>712</v>
      </c>
      <c r="B214" s="1" t="s">
        <v>713</v>
      </c>
      <c r="C214" s="5"/>
      <c r="D214" s="5"/>
      <c r="E214" s="1" t="str">
        <f>IFERROR(__xludf.DUMMYFUNCTION("IFERROR(REGEXEXTRACT(A214, ""res(269|122)""), ""none"")"),"269")</f>
        <v>269</v>
      </c>
      <c r="F214" s="1">
        <v>-15.465539</v>
      </c>
      <c r="G214" s="1">
        <v>10.0</v>
      </c>
      <c r="H214" s="1">
        <v>2.0</v>
      </c>
      <c r="I214" s="1">
        <v>0.3</v>
      </c>
      <c r="J214" s="1">
        <v>2.0</v>
      </c>
      <c r="K214" s="1">
        <v>-0.744564999999999</v>
      </c>
      <c r="L214" s="1">
        <v>100.0</v>
      </c>
      <c r="M214" s="1">
        <v>0.0</v>
      </c>
      <c r="N214" s="1">
        <v>0.0</v>
      </c>
      <c r="O214" s="1">
        <v>98.089896</v>
      </c>
    </row>
    <row r="215">
      <c r="A215" s="1" t="s">
        <v>714</v>
      </c>
      <c r="B215" s="1" t="s">
        <v>715</v>
      </c>
      <c r="C215" s="5"/>
      <c r="D215" s="5"/>
      <c r="E215" s="1" t="str">
        <f>IFERROR(__xludf.DUMMYFUNCTION("IFERROR(REGEXEXTRACT(A215, ""res(269|122)""), ""none"")"),"269")</f>
        <v>269</v>
      </c>
      <c r="F215" s="1">
        <v>-15.548246</v>
      </c>
      <c r="G215" s="1">
        <v>7.0</v>
      </c>
      <c r="H215" s="1">
        <v>3.0</v>
      </c>
      <c r="I215" s="1">
        <v>0.285714</v>
      </c>
      <c r="J215" s="1">
        <v>2.0</v>
      </c>
      <c r="K215" s="1">
        <v>-0.82711</v>
      </c>
      <c r="L215" s="1">
        <v>100.0</v>
      </c>
      <c r="M215" s="1">
        <v>0.0</v>
      </c>
      <c r="N215" s="1">
        <v>0.0</v>
      </c>
      <c r="O215" s="1">
        <v>95.910358</v>
      </c>
    </row>
    <row r="216">
      <c r="A216" s="1" t="s">
        <v>716</v>
      </c>
      <c r="B216" s="1" t="s">
        <v>717</v>
      </c>
      <c r="C216" s="5"/>
      <c r="D216" s="5"/>
      <c r="E216" s="1" t="str">
        <f>IFERROR(__xludf.DUMMYFUNCTION("IFERROR(REGEXEXTRACT(A216, ""res(269|122)""), ""none"")"),"269")</f>
        <v>269</v>
      </c>
      <c r="F216" s="1">
        <v>-15.47809</v>
      </c>
      <c r="G216" s="1">
        <v>7.0</v>
      </c>
      <c r="H216" s="1">
        <v>2.0</v>
      </c>
      <c r="I216" s="1">
        <v>0.285714</v>
      </c>
      <c r="J216" s="1">
        <v>2.0</v>
      </c>
      <c r="K216" s="1">
        <v>-1.032518</v>
      </c>
      <c r="L216" s="1">
        <v>100.0</v>
      </c>
      <c r="M216" s="1">
        <v>0.0</v>
      </c>
      <c r="N216" s="1">
        <v>0.0</v>
      </c>
      <c r="O216" s="1">
        <v>94.775106</v>
      </c>
    </row>
    <row r="217">
      <c r="A217" s="1" t="s">
        <v>718</v>
      </c>
      <c r="B217" s="1" t="s">
        <v>719</v>
      </c>
      <c r="C217" s="5"/>
      <c r="D217" s="5"/>
      <c r="E217" s="1" t="str">
        <f>IFERROR(__xludf.DUMMYFUNCTION("IFERROR(REGEXEXTRACT(A217, ""res(269|122)""), ""none"")"),"269")</f>
        <v>269</v>
      </c>
      <c r="F217" s="1">
        <v>-16.063302</v>
      </c>
      <c r="G217" s="1">
        <v>7.0</v>
      </c>
      <c r="H217" s="1">
        <v>3.0</v>
      </c>
      <c r="I217" s="1">
        <v>0.428571</v>
      </c>
      <c r="J217" s="1">
        <v>2.0</v>
      </c>
      <c r="K217" s="1">
        <v>-0.987857</v>
      </c>
      <c r="L217" s="1">
        <v>100.0</v>
      </c>
      <c r="M217" s="1">
        <v>0.0</v>
      </c>
      <c r="N217" s="1">
        <v>0.0</v>
      </c>
      <c r="O217" s="1">
        <v>95.377412</v>
      </c>
    </row>
    <row r="218">
      <c r="A218" s="1" t="s">
        <v>720</v>
      </c>
      <c r="B218" s="1" t="s">
        <v>721</v>
      </c>
      <c r="C218" s="5"/>
      <c r="D218" s="5"/>
      <c r="E218" s="1" t="str">
        <f>IFERROR(__xludf.DUMMYFUNCTION("IFERROR(REGEXEXTRACT(A218, ""res(269|122)""), ""none"")"),"269")</f>
        <v>269</v>
      </c>
      <c r="F218" s="1">
        <v>-16.896992</v>
      </c>
      <c r="G218" s="1">
        <v>8.0</v>
      </c>
      <c r="H218" s="1">
        <v>3.0</v>
      </c>
      <c r="I218" s="1">
        <v>0.25</v>
      </c>
      <c r="J218" s="1">
        <v>2.0</v>
      </c>
      <c r="K218" s="1">
        <v>-0.288931</v>
      </c>
      <c r="L218" s="1">
        <v>100.0</v>
      </c>
      <c r="M218" s="1">
        <v>0.0</v>
      </c>
      <c r="N218" s="1">
        <v>0.0</v>
      </c>
      <c r="O218" s="1">
        <v>96.064077</v>
      </c>
    </row>
    <row r="219">
      <c r="A219" s="1" t="s">
        <v>722</v>
      </c>
      <c r="B219" s="1" t="s">
        <v>723</v>
      </c>
      <c r="C219" s="5"/>
      <c r="D219" s="5"/>
      <c r="E219" s="1" t="str">
        <f>IFERROR(__xludf.DUMMYFUNCTION("IFERROR(REGEXEXTRACT(A219, ""res(269|122)""), ""none"")"),"269")</f>
        <v>269</v>
      </c>
      <c r="F219" s="1">
        <v>-15.57465</v>
      </c>
      <c r="G219" s="1">
        <v>10.0</v>
      </c>
      <c r="H219" s="1">
        <v>5.0</v>
      </c>
      <c r="I219" s="1">
        <v>0.4</v>
      </c>
      <c r="J219" s="1">
        <v>2.0</v>
      </c>
      <c r="K219" s="1">
        <v>-0.60161</v>
      </c>
      <c r="L219" s="1">
        <v>100.0</v>
      </c>
      <c r="M219" s="1">
        <v>0.0</v>
      </c>
      <c r="N219" s="1">
        <v>0.0</v>
      </c>
      <c r="O219" s="1">
        <v>101.22374</v>
      </c>
    </row>
    <row r="220">
      <c r="A220" s="1" t="s">
        <v>724</v>
      </c>
      <c r="B220" s="1" t="s">
        <v>725</v>
      </c>
      <c r="C220" s="5"/>
      <c r="D220" s="5"/>
      <c r="E220" s="1" t="str">
        <f>IFERROR(__xludf.DUMMYFUNCTION("IFERROR(REGEXEXTRACT(A220, ""res(269|122)""), ""none"")"),"269")</f>
        <v>269</v>
      </c>
      <c r="F220" s="1">
        <v>-15.170379</v>
      </c>
      <c r="G220" s="1">
        <v>7.0</v>
      </c>
      <c r="H220" s="1">
        <v>2.0</v>
      </c>
      <c r="I220" s="1">
        <v>0.285714</v>
      </c>
      <c r="J220" s="1">
        <v>2.0</v>
      </c>
      <c r="K220" s="1">
        <v>-0.667648999999999</v>
      </c>
      <c r="L220" s="1">
        <v>100.0</v>
      </c>
      <c r="M220" s="1">
        <v>0.0</v>
      </c>
      <c r="N220" s="1">
        <v>0.0</v>
      </c>
      <c r="O220" s="1">
        <v>95.447686</v>
      </c>
    </row>
    <row r="221">
      <c r="A221" s="1" t="s">
        <v>726</v>
      </c>
      <c r="B221" s="1" t="s">
        <v>727</v>
      </c>
      <c r="C221" s="5"/>
      <c r="D221" s="5"/>
      <c r="E221" s="1" t="str">
        <f>IFERROR(__xludf.DUMMYFUNCTION("IFERROR(REGEXEXTRACT(A221, ""res(269|122)""), ""none"")"),"269")</f>
        <v>269</v>
      </c>
      <c r="F221" s="1">
        <v>-16.876109</v>
      </c>
      <c r="G221" s="1">
        <v>7.0</v>
      </c>
      <c r="H221" s="1">
        <v>3.0</v>
      </c>
      <c r="I221" s="1">
        <v>0.285714</v>
      </c>
      <c r="J221" s="1">
        <v>2.0</v>
      </c>
      <c r="K221" s="1">
        <v>-0.125013</v>
      </c>
      <c r="L221" s="1">
        <v>100.0</v>
      </c>
      <c r="M221" s="1">
        <v>0.0</v>
      </c>
      <c r="N221" s="1">
        <v>0.0</v>
      </c>
      <c r="O221" s="1">
        <v>95.284592</v>
      </c>
    </row>
    <row r="222">
      <c r="A222" s="1" t="s">
        <v>728</v>
      </c>
      <c r="B222" s="1" t="s">
        <v>729</v>
      </c>
      <c r="C222" s="5"/>
      <c r="D222" s="5"/>
      <c r="E222" s="1" t="str">
        <f>IFERROR(__xludf.DUMMYFUNCTION("IFERROR(REGEXEXTRACT(A222, ""res(269|122)""), ""none"")"),"269")</f>
        <v>269</v>
      </c>
      <c r="F222" s="1">
        <v>-15.669627</v>
      </c>
      <c r="G222" s="1">
        <v>8.0</v>
      </c>
      <c r="H222" s="1">
        <v>3.0</v>
      </c>
      <c r="I222" s="1">
        <v>0.5</v>
      </c>
      <c r="J222" s="1">
        <v>2.0</v>
      </c>
      <c r="K222" s="1">
        <v>-1.095518</v>
      </c>
      <c r="L222" s="1">
        <v>100.0</v>
      </c>
      <c r="M222" s="1">
        <v>0.0</v>
      </c>
      <c r="N222" s="1">
        <v>0.0</v>
      </c>
      <c r="O222" s="1">
        <v>96.734855</v>
      </c>
    </row>
    <row r="223">
      <c r="A223" s="1" t="s">
        <v>730</v>
      </c>
      <c r="B223" s="1" t="s">
        <v>731</v>
      </c>
      <c r="C223" s="5"/>
      <c r="D223" s="5"/>
      <c r="E223" s="1" t="str">
        <f>IFERROR(__xludf.DUMMYFUNCTION("IFERROR(REGEXEXTRACT(A223, ""res(269|122)""), ""none"")"),"269")</f>
        <v>269</v>
      </c>
      <c r="F223" s="1">
        <v>-16.538591</v>
      </c>
      <c r="G223" s="1">
        <v>11.0</v>
      </c>
      <c r="H223" s="1">
        <v>2.0</v>
      </c>
      <c r="I223" s="1">
        <v>0.454545</v>
      </c>
      <c r="J223" s="1">
        <v>2.0</v>
      </c>
      <c r="K223" s="1">
        <v>-0.672628</v>
      </c>
      <c r="L223" s="1">
        <v>100.0</v>
      </c>
      <c r="M223" s="1">
        <v>0.0</v>
      </c>
      <c r="N223" s="1">
        <v>0.0</v>
      </c>
      <c r="O223" s="1">
        <v>98.243326</v>
      </c>
    </row>
    <row r="224">
      <c r="A224" s="1" t="s">
        <v>732</v>
      </c>
      <c r="B224" s="1" t="s">
        <v>733</v>
      </c>
      <c r="C224" s="5"/>
      <c r="D224" s="5"/>
      <c r="E224" s="1" t="str">
        <f>IFERROR(__xludf.DUMMYFUNCTION("IFERROR(REGEXEXTRACT(A224, ""res(269|122)""), ""none"")"),"269")</f>
        <v>269</v>
      </c>
      <c r="F224" s="1">
        <v>-15.518271</v>
      </c>
      <c r="G224" s="1">
        <v>7.0</v>
      </c>
      <c r="H224" s="1">
        <v>2.0</v>
      </c>
      <c r="I224" s="1">
        <v>0.285714</v>
      </c>
      <c r="J224" s="1">
        <v>2.0</v>
      </c>
      <c r="K224" s="1">
        <v>-0.704432</v>
      </c>
      <c r="L224" s="1">
        <v>100.0</v>
      </c>
      <c r="M224" s="1">
        <v>0.0</v>
      </c>
      <c r="N224" s="1">
        <v>0.0</v>
      </c>
      <c r="O224" s="1">
        <v>95.063011</v>
      </c>
    </row>
    <row r="225">
      <c r="A225" s="1" t="s">
        <v>734</v>
      </c>
      <c r="B225" s="1" t="s">
        <v>735</v>
      </c>
      <c r="C225" s="5"/>
      <c r="D225" s="5"/>
      <c r="E225" s="1" t="str">
        <f>IFERROR(__xludf.DUMMYFUNCTION("IFERROR(REGEXEXTRACT(A225, ""res(269|122)""), ""none"")"),"269")</f>
        <v>269</v>
      </c>
      <c r="F225" s="1">
        <v>-16.273007</v>
      </c>
      <c r="G225" s="1">
        <v>10.0</v>
      </c>
      <c r="H225" s="1">
        <v>5.0</v>
      </c>
      <c r="I225" s="1">
        <v>0.5</v>
      </c>
      <c r="J225" s="1">
        <v>2.0</v>
      </c>
      <c r="K225" s="1">
        <v>-1.336251</v>
      </c>
      <c r="L225" s="1">
        <v>100.0</v>
      </c>
      <c r="M225" s="1">
        <v>0.0</v>
      </c>
      <c r="N225" s="1">
        <v>0.0</v>
      </c>
      <c r="O225" s="1">
        <v>99.890742</v>
      </c>
    </row>
    <row r="226">
      <c r="A226" s="1" t="s">
        <v>736</v>
      </c>
      <c r="B226" s="1" t="s">
        <v>737</v>
      </c>
      <c r="C226" s="5"/>
      <c r="D226" s="5"/>
      <c r="E226" s="1" t="str">
        <f>IFERROR(__xludf.DUMMYFUNCTION("IFERROR(REGEXEXTRACT(A226, ""res(269|122)""), ""none"")"),"269")</f>
        <v>269</v>
      </c>
      <c r="F226" s="1">
        <v>-15.21474</v>
      </c>
      <c r="G226" s="1">
        <v>9.0</v>
      </c>
      <c r="H226" s="1">
        <v>1.0</v>
      </c>
      <c r="I226" s="1">
        <v>0.333333</v>
      </c>
      <c r="J226" s="1">
        <v>2.0</v>
      </c>
      <c r="K226" s="1">
        <v>-1.192772</v>
      </c>
      <c r="L226" s="1">
        <v>100.0</v>
      </c>
      <c r="M226" s="1">
        <v>0.0</v>
      </c>
      <c r="N226" s="1">
        <v>0.0</v>
      </c>
      <c r="O226" s="1">
        <v>95.925821</v>
      </c>
    </row>
    <row r="227">
      <c r="A227" s="1" t="s">
        <v>738</v>
      </c>
      <c r="B227" s="1" t="s">
        <v>739</v>
      </c>
      <c r="C227" s="5"/>
      <c r="D227" s="5"/>
      <c r="E227" s="1" t="str">
        <f>IFERROR(__xludf.DUMMYFUNCTION("IFERROR(REGEXEXTRACT(A227, ""res(269|122)""), ""none"")"),"269")</f>
        <v>269</v>
      </c>
      <c r="F227" s="1">
        <v>-15.689275</v>
      </c>
      <c r="G227" s="1">
        <v>6.0</v>
      </c>
      <c r="H227" s="1">
        <v>1.0</v>
      </c>
      <c r="I227" s="1">
        <v>0.333333</v>
      </c>
      <c r="J227" s="1">
        <v>2.0</v>
      </c>
      <c r="K227" s="1">
        <v>-0.283942</v>
      </c>
      <c r="L227" s="1">
        <v>100.0</v>
      </c>
      <c r="M227" s="1">
        <v>0.0</v>
      </c>
      <c r="N227" s="1">
        <v>0.0</v>
      </c>
      <c r="O227" s="1">
        <v>93.360116</v>
      </c>
    </row>
    <row r="228">
      <c r="A228" s="1" t="s">
        <v>740</v>
      </c>
      <c r="B228" s="1" t="s">
        <v>741</v>
      </c>
      <c r="C228" s="5"/>
      <c r="D228" s="5"/>
      <c r="E228" s="1" t="str">
        <f>IFERROR(__xludf.DUMMYFUNCTION("IFERROR(REGEXEXTRACT(A228, ""res(269|122)""), ""none"")"),"269")</f>
        <v>269</v>
      </c>
      <c r="F228" s="1">
        <v>-19.0248</v>
      </c>
      <c r="G228" s="1">
        <v>10.0</v>
      </c>
      <c r="H228" s="1">
        <v>1.0</v>
      </c>
      <c r="I228" s="1">
        <v>0.3</v>
      </c>
      <c r="J228" s="1">
        <v>2.0</v>
      </c>
      <c r="K228" s="1">
        <v>-0.194124</v>
      </c>
      <c r="L228" s="1">
        <v>100.0</v>
      </c>
      <c r="M228" s="1">
        <v>0.0</v>
      </c>
      <c r="N228" s="1">
        <v>0.0</v>
      </c>
      <c r="O228" s="1">
        <v>94.081076</v>
      </c>
    </row>
    <row r="229">
      <c r="A229" s="1" t="s">
        <v>742</v>
      </c>
      <c r="B229" s="1" t="s">
        <v>743</v>
      </c>
      <c r="C229" s="5"/>
      <c r="D229" s="5"/>
      <c r="E229" s="1" t="str">
        <f>IFERROR(__xludf.DUMMYFUNCTION("IFERROR(REGEXEXTRACT(A229, ""res(269|122)""), ""none"")"),"269")</f>
        <v>269</v>
      </c>
      <c r="F229" s="1">
        <v>-16.168018</v>
      </c>
      <c r="G229" s="1">
        <v>7.0</v>
      </c>
      <c r="H229" s="1">
        <v>4.0</v>
      </c>
      <c r="I229" s="1">
        <v>0.428571</v>
      </c>
      <c r="J229" s="1">
        <v>2.0</v>
      </c>
      <c r="K229" s="1">
        <v>-1.027591</v>
      </c>
      <c r="L229" s="1">
        <v>100.0</v>
      </c>
      <c r="M229" s="1">
        <v>0.0</v>
      </c>
      <c r="N229" s="1">
        <v>0.0</v>
      </c>
      <c r="O229" s="1">
        <v>96.232962</v>
      </c>
    </row>
    <row r="230">
      <c r="A230" s="1" t="s">
        <v>744</v>
      </c>
      <c r="B230" s="1" t="s">
        <v>745</v>
      </c>
      <c r="C230" s="5"/>
      <c r="D230" s="5"/>
      <c r="E230" s="1" t="str">
        <f>IFERROR(__xludf.DUMMYFUNCTION("IFERROR(REGEXEXTRACT(A230, ""res(269|122)""), ""none"")"),"269")</f>
        <v>269</v>
      </c>
      <c r="F230" s="1">
        <v>-17.880646</v>
      </c>
      <c r="G230" s="1">
        <v>7.0</v>
      </c>
      <c r="H230" s="1">
        <v>3.0</v>
      </c>
      <c r="I230" s="1">
        <v>0.285714</v>
      </c>
      <c r="J230" s="1">
        <v>2.0</v>
      </c>
      <c r="K230" s="1">
        <v>-0.782756</v>
      </c>
      <c r="L230" s="1">
        <v>100.0</v>
      </c>
      <c r="M230" s="1">
        <v>0.0</v>
      </c>
      <c r="N230" s="1">
        <v>0.0</v>
      </c>
      <c r="O230" s="1">
        <v>93.622312</v>
      </c>
    </row>
    <row r="231">
      <c r="A231" s="1" t="s">
        <v>746</v>
      </c>
      <c r="B231" s="1" t="s">
        <v>747</v>
      </c>
      <c r="C231" s="5"/>
      <c r="D231" s="5"/>
      <c r="E231" s="1" t="str">
        <f>IFERROR(__xludf.DUMMYFUNCTION("IFERROR(REGEXEXTRACT(A231, ""res(269|122)""), ""none"")"),"269")</f>
        <v>269</v>
      </c>
      <c r="F231" s="1">
        <v>-15.808583</v>
      </c>
      <c r="G231" s="1">
        <v>8.0</v>
      </c>
      <c r="H231" s="1">
        <v>3.0</v>
      </c>
      <c r="I231" s="1">
        <v>0.25</v>
      </c>
      <c r="J231" s="1">
        <v>2.0</v>
      </c>
      <c r="K231" s="1">
        <v>-0.274418999999999</v>
      </c>
      <c r="L231" s="1">
        <v>100.0</v>
      </c>
      <c r="M231" s="1">
        <v>0.0</v>
      </c>
      <c r="N231" s="1">
        <v>0.0</v>
      </c>
      <c r="O231" s="1">
        <v>97.166998</v>
      </c>
    </row>
    <row r="232">
      <c r="A232" s="1" t="s">
        <v>748</v>
      </c>
      <c r="B232" s="1" t="s">
        <v>749</v>
      </c>
      <c r="C232" s="5"/>
      <c r="D232" s="5"/>
      <c r="E232" s="1" t="str">
        <f>IFERROR(__xludf.DUMMYFUNCTION("IFERROR(REGEXEXTRACT(A232, ""res(269|122)""), ""none"")"),"269")</f>
        <v>269</v>
      </c>
      <c r="F232" s="1">
        <v>-15.922666</v>
      </c>
      <c r="G232" s="1">
        <v>11.0</v>
      </c>
      <c r="H232" s="1">
        <v>4.0</v>
      </c>
      <c r="I232" s="1">
        <v>0.272727</v>
      </c>
      <c r="J232" s="1">
        <v>2.0</v>
      </c>
      <c r="K232" s="1">
        <v>-1.281239</v>
      </c>
      <c r="L232" s="1">
        <v>100.0</v>
      </c>
      <c r="M232" s="1">
        <v>0.0</v>
      </c>
      <c r="N232" s="1">
        <v>0.0</v>
      </c>
      <c r="O232" s="1">
        <v>100.068822</v>
      </c>
    </row>
    <row r="233">
      <c r="A233" s="1" t="s">
        <v>750</v>
      </c>
      <c r="B233" s="1" t="s">
        <v>751</v>
      </c>
      <c r="C233" s="5"/>
      <c r="D233" s="5"/>
      <c r="E233" s="1" t="str">
        <f>IFERROR(__xludf.DUMMYFUNCTION("IFERROR(REGEXEXTRACT(A233, ""res(269|122)""), ""none"")"),"269")</f>
        <v>269</v>
      </c>
      <c r="F233" s="1">
        <v>-16.054057</v>
      </c>
      <c r="G233" s="1">
        <v>8.0</v>
      </c>
      <c r="H233" s="1">
        <v>3.0</v>
      </c>
      <c r="I233" s="1">
        <v>0.25</v>
      </c>
      <c r="J233" s="1">
        <v>3.0</v>
      </c>
      <c r="K233" s="1">
        <v>-2.086385</v>
      </c>
      <c r="L233" s="1">
        <v>100.0</v>
      </c>
      <c r="M233" s="1">
        <v>0.0</v>
      </c>
      <c r="N233" s="1">
        <v>0.0</v>
      </c>
      <c r="O233" s="1">
        <v>96.109558</v>
      </c>
    </row>
    <row r="234">
      <c r="A234" s="1" t="s">
        <v>752</v>
      </c>
      <c r="B234" s="1" t="s">
        <v>753</v>
      </c>
      <c r="C234" s="5"/>
      <c r="D234" s="5"/>
      <c r="E234" s="1" t="str">
        <f>IFERROR(__xludf.DUMMYFUNCTION("IFERROR(REGEXEXTRACT(A234, ""res(269|122)""), ""none"")"),"269")</f>
        <v>269</v>
      </c>
      <c r="F234" s="1">
        <v>-15.254939</v>
      </c>
      <c r="G234" s="1">
        <v>10.0</v>
      </c>
      <c r="H234" s="1">
        <v>2.0</v>
      </c>
      <c r="I234" s="1">
        <v>0.3</v>
      </c>
      <c r="J234" s="1">
        <v>3.0</v>
      </c>
      <c r="K234" s="1">
        <v>-1.268036</v>
      </c>
      <c r="L234" s="1">
        <v>100.0</v>
      </c>
      <c r="M234" s="1">
        <v>0.0</v>
      </c>
      <c r="N234" s="1">
        <v>0.0</v>
      </c>
      <c r="O234" s="1">
        <v>98.777025</v>
      </c>
    </row>
    <row r="235">
      <c r="A235" s="1" t="s">
        <v>754</v>
      </c>
      <c r="B235" s="1" t="s">
        <v>755</v>
      </c>
      <c r="C235" s="5"/>
      <c r="D235" s="5"/>
      <c r="E235" s="1" t="str">
        <f>IFERROR(__xludf.DUMMYFUNCTION("IFERROR(REGEXEXTRACT(A235, ""res(269|122)""), ""none"")"),"269")</f>
        <v>269</v>
      </c>
      <c r="F235" s="1">
        <v>-15.154038</v>
      </c>
      <c r="G235" s="1">
        <v>9.0</v>
      </c>
      <c r="H235" s="1">
        <v>2.0</v>
      </c>
      <c r="I235" s="1">
        <v>0.333333</v>
      </c>
      <c r="J235" s="1">
        <v>2.0</v>
      </c>
      <c r="K235" s="1">
        <v>-0.848837</v>
      </c>
      <c r="L235" s="1">
        <v>100.0</v>
      </c>
      <c r="M235" s="1">
        <v>0.0</v>
      </c>
      <c r="N235" s="1">
        <v>0.0</v>
      </c>
      <c r="O235" s="1">
        <v>97.330458</v>
      </c>
    </row>
    <row r="236">
      <c r="A236" s="1" t="s">
        <v>756</v>
      </c>
      <c r="B236" s="1" t="s">
        <v>757</v>
      </c>
      <c r="C236" s="5"/>
      <c r="D236" s="5"/>
      <c r="E236" s="1" t="str">
        <f>IFERROR(__xludf.DUMMYFUNCTION("IFERROR(REGEXEXTRACT(A236, ""res(269|122)""), ""none"")"),"269")</f>
        <v>269</v>
      </c>
      <c r="F236" s="1">
        <v>-15.837791</v>
      </c>
      <c r="G236" s="1">
        <v>7.0</v>
      </c>
      <c r="H236" s="1">
        <v>2.0</v>
      </c>
      <c r="I236" s="1">
        <v>0.285714</v>
      </c>
      <c r="J236" s="1">
        <v>2.0</v>
      </c>
      <c r="K236" s="1">
        <v>-1.071572</v>
      </c>
      <c r="L236" s="1">
        <v>100.0</v>
      </c>
      <c r="M236" s="1">
        <v>0.0</v>
      </c>
      <c r="N236" s="1">
        <v>0.0</v>
      </c>
      <c r="O236" s="1">
        <v>94.376351</v>
      </c>
    </row>
    <row r="237">
      <c r="A237" s="1" t="s">
        <v>758</v>
      </c>
      <c r="B237" s="1" t="s">
        <v>759</v>
      </c>
      <c r="C237" s="5"/>
      <c r="D237" s="5"/>
      <c r="E237" s="1" t="str">
        <f>IFERROR(__xludf.DUMMYFUNCTION("IFERROR(REGEXEXTRACT(A237, ""res(269|122)""), ""none"")"),"269")</f>
        <v>269</v>
      </c>
      <c r="F237" s="1">
        <v>-15.397445</v>
      </c>
      <c r="G237" s="1">
        <v>8.0</v>
      </c>
      <c r="H237" s="1">
        <v>5.0</v>
      </c>
      <c r="I237" s="1">
        <v>0.5</v>
      </c>
      <c r="J237" s="1">
        <v>2.0</v>
      </c>
      <c r="K237" s="1">
        <v>-1.534955</v>
      </c>
      <c r="L237" s="1">
        <v>100.0</v>
      </c>
      <c r="M237" s="1">
        <v>0.0</v>
      </c>
      <c r="N237" s="1">
        <v>0.0</v>
      </c>
      <c r="O237" s="1">
        <v>98.5676</v>
      </c>
    </row>
    <row r="238">
      <c r="A238" s="1" t="s">
        <v>760</v>
      </c>
      <c r="B238" s="1" t="s">
        <v>761</v>
      </c>
      <c r="C238" s="5"/>
      <c r="D238" s="5"/>
      <c r="E238" s="1" t="str">
        <f>IFERROR(__xludf.DUMMYFUNCTION("IFERROR(REGEXEXTRACT(A238, ""res(269|122)""), ""none"")"),"269")</f>
        <v>269</v>
      </c>
      <c r="F238" s="1">
        <v>-15.876867</v>
      </c>
      <c r="G238" s="1">
        <v>9.0</v>
      </c>
      <c r="H238" s="1">
        <v>5.0</v>
      </c>
      <c r="I238" s="1">
        <v>0.444444</v>
      </c>
      <c r="J238" s="1">
        <v>2.0</v>
      </c>
      <c r="K238" s="1">
        <v>-0.548546</v>
      </c>
      <c r="L238" s="1">
        <v>100.0</v>
      </c>
      <c r="M238" s="1">
        <v>0.0</v>
      </c>
      <c r="N238" s="1">
        <v>0.0</v>
      </c>
      <c r="O238" s="1">
        <v>100.019031</v>
      </c>
    </row>
    <row r="239">
      <c r="A239" s="1" t="s">
        <v>762</v>
      </c>
      <c r="B239" s="1" t="s">
        <v>763</v>
      </c>
      <c r="C239" s="5"/>
      <c r="D239" s="5"/>
      <c r="E239" s="1" t="str">
        <f>IFERROR(__xludf.DUMMYFUNCTION("IFERROR(REGEXEXTRACT(A239, ""res(269|122)""), ""none"")"),"269")</f>
        <v>269</v>
      </c>
      <c r="F239" s="1">
        <v>-15.298627</v>
      </c>
      <c r="G239" s="1">
        <v>8.0</v>
      </c>
      <c r="H239" s="1">
        <v>2.0</v>
      </c>
      <c r="I239" s="1">
        <v>0.25</v>
      </c>
      <c r="J239" s="1">
        <v>2.0</v>
      </c>
      <c r="K239" s="1">
        <v>-0.483175</v>
      </c>
      <c r="L239" s="1">
        <v>100.0</v>
      </c>
      <c r="M239" s="1">
        <v>0.0</v>
      </c>
      <c r="N239" s="1">
        <v>0.0</v>
      </c>
      <c r="O239" s="1">
        <v>96.468198</v>
      </c>
    </row>
    <row r="240">
      <c r="A240" s="1" t="s">
        <v>764</v>
      </c>
      <c r="B240" s="1" t="s">
        <v>765</v>
      </c>
      <c r="C240" s="5"/>
      <c r="D240" s="5"/>
      <c r="E240" s="1" t="str">
        <f>IFERROR(__xludf.DUMMYFUNCTION("IFERROR(REGEXEXTRACT(A240, ""res(269|122)""), ""none"")"),"269")</f>
        <v>269</v>
      </c>
      <c r="F240" s="1">
        <v>-18.469678</v>
      </c>
      <c r="G240" s="1">
        <v>10.0</v>
      </c>
      <c r="H240" s="1">
        <v>4.0</v>
      </c>
      <c r="I240" s="1">
        <v>0.4</v>
      </c>
      <c r="J240" s="1">
        <v>2.0</v>
      </c>
      <c r="K240" s="1">
        <v>-1.363106</v>
      </c>
      <c r="L240" s="1">
        <v>100.0</v>
      </c>
      <c r="M240" s="1">
        <v>0.0</v>
      </c>
      <c r="N240" s="1">
        <v>0.0</v>
      </c>
      <c r="O240" s="1">
        <v>96.567216</v>
      </c>
    </row>
    <row r="241">
      <c r="A241" s="1" t="s">
        <v>766</v>
      </c>
      <c r="B241" s="1" t="s">
        <v>767</v>
      </c>
      <c r="C241" s="5"/>
      <c r="D241" s="5"/>
      <c r="E241" s="1" t="str">
        <f>IFERROR(__xludf.DUMMYFUNCTION("IFERROR(REGEXEXTRACT(A241, ""res(269|122)""), ""none"")"),"269")</f>
        <v>269</v>
      </c>
      <c r="F241" s="1">
        <v>-16.667832</v>
      </c>
      <c r="G241" s="1">
        <v>6.0</v>
      </c>
      <c r="H241" s="1">
        <v>2.0</v>
      </c>
      <c r="I241" s="1">
        <v>0.333333</v>
      </c>
      <c r="J241" s="1">
        <v>2.0</v>
      </c>
      <c r="K241" s="1">
        <v>-1.030818</v>
      </c>
      <c r="L241" s="1">
        <v>100.0</v>
      </c>
      <c r="M241" s="1">
        <v>0.0</v>
      </c>
      <c r="N241" s="1">
        <v>0.0</v>
      </c>
      <c r="O241" s="1">
        <v>92.634683</v>
      </c>
    </row>
    <row r="242">
      <c r="A242" s="1" t="s">
        <v>374</v>
      </c>
      <c r="B242" s="1" t="s">
        <v>174</v>
      </c>
      <c r="C242" s="5"/>
      <c r="D242" s="5"/>
      <c r="E242" s="1" t="str">
        <f>IFERROR(__xludf.DUMMYFUNCTION("IFERROR(REGEXEXTRACT(A242, ""res(269|122)""), ""none"")"),"269")</f>
        <v>269</v>
      </c>
      <c r="F242" s="1">
        <v>-16.118663</v>
      </c>
      <c r="G242" s="1">
        <v>9.0</v>
      </c>
      <c r="H242" s="1">
        <v>1.0</v>
      </c>
      <c r="I242" s="1">
        <v>0.333333</v>
      </c>
      <c r="J242" s="1">
        <v>2.0</v>
      </c>
      <c r="K242" s="1">
        <v>-0.368431</v>
      </c>
      <c r="L242" s="1">
        <v>100.0</v>
      </c>
      <c r="M242" s="1">
        <v>0.0</v>
      </c>
      <c r="N242" s="1">
        <v>0.0</v>
      </c>
      <c r="O242" s="1">
        <v>95.846239</v>
      </c>
    </row>
    <row r="243">
      <c r="A243" s="1" t="s">
        <v>768</v>
      </c>
      <c r="B243" s="1" t="s">
        <v>769</v>
      </c>
      <c r="C243" s="5"/>
      <c r="D243" s="5"/>
      <c r="E243" s="1" t="str">
        <f>IFERROR(__xludf.DUMMYFUNCTION("IFERROR(REGEXEXTRACT(A243, ""res(269|122)""), ""none"")"),"269")</f>
        <v>269</v>
      </c>
      <c r="F243" s="1">
        <v>-15.215774</v>
      </c>
      <c r="G243" s="1">
        <v>7.0</v>
      </c>
      <c r="H243" s="1">
        <v>3.0</v>
      </c>
      <c r="I243" s="1">
        <v>0.285714</v>
      </c>
      <c r="J243" s="1">
        <v>2.0</v>
      </c>
      <c r="K243" s="1">
        <v>-0.616062</v>
      </c>
      <c r="L243" s="1">
        <v>100.0</v>
      </c>
      <c r="M243" s="1">
        <v>0.0</v>
      </c>
      <c r="N243" s="1">
        <v>0.0</v>
      </c>
      <c r="O243" s="1">
        <v>96.453878</v>
      </c>
    </row>
    <row r="244">
      <c r="A244" s="1" t="s">
        <v>770</v>
      </c>
      <c r="B244" s="1" t="s">
        <v>771</v>
      </c>
      <c r="C244" s="5"/>
      <c r="D244" s="5"/>
      <c r="E244" s="1" t="str">
        <f>IFERROR(__xludf.DUMMYFUNCTION("IFERROR(REGEXEXTRACT(A244, ""res(269|122)""), ""none"")"),"269")</f>
        <v>269</v>
      </c>
      <c r="F244" s="1">
        <v>-15.561513</v>
      </c>
      <c r="G244" s="1">
        <v>7.0</v>
      </c>
      <c r="H244" s="1">
        <v>2.0</v>
      </c>
      <c r="I244" s="1">
        <v>0.285714</v>
      </c>
      <c r="J244" s="1">
        <v>2.0</v>
      </c>
      <c r="K244" s="1">
        <v>-0.958047</v>
      </c>
      <c r="L244" s="1">
        <v>100.0</v>
      </c>
      <c r="M244" s="1">
        <v>0.0</v>
      </c>
      <c r="N244" s="1">
        <v>0.0</v>
      </c>
      <c r="O244" s="1">
        <v>94.766154</v>
      </c>
    </row>
    <row r="245">
      <c r="A245" s="1" t="s">
        <v>772</v>
      </c>
      <c r="B245" s="1" t="s">
        <v>773</v>
      </c>
      <c r="C245" s="5"/>
      <c r="D245" s="5"/>
      <c r="E245" s="1" t="str">
        <f>IFERROR(__xludf.DUMMYFUNCTION("IFERROR(REGEXEXTRACT(A245, ""res(269|122)""), ""none"")"),"269")</f>
        <v>269</v>
      </c>
      <c r="F245" s="1">
        <v>-15.089943</v>
      </c>
      <c r="G245" s="1">
        <v>9.0</v>
      </c>
      <c r="H245" s="1">
        <v>3.0</v>
      </c>
      <c r="I245" s="1">
        <v>0.444444</v>
      </c>
      <c r="J245" s="1">
        <v>2.0</v>
      </c>
      <c r="K245" s="1">
        <v>-0.893755</v>
      </c>
      <c r="L245" s="1">
        <v>100.0</v>
      </c>
      <c r="M245" s="1">
        <v>0.0</v>
      </c>
      <c r="N245" s="1">
        <v>0.0</v>
      </c>
      <c r="O245" s="1">
        <v>98.460746</v>
      </c>
    </row>
    <row r="246">
      <c r="A246" s="1" t="s">
        <v>774</v>
      </c>
      <c r="B246" s="1" t="s">
        <v>775</v>
      </c>
      <c r="C246" s="5"/>
      <c r="D246" s="5"/>
      <c r="E246" s="1" t="str">
        <f>IFERROR(__xludf.DUMMYFUNCTION("IFERROR(REGEXEXTRACT(A246, ""res(269|122)""), ""none"")"),"269")</f>
        <v>269</v>
      </c>
      <c r="F246" s="1">
        <v>-15.129961</v>
      </c>
      <c r="G246" s="1">
        <v>9.0</v>
      </c>
      <c r="H246" s="1">
        <v>1.0</v>
      </c>
      <c r="I246" s="1">
        <v>0.333333</v>
      </c>
      <c r="J246" s="1">
        <v>2.0</v>
      </c>
      <c r="K246" s="1">
        <v>-1.424951</v>
      </c>
      <c r="L246" s="1">
        <v>100.0</v>
      </c>
      <c r="M246" s="1">
        <v>0.0</v>
      </c>
      <c r="N246" s="1">
        <v>0.0</v>
      </c>
      <c r="O246" s="1">
        <v>95.778421</v>
      </c>
    </row>
    <row r="247">
      <c r="A247" s="1" t="s">
        <v>776</v>
      </c>
      <c r="B247" s="1" t="s">
        <v>777</v>
      </c>
      <c r="C247" s="5"/>
      <c r="D247" s="5"/>
      <c r="E247" s="1" t="str">
        <f>IFERROR(__xludf.DUMMYFUNCTION("IFERROR(REGEXEXTRACT(A247, ""res(269|122)""), ""none"")"),"269")</f>
        <v>269</v>
      </c>
      <c r="F247" s="1">
        <v>-15.779634</v>
      </c>
      <c r="G247" s="1">
        <v>10.0</v>
      </c>
      <c r="H247" s="1">
        <v>5.0</v>
      </c>
      <c r="I247" s="1">
        <v>0.3</v>
      </c>
      <c r="J247" s="1">
        <v>2.0</v>
      </c>
      <c r="K247" s="1">
        <v>-0.855369</v>
      </c>
      <c r="L247" s="1">
        <v>100.0</v>
      </c>
      <c r="M247" s="1">
        <v>0.0</v>
      </c>
      <c r="N247" s="1">
        <v>0.0</v>
      </c>
      <c r="O247" s="1">
        <v>100.664997</v>
      </c>
    </row>
    <row r="248">
      <c r="A248" s="1" t="s">
        <v>778</v>
      </c>
      <c r="B248" s="1" t="s">
        <v>779</v>
      </c>
      <c r="C248" s="5"/>
      <c r="D248" s="5"/>
      <c r="E248" s="1" t="str">
        <f>IFERROR(__xludf.DUMMYFUNCTION("IFERROR(REGEXEXTRACT(A248, ""res(269|122)""), ""none"")"),"269")</f>
        <v>269</v>
      </c>
      <c r="F248" s="1">
        <v>-15.06211</v>
      </c>
      <c r="G248" s="1">
        <v>7.0</v>
      </c>
      <c r="H248" s="1">
        <v>3.0</v>
      </c>
      <c r="I248" s="1">
        <v>0.285714</v>
      </c>
      <c r="J248" s="1">
        <v>2.0</v>
      </c>
      <c r="K248" s="1">
        <v>-0.778561</v>
      </c>
      <c r="L248" s="1">
        <v>100.0</v>
      </c>
      <c r="M248" s="1">
        <v>0.0</v>
      </c>
      <c r="N248" s="1">
        <v>0.0</v>
      </c>
      <c r="O248" s="1">
        <v>96.445043</v>
      </c>
    </row>
    <row r="249">
      <c r="A249" s="1" t="s">
        <v>780</v>
      </c>
      <c r="B249" s="1" t="s">
        <v>781</v>
      </c>
      <c r="C249" s="5"/>
      <c r="D249" s="5"/>
      <c r="E249" s="1" t="str">
        <f>IFERROR(__xludf.DUMMYFUNCTION("IFERROR(REGEXEXTRACT(A249, ""res(269|122)""), ""none"")"),"269")</f>
        <v>269</v>
      </c>
      <c r="F249" s="1">
        <v>-15.228987</v>
      </c>
      <c r="G249" s="1">
        <v>7.0</v>
      </c>
      <c r="H249" s="1">
        <v>1.0</v>
      </c>
      <c r="I249" s="1">
        <v>0.285714</v>
      </c>
      <c r="J249" s="1">
        <v>2.0</v>
      </c>
      <c r="K249" s="1">
        <v>-0.497766</v>
      </c>
      <c r="L249" s="1">
        <v>100.0</v>
      </c>
      <c r="M249" s="1">
        <v>0.0</v>
      </c>
      <c r="N249" s="1">
        <v>0.0</v>
      </c>
      <c r="O249" s="1">
        <v>94.558961</v>
      </c>
    </row>
    <row r="250">
      <c r="A250" s="1" t="s">
        <v>782</v>
      </c>
      <c r="B250" s="1" t="s">
        <v>783</v>
      </c>
      <c r="C250" s="5"/>
      <c r="D250" s="5"/>
      <c r="E250" s="1" t="str">
        <f>IFERROR(__xludf.DUMMYFUNCTION("IFERROR(REGEXEXTRACT(A250, ""res(269|122)""), ""none"")"),"269")</f>
        <v>269</v>
      </c>
      <c r="F250" s="1">
        <v>-16.62153</v>
      </c>
      <c r="G250" s="1">
        <v>7.0</v>
      </c>
      <c r="H250" s="1">
        <v>3.0</v>
      </c>
      <c r="I250" s="1">
        <v>0.285714</v>
      </c>
      <c r="J250" s="1">
        <v>2.0</v>
      </c>
      <c r="K250" s="1">
        <v>-0.582049</v>
      </c>
      <c r="L250" s="1">
        <v>100.0</v>
      </c>
      <c r="M250" s="1">
        <v>0.0</v>
      </c>
      <c r="N250" s="1">
        <v>0.0</v>
      </c>
      <c r="O250" s="1">
        <v>95.082135</v>
      </c>
    </row>
    <row r="251">
      <c r="A251" s="1" t="s">
        <v>375</v>
      </c>
      <c r="B251" s="1" t="s">
        <v>376</v>
      </c>
      <c r="C251" s="5"/>
      <c r="D251" s="5"/>
      <c r="E251" s="1" t="str">
        <f>IFERROR(__xludf.DUMMYFUNCTION("IFERROR(REGEXEXTRACT(A251, ""res(269|122)""), ""none"")"),"269")</f>
        <v>269</v>
      </c>
      <c r="F251" s="1">
        <v>-15.441678</v>
      </c>
      <c r="G251" s="1">
        <v>7.0</v>
      </c>
      <c r="H251" s="1">
        <v>3.0</v>
      </c>
      <c r="I251" s="1">
        <v>0.571429</v>
      </c>
      <c r="J251" s="1">
        <v>2.0</v>
      </c>
      <c r="K251" s="1">
        <v>-0.383116</v>
      </c>
      <c r="L251" s="1">
        <v>100.0</v>
      </c>
      <c r="M251" s="1">
        <v>0.0</v>
      </c>
      <c r="N251" s="1">
        <v>0.0</v>
      </c>
      <c r="O251" s="1">
        <v>96.746635</v>
      </c>
    </row>
    <row r="252">
      <c r="A252" s="1" t="s">
        <v>784</v>
      </c>
      <c r="B252" s="1" t="s">
        <v>785</v>
      </c>
      <c r="C252" s="5"/>
      <c r="D252" s="5"/>
      <c r="E252" s="1" t="str">
        <f>IFERROR(__xludf.DUMMYFUNCTION("IFERROR(REGEXEXTRACT(A252, ""res(269|122)""), ""none"")"),"269")</f>
        <v>269</v>
      </c>
      <c r="F252" s="1">
        <v>-16.853684</v>
      </c>
      <c r="G252" s="1">
        <v>8.0</v>
      </c>
      <c r="H252" s="1">
        <v>2.0</v>
      </c>
      <c r="I252" s="1">
        <v>0.25</v>
      </c>
      <c r="J252" s="1">
        <v>2.0</v>
      </c>
      <c r="K252" s="1">
        <v>-0.61432</v>
      </c>
      <c r="L252" s="1">
        <v>100.0</v>
      </c>
      <c r="M252" s="1">
        <v>0.0</v>
      </c>
      <c r="N252" s="1">
        <v>0.0</v>
      </c>
      <c r="O252" s="1">
        <v>94.781996</v>
      </c>
    </row>
    <row r="253">
      <c r="A253" s="1" t="s">
        <v>786</v>
      </c>
      <c r="B253" s="1" t="s">
        <v>787</v>
      </c>
      <c r="C253" s="5"/>
      <c r="D253" s="5"/>
      <c r="E253" s="1" t="str">
        <f>IFERROR(__xludf.DUMMYFUNCTION("IFERROR(REGEXEXTRACT(A253, ""res(269|122)""), ""none"")"),"269")</f>
        <v>269</v>
      </c>
      <c r="F253" s="1">
        <v>-16.043158</v>
      </c>
      <c r="G253" s="1">
        <v>11.0</v>
      </c>
      <c r="H253" s="1">
        <v>4.0</v>
      </c>
      <c r="I253" s="1">
        <v>0.272727</v>
      </c>
      <c r="J253" s="1">
        <v>2.0</v>
      </c>
      <c r="K253" s="1">
        <v>-0.622452999999999</v>
      </c>
      <c r="L253" s="1">
        <v>100.0</v>
      </c>
      <c r="M253" s="1">
        <v>0.0</v>
      </c>
      <c r="N253" s="1">
        <v>0.0</v>
      </c>
      <c r="O253" s="1">
        <v>100.607116</v>
      </c>
    </row>
    <row r="254">
      <c r="A254" s="1" t="s">
        <v>788</v>
      </c>
      <c r="B254" s="1" t="s">
        <v>789</v>
      </c>
      <c r="C254" s="5"/>
      <c r="D254" s="5"/>
      <c r="E254" s="1" t="str">
        <f>IFERROR(__xludf.DUMMYFUNCTION("IFERROR(REGEXEXTRACT(A254, ""res(269|122)""), ""none"")"),"269")</f>
        <v>269</v>
      </c>
      <c r="F254" s="1">
        <v>-17.026364</v>
      </c>
      <c r="G254" s="1">
        <v>9.0</v>
      </c>
      <c r="H254" s="1">
        <v>3.0</v>
      </c>
      <c r="I254" s="1">
        <v>0.333333</v>
      </c>
      <c r="J254" s="1">
        <v>2.0</v>
      </c>
      <c r="K254" s="1">
        <v>-1.021611</v>
      </c>
      <c r="L254" s="1">
        <v>100.0</v>
      </c>
      <c r="M254" s="1">
        <v>0.0</v>
      </c>
      <c r="N254" s="1">
        <v>0.0</v>
      </c>
      <c r="O254" s="1">
        <v>96.285358</v>
      </c>
    </row>
    <row r="255">
      <c r="A255" s="1" t="s">
        <v>790</v>
      </c>
      <c r="B255" s="1" t="s">
        <v>791</v>
      </c>
      <c r="C255" s="5"/>
      <c r="D255" s="5"/>
      <c r="E255" s="1" t="str">
        <f>IFERROR(__xludf.DUMMYFUNCTION("IFERROR(REGEXEXTRACT(A255, ""res(269|122)""), ""none"")"),"269")</f>
        <v>269</v>
      </c>
      <c r="F255" s="1">
        <v>-15.968585</v>
      </c>
      <c r="G255" s="1">
        <v>7.0</v>
      </c>
      <c r="H255" s="1">
        <v>2.0</v>
      </c>
      <c r="I255" s="1">
        <v>0.285714</v>
      </c>
      <c r="J255" s="1">
        <v>2.0</v>
      </c>
      <c r="K255" s="1">
        <v>-1.25003</v>
      </c>
      <c r="L255" s="1">
        <v>100.0</v>
      </c>
      <c r="M255" s="1">
        <v>0.0</v>
      </c>
      <c r="N255" s="1">
        <v>0.0</v>
      </c>
      <c r="O255" s="1">
        <v>94.067099</v>
      </c>
    </row>
    <row r="256">
      <c r="A256" s="1" t="s">
        <v>792</v>
      </c>
      <c r="B256" s="1" t="s">
        <v>793</v>
      </c>
      <c r="C256" s="5"/>
      <c r="D256" s="5"/>
      <c r="E256" s="1" t="str">
        <f>IFERROR(__xludf.DUMMYFUNCTION("IFERROR(REGEXEXTRACT(A256, ""res(269|122)""), ""none"")"),"269")</f>
        <v>269</v>
      </c>
      <c r="F256" s="1">
        <v>-15.701944</v>
      </c>
      <c r="G256" s="1">
        <v>7.0</v>
      </c>
      <c r="H256" s="1">
        <v>3.0</v>
      </c>
      <c r="I256" s="1">
        <v>0.285714</v>
      </c>
      <c r="J256" s="1">
        <v>2.0</v>
      </c>
      <c r="K256" s="1">
        <v>-0.189779</v>
      </c>
      <c r="L256" s="1">
        <v>100.0</v>
      </c>
      <c r="M256" s="1">
        <v>0.0</v>
      </c>
      <c r="N256" s="1">
        <v>0.0</v>
      </c>
      <c r="O256" s="1">
        <v>96.393991</v>
      </c>
    </row>
    <row r="257">
      <c r="A257" s="1" t="s">
        <v>794</v>
      </c>
      <c r="B257" s="1" t="s">
        <v>795</v>
      </c>
      <c r="C257" s="5"/>
      <c r="D257" s="5"/>
      <c r="E257" s="1" t="str">
        <f>IFERROR(__xludf.DUMMYFUNCTION("IFERROR(REGEXEXTRACT(A257, ""res(269|122)""), ""none"")"),"269")</f>
        <v>269</v>
      </c>
      <c r="F257" s="1">
        <v>-15.795906</v>
      </c>
      <c r="G257" s="1">
        <v>11.0</v>
      </c>
      <c r="H257" s="1">
        <v>4.0</v>
      </c>
      <c r="I257" s="1">
        <v>0.363636</v>
      </c>
      <c r="J257" s="1">
        <v>2.0</v>
      </c>
      <c r="K257" s="1">
        <v>-1.368672</v>
      </c>
      <c r="L257" s="1">
        <v>100.0</v>
      </c>
      <c r="M257" s="1">
        <v>0.0</v>
      </c>
      <c r="N257" s="1">
        <v>0.0</v>
      </c>
      <c r="O257" s="1">
        <v>100.199058</v>
      </c>
    </row>
    <row r="258">
      <c r="A258" s="1" t="s">
        <v>796</v>
      </c>
      <c r="B258" s="1" t="s">
        <v>797</v>
      </c>
      <c r="C258" s="5"/>
      <c r="D258" s="5"/>
      <c r="E258" s="1" t="str">
        <f>IFERROR(__xludf.DUMMYFUNCTION("IFERROR(REGEXEXTRACT(A258, ""res(269|122)""), ""none"")"),"269")</f>
        <v>269</v>
      </c>
      <c r="F258" s="1">
        <v>-16.171652</v>
      </c>
      <c r="G258" s="1">
        <v>11.0</v>
      </c>
      <c r="H258" s="1">
        <v>4.0</v>
      </c>
      <c r="I258" s="1">
        <v>0.272727</v>
      </c>
      <c r="J258" s="1">
        <v>2.0</v>
      </c>
      <c r="K258" s="1">
        <v>-0.585379</v>
      </c>
      <c r="L258" s="1">
        <v>100.0</v>
      </c>
      <c r="M258" s="1">
        <v>0.0</v>
      </c>
      <c r="N258" s="1">
        <v>0.0</v>
      </c>
      <c r="O258" s="1">
        <v>100.515696</v>
      </c>
    </row>
    <row r="259">
      <c r="A259" s="1" t="s">
        <v>798</v>
      </c>
      <c r="B259" s="1" t="s">
        <v>799</v>
      </c>
      <c r="C259" s="5"/>
      <c r="D259" s="5"/>
      <c r="E259" s="1" t="str">
        <f>IFERROR(__xludf.DUMMYFUNCTION("IFERROR(REGEXEXTRACT(A259, ""res(269|122)""), ""none"")"),"269")</f>
        <v>269</v>
      </c>
      <c r="F259" s="1">
        <v>-16.782024</v>
      </c>
      <c r="G259" s="1">
        <v>12.0</v>
      </c>
      <c r="H259" s="1">
        <v>4.0</v>
      </c>
      <c r="I259" s="1">
        <v>0.583333</v>
      </c>
      <c r="J259" s="1">
        <v>2.0</v>
      </c>
      <c r="K259" s="1">
        <v>-1.036546</v>
      </c>
      <c r="L259" s="1">
        <v>100.0</v>
      </c>
      <c r="M259" s="1">
        <v>0.0</v>
      </c>
      <c r="N259" s="1">
        <v>0.0</v>
      </c>
      <c r="O259" s="1">
        <v>100.764763</v>
      </c>
    </row>
    <row r="260">
      <c r="A260" s="1" t="s">
        <v>800</v>
      </c>
      <c r="B260" s="1" t="s">
        <v>801</v>
      </c>
      <c r="C260" s="5"/>
      <c r="D260" s="5"/>
      <c r="E260" s="1" t="str">
        <f>IFERROR(__xludf.DUMMYFUNCTION("IFERROR(REGEXEXTRACT(A260, ""res(269|122)""), ""none"")"),"269")</f>
        <v>269</v>
      </c>
      <c r="F260" s="1">
        <v>-16.864079</v>
      </c>
      <c r="G260" s="1">
        <v>8.0</v>
      </c>
      <c r="H260" s="1">
        <v>3.0</v>
      </c>
      <c r="I260" s="1">
        <v>0.375</v>
      </c>
      <c r="J260" s="1">
        <v>2.0</v>
      </c>
      <c r="K260" s="1">
        <v>-0.61508</v>
      </c>
      <c r="L260" s="1">
        <v>100.0</v>
      </c>
      <c r="M260" s="1">
        <v>0.0</v>
      </c>
      <c r="N260" s="1">
        <v>0.0</v>
      </c>
      <c r="O260" s="1">
        <v>95.895841</v>
      </c>
    </row>
    <row r="261">
      <c r="A261" s="1" t="s">
        <v>802</v>
      </c>
      <c r="B261" s="1" t="s">
        <v>803</v>
      </c>
      <c r="C261" s="5"/>
      <c r="D261" s="5"/>
      <c r="E261" s="1" t="str">
        <f>IFERROR(__xludf.DUMMYFUNCTION("IFERROR(REGEXEXTRACT(A261, ""res(269|122)""), ""none"")"),"269")</f>
        <v>269</v>
      </c>
      <c r="F261" s="1">
        <v>-15.073154</v>
      </c>
      <c r="G261" s="1">
        <v>10.0</v>
      </c>
      <c r="H261" s="1">
        <v>2.0</v>
      </c>
      <c r="I261" s="1">
        <v>0.4</v>
      </c>
      <c r="J261" s="1">
        <v>2.0</v>
      </c>
      <c r="K261" s="1">
        <v>-1.488286</v>
      </c>
      <c r="L261" s="1">
        <v>100.0</v>
      </c>
      <c r="M261" s="1">
        <v>0.0</v>
      </c>
      <c r="N261" s="1">
        <v>0.0</v>
      </c>
      <c r="O261" s="1">
        <v>97.83856</v>
      </c>
    </row>
    <row r="262">
      <c r="A262" s="1" t="s">
        <v>804</v>
      </c>
      <c r="B262" s="1" t="s">
        <v>805</v>
      </c>
      <c r="C262" s="5"/>
      <c r="D262" s="5"/>
      <c r="E262" s="1" t="str">
        <f>IFERROR(__xludf.DUMMYFUNCTION("IFERROR(REGEXEXTRACT(A262, ""res(269|122)""), ""none"")"),"269")</f>
        <v>269</v>
      </c>
      <c r="F262" s="1">
        <v>-16.216069</v>
      </c>
      <c r="G262" s="1">
        <v>7.0</v>
      </c>
      <c r="H262" s="1">
        <v>2.0</v>
      </c>
      <c r="I262" s="1">
        <v>0.285714</v>
      </c>
      <c r="J262" s="1">
        <v>2.0</v>
      </c>
      <c r="K262" s="1">
        <v>-0.390856</v>
      </c>
      <c r="L262" s="1">
        <v>100.0</v>
      </c>
      <c r="M262" s="1">
        <v>0.0</v>
      </c>
      <c r="N262" s="1">
        <v>0.0</v>
      </c>
      <c r="O262" s="1">
        <v>94.678789</v>
      </c>
    </row>
    <row r="263">
      <c r="A263" s="1" t="s">
        <v>806</v>
      </c>
      <c r="B263" s="1" t="s">
        <v>807</v>
      </c>
      <c r="C263" s="5"/>
      <c r="D263" s="5"/>
      <c r="E263" s="1" t="str">
        <f>IFERROR(__xludf.DUMMYFUNCTION("IFERROR(REGEXEXTRACT(A263, ""res(269|122)""), ""none"")"),"269")</f>
        <v>269</v>
      </c>
      <c r="F263" s="1">
        <v>-17.639319</v>
      </c>
      <c r="G263" s="1">
        <v>12.0</v>
      </c>
      <c r="H263" s="1">
        <v>3.0</v>
      </c>
      <c r="I263" s="1">
        <v>0.25</v>
      </c>
      <c r="J263" s="1">
        <v>2.0</v>
      </c>
      <c r="K263" s="1">
        <v>-0.813736</v>
      </c>
      <c r="L263" s="1">
        <v>100.0</v>
      </c>
      <c r="M263" s="1">
        <v>0.0</v>
      </c>
      <c r="N263" s="1">
        <v>0.0</v>
      </c>
      <c r="O263" s="1">
        <v>98.796945</v>
      </c>
    </row>
    <row r="264">
      <c r="A264" s="1" t="s">
        <v>808</v>
      </c>
      <c r="B264" s="1" t="s">
        <v>809</v>
      </c>
      <c r="C264" s="5"/>
      <c r="D264" s="5"/>
      <c r="E264" s="1" t="str">
        <f>IFERROR(__xludf.DUMMYFUNCTION("IFERROR(REGEXEXTRACT(A264, ""res(269|122)""), ""none"")"),"269")</f>
        <v>269</v>
      </c>
      <c r="F264" s="1">
        <v>-15.326067</v>
      </c>
      <c r="G264" s="1">
        <v>6.0</v>
      </c>
      <c r="H264" s="1">
        <v>1.0</v>
      </c>
      <c r="I264" s="1">
        <v>0.333333</v>
      </c>
      <c r="J264" s="1">
        <v>2.0</v>
      </c>
      <c r="K264" s="1">
        <v>-1.450523</v>
      </c>
      <c r="L264" s="1">
        <v>100.0</v>
      </c>
      <c r="M264" s="1">
        <v>0.0</v>
      </c>
      <c r="N264" s="1">
        <v>0.0</v>
      </c>
      <c r="O264" s="1">
        <v>92.556743</v>
      </c>
    </row>
    <row r="265">
      <c r="A265" s="1" t="s">
        <v>810</v>
      </c>
      <c r="B265" s="1" t="s">
        <v>811</v>
      </c>
      <c r="C265" s="5"/>
      <c r="D265" s="5"/>
      <c r="E265" s="1" t="str">
        <f>IFERROR(__xludf.DUMMYFUNCTION("IFERROR(REGEXEXTRACT(A265, ""res(269|122)""), ""none"")"),"269")</f>
        <v>269</v>
      </c>
      <c r="F265" s="1">
        <v>-16.419687</v>
      </c>
      <c r="G265" s="1">
        <v>11.0</v>
      </c>
      <c r="H265" s="1">
        <v>4.0</v>
      </c>
      <c r="I265" s="1">
        <v>0.272727</v>
      </c>
      <c r="J265" s="1">
        <v>2.0</v>
      </c>
      <c r="K265" s="1">
        <v>-0.954938</v>
      </c>
      <c r="L265" s="1">
        <v>100.0</v>
      </c>
      <c r="M265" s="1">
        <v>0.0</v>
      </c>
      <c r="N265" s="1">
        <v>0.0</v>
      </c>
      <c r="O265" s="1">
        <v>99.898102</v>
      </c>
    </row>
    <row r="266">
      <c r="A266" s="1" t="s">
        <v>812</v>
      </c>
      <c r="B266" s="1" t="s">
        <v>813</v>
      </c>
      <c r="C266" s="5"/>
      <c r="D266" s="5"/>
      <c r="E266" s="1" t="str">
        <f>IFERROR(__xludf.DUMMYFUNCTION("IFERROR(REGEXEXTRACT(A266, ""res(269|122)""), ""none"")"),"269")</f>
        <v>269</v>
      </c>
      <c r="F266" s="1">
        <v>-15.739191</v>
      </c>
      <c r="G266" s="1">
        <v>8.0</v>
      </c>
      <c r="H266" s="1">
        <v>3.0</v>
      </c>
      <c r="I266" s="1">
        <v>0.625</v>
      </c>
      <c r="J266" s="1">
        <v>2.0</v>
      </c>
      <c r="K266" s="1">
        <v>-0.299369999999999</v>
      </c>
      <c r="L266" s="1">
        <v>100.0</v>
      </c>
      <c r="M266" s="1">
        <v>0.0</v>
      </c>
      <c r="N266" s="1">
        <v>0.0</v>
      </c>
      <c r="O266" s="1">
        <v>97.586439</v>
      </c>
    </row>
    <row r="267">
      <c r="A267" s="1" t="s">
        <v>377</v>
      </c>
      <c r="B267" s="1" t="s">
        <v>378</v>
      </c>
      <c r="C267" s="5"/>
      <c r="D267" s="5"/>
      <c r="E267" s="1" t="str">
        <f>IFERROR(__xludf.DUMMYFUNCTION("IFERROR(REGEXEXTRACT(A267, ""res(269|122)""), ""none"")"),"269")</f>
        <v>269</v>
      </c>
      <c r="F267" s="1">
        <v>-15.43829</v>
      </c>
      <c r="G267" s="1">
        <v>8.0</v>
      </c>
      <c r="H267" s="1">
        <v>3.0</v>
      </c>
      <c r="I267" s="1">
        <v>0.375</v>
      </c>
      <c r="J267" s="1">
        <v>2.0</v>
      </c>
      <c r="K267" s="1">
        <v>-1.14393</v>
      </c>
      <c r="L267" s="1">
        <v>100.0</v>
      </c>
      <c r="M267" s="1">
        <v>0.0</v>
      </c>
      <c r="N267" s="1">
        <v>0.0</v>
      </c>
      <c r="O267" s="1">
        <v>96.79278</v>
      </c>
    </row>
    <row r="268">
      <c r="A268" s="1" t="s">
        <v>814</v>
      </c>
      <c r="B268" s="1" t="s">
        <v>815</v>
      </c>
      <c r="C268" s="5"/>
      <c r="D268" s="5"/>
      <c r="E268" s="1" t="str">
        <f>IFERROR(__xludf.DUMMYFUNCTION("IFERROR(REGEXEXTRACT(A268, ""res(269|122)""), ""none"")"),"269")</f>
        <v>269</v>
      </c>
      <c r="F268" s="1">
        <v>-15.995072</v>
      </c>
      <c r="G268" s="1">
        <v>11.0</v>
      </c>
      <c r="H268" s="1">
        <v>3.0</v>
      </c>
      <c r="I268" s="1">
        <v>0.363636</v>
      </c>
      <c r="J268" s="1">
        <v>2.0</v>
      </c>
      <c r="K268" s="1">
        <v>-1.313084</v>
      </c>
      <c r="L268" s="1">
        <v>100.0</v>
      </c>
      <c r="M268" s="1">
        <v>0.0</v>
      </c>
      <c r="N268" s="1">
        <v>0.0</v>
      </c>
      <c r="O268" s="1">
        <v>99.05548</v>
      </c>
    </row>
    <row r="269">
      <c r="A269" s="1" t="s">
        <v>816</v>
      </c>
      <c r="B269" s="1" t="s">
        <v>817</v>
      </c>
      <c r="C269" s="5"/>
      <c r="D269" s="5"/>
      <c r="E269" s="1" t="str">
        <f>IFERROR(__xludf.DUMMYFUNCTION("IFERROR(REGEXEXTRACT(A269, ""res(269|122)""), ""none"")"),"269")</f>
        <v>269</v>
      </c>
      <c r="F269" s="1">
        <v>-15.888689</v>
      </c>
      <c r="G269" s="1">
        <v>10.0</v>
      </c>
      <c r="H269" s="1">
        <v>2.0</v>
      </c>
      <c r="I269" s="1">
        <v>0.3</v>
      </c>
      <c r="J269" s="1">
        <v>2.0</v>
      </c>
      <c r="K269" s="1">
        <v>-0.501779</v>
      </c>
      <c r="L269" s="1">
        <v>100.0</v>
      </c>
      <c r="M269" s="1">
        <v>0.0</v>
      </c>
      <c r="N269" s="1">
        <v>0.0</v>
      </c>
      <c r="O269" s="1">
        <v>97.909532</v>
      </c>
    </row>
    <row r="270">
      <c r="A270" s="1" t="s">
        <v>818</v>
      </c>
      <c r="B270" s="1" t="s">
        <v>819</v>
      </c>
      <c r="C270" s="5"/>
      <c r="D270" s="5"/>
      <c r="E270" s="1" t="str">
        <f>IFERROR(__xludf.DUMMYFUNCTION("IFERROR(REGEXEXTRACT(A270, ""res(269|122)""), ""none"")"),"269")</f>
        <v>269</v>
      </c>
      <c r="F270" s="1">
        <v>-15.155713</v>
      </c>
      <c r="G270" s="1">
        <v>7.0</v>
      </c>
      <c r="H270" s="1">
        <v>2.0</v>
      </c>
      <c r="I270" s="1">
        <v>0.428571</v>
      </c>
      <c r="J270" s="1">
        <v>2.0</v>
      </c>
      <c r="K270" s="1">
        <v>-1.146592</v>
      </c>
      <c r="L270" s="1">
        <v>100.0</v>
      </c>
      <c r="M270" s="1">
        <v>0.0</v>
      </c>
      <c r="N270" s="1">
        <v>0.0</v>
      </c>
      <c r="O270" s="1">
        <v>95.126266</v>
      </c>
    </row>
    <row r="271">
      <c r="A271" s="1" t="s">
        <v>379</v>
      </c>
      <c r="B271" s="1" t="s">
        <v>380</v>
      </c>
      <c r="C271" s="5"/>
      <c r="D271" s="5"/>
      <c r="E271" s="1" t="str">
        <f>IFERROR(__xludf.DUMMYFUNCTION("IFERROR(REGEXEXTRACT(A271, ""res(269|122)""), ""none"")"),"269")</f>
        <v>269</v>
      </c>
      <c r="F271" s="1">
        <v>-16.179464</v>
      </c>
      <c r="G271" s="1">
        <v>11.0</v>
      </c>
      <c r="H271" s="1">
        <v>5.0</v>
      </c>
      <c r="I271" s="1">
        <v>0.454545</v>
      </c>
      <c r="J271" s="1">
        <v>2.0</v>
      </c>
      <c r="K271" s="1">
        <v>-0.328299</v>
      </c>
      <c r="L271" s="1">
        <v>100.0</v>
      </c>
      <c r="M271" s="1">
        <v>0.0</v>
      </c>
      <c r="N271" s="1">
        <v>0.0</v>
      </c>
      <c r="O271" s="1">
        <v>101.946782</v>
      </c>
    </row>
    <row r="272">
      <c r="A272" s="1" t="s">
        <v>820</v>
      </c>
      <c r="B272" s="1" t="s">
        <v>821</v>
      </c>
      <c r="C272" s="5"/>
      <c r="D272" s="5"/>
      <c r="E272" s="1" t="str">
        <f>IFERROR(__xludf.DUMMYFUNCTION("IFERROR(REGEXEXTRACT(A272, ""res(269|122)""), ""none"")"),"269")</f>
        <v>269</v>
      </c>
      <c r="F272" s="1">
        <v>-15.633367</v>
      </c>
      <c r="G272" s="1">
        <v>7.0</v>
      </c>
      <c r="H272" s="1">
        <v>1.0</v>
      </c>
      <c r="I272" s="1">
        <v>0.285714</v>
      </c>
      <c r="J272" s="1">
        <v>2.0</v>
      </c>
      <c r="K272" s="1">
        <v>-1.709096</v>
      </c>
      <c r="L272" s="1">
        <v>100.0</v>
      </c>
      <c r="M272" s="1">
        <v>0.0</v>
      </c>
      <c r="N272" s="1">
        <v>0.0</v>
      </c>
      <c r="O272" s="1">
        <v>92.943251</v>
      </c>
    </row>
    <row r="273">
      <c r="A273" s="1" t="s">
        <v>822</v>
      </c>
      <c r="B273" s="1" t="s">
        <v>823</v>
      </c>
      <c r="C273" s="5"/>
      <c r="D273" s="5"/>
      <c r="E273" s="1" t="str">
        <f>IFERROR(__xludf.DUMMYFUNCTION("IFERROR(REGEXEXTRACT(A273, ""res(269|122)""), ""none"")"),"269")</f>
        <v>269</v>
      </c>
      <c r="F273" s="1">
        <v>-15.42158</v>
      </c>
      <c r="G273" s="1">
        <v>11.0</v>
      </c>
      <c r="H273" s="1">
        <v>4.0</v>
      </c>
      <c r="I273" s="1">
        <v>0.272727</v>
      </c>
      <c r="J273" s="1">
        <v>3.0</v>
      </c>
      <c r="K273" s="1">
        <v>-1.893395</v>
      </c>
      <c r="L273" s="1">
        <v>100.0</v>
      </c>
      <c r="M273" s="1">
        <v>0.0</v>
      </c>
      <c r="N273" s="1">
        <v>0.0</v>
      </c>
      <c r="O273" s="1">
        <v>100.957752</v>
      </c>
    </row>
    <row r="274">
      <c r="A274" s="1" t="s">
        <v>381</v>
      </c>
      <c r="B274" s="1" t="s">
        <v>177</v>
      </c>
      <c r="C274" s="5"/>
      <c r="D274" s="5"/>
      <c r="E274" s="1" t="str">
        <f>IFERROR(__xludf.DUMMYFUNCTION("IFERROR(REGEXEXTRACT(A274, ""res(269|122)""), ""none"")"),"269")</f>
        <v>269</v>
      </c>
      <c r="F274" s="1">
        <v>-15.935374</v>
      </c>
      <c r="G274" s="1">
        <v>10.0</v>
      </c>
      <c r="H274" s="1">
        <v>2.0</v>
      </c>
      <c r="I274" s="1">
        <v>0.3</v>
      </c>
      <c r="J274" s="1">
        <v>3.0</v>
      </c>
      <c r="K274" s="1">
        <v>-1.849118</v>
      </c>
      <c r="L274" s="1">
        <v>100.0</v>
      </c>
      <c r="M274" s="1">
        <v>0.0</v>
      </c>
      <c r="N274" s="1">
        <v>0.0</v>
      </c>
      <c r="O274" s="1">
        <v>97.515508</v>
      </c>
    </row>
    <row r="275">
      <c r="A275" s="1" t="s">
        <v>824</v>
      </c>
      <c r="B275" s="1" t="s">
        <v>825</v>
      </c>
      <c r="C275" s="5"/>
      <c r="D275" s="5"/>
      <c r="E275" s="1" t="str">
        <f>IFERROR(__xludf.DUMMYFUNCTION("IFERROR(REGEXEXTRACT(A275, ""res(269|122)""), ""none"")"),"269")</f>
        <v>269</v>
      </c>
      <c r="F275" s="1">
        <v>-15.008357</v>
      </c>
      <c r="G275" s="1">
        <v>8.0</v>
      </c>
      <c r="H275" s="1">
        <v>2.0</v>
      </c>
      <c r="I275" s="1">
        <v>0.25</v>
      </c>
      <c r="J275" s="1">
        <v>2.0</v>
      </c>
      <c r="K275" s="1">
        <v>-0.295051</v>
      </c>
      <c r="L275" s="1">
        <v>100.0</v>
      </c>
      <c r="M275" s="1">
        <v>0.0</v>
      </c>
      <c r="N275" s="1">
        <v>0.0</v>
      </c>
      <c r="O275" s="1">
        <v>96.946592</v>
      </c>
    </row>
    <row r="276">
      <c r="A276" s="1" t="s">
        <v>826</v>
      </c>
      <c r="B276" s="1" t="s">
        <v>827</v>
      </c>
      <c r="C276" s="5"/>
      <c r="D276" s="5"/>
      <c r="E276" s="1" t="str">
        <f>IFERROR(__xludf.DUMMYFUNCTION("IFERROR(REGEXEXTRACT(A276, ""res(269|122)""), ""none"")"),"269")</f>
        <v>269</v>
      </c>
      <c r="F276" s="1">
        <v>-16.467141</v>
      </c>
      <c r="G276" s="1">
        <v>9.0</v>
      </c>
      <c r="H276" s="1">
        <v>1.0</v>
      </c>
      <c r="I276" s="1">
        <v>0.333333</v>
      </c>
      <c r="J276" s="1">
        <v>2.0</v>
      </c>
      <c r="K276" s="1">
        <v>-0.424315999999999</v>
      </c>
      <c r="L276" s="1">
        <v>100.0</v>
      </c>
      <c r="M276" s="1">
        <v>0.0</v>
      </c>
      <c r="N276" s="1">
        <v>0.0</v>
      </c>
      <c r="O276" s="1">
        <v>95.441876</v>
      </c>
    </row>
    <row r="277">
      <c r="A277" s="1" t="s">
        <v>828</v>
      </c>
      <c r="B277" s="1" t="s">
        <v>829</v>
      </c>
      <c r="C277" s="5"/>
      <c r="D277" s="5"/>
      <c r="E277" s="1" t="str">
        <f>IFERROR(__xludf.DUMMYFUNCTION("IFERROR(REGEXEXTRACT(A277, ""res(269|122)""), ""none"")"),"269")</f>
        <v>269</v>
      </c>
      <c r="F277" s="1">
        <v>-15.535685</v>
      </c>
      <c r="G277" s="1">
        <v>8.0</v>
      </c>
      <c r="H277" s="1">
        <v>2.0</v>
      </c>
      <c r="I277" s="1">
        <v>0.25</v>
      </c>
      <c r="J277" s="1">
        <v>2.0</v>
      </c>
      <c r="K277" s="1">
        <v>-0.527892</v>
      </c>
      <c r="L277" s="1">
        <v>100.0</v>
      </c>
      <c r="M277" s="1">
        <v>0.0</v>
      </c>
      <c r="N277" s="1">
        <v>0.0</v>
      </c>
      <c r="O277" s="1">
        <v>96.186423</v>
      </c>
    </row>
    <row r="278">
      <c r="A278" s="1" t="s">
        <v>830</v>
      </c>
      <c r="B278" s="1" t="s">
        <v>831</v>
      </c>
      <c r="C278" s="5"/>
      <c r="D278" s="5"/>
      <c r="E278" s="1" t="str">
        <f>IFERROR(__xludf.DUMMYFUNCTION("IFERROR(REGEXEXTRACT(A278, ""res(269|122)""), ""none"")"),"269")</f>
        <v>269</v>
      </c>
      <c r="F278" s="1">
        <v>-15.839717</v>
      </c>
      <c r="G278" s="1">
        <v>6.0</v>
      </c>
      <c r="H278" s="1">
        <v>1.0</v>
      </c>
      <c r="I278" s="1">
        <v>0.5</v>
      </c>
      <c r="J278" s="1">
        <v>2.0</v>
      </c>
      <c r="K278" s="1">
        <v>-0.508068</v>
      </c>
      <c r="L278" s="1">
        <v>100.0</v>
      </c>
      <c r="M278" s="1">
        <v>0.0</v>
      </c>
      <c r="N278" s="1">
        <v>0.0</v>
      </c>
      <c r="O278" s="1">
        <v>93.152215</v>
      </c>
    </row>
    <row r="279">
      <c r="A279" s="1" t="s">
        <v>832</v>
      </c>
      <c r="B279" s="1" t="s">
        <v>833</v>
      </c>
      <c r="C279" s="5"/>
      <c r="D279" s="5"/>
      <c r="E279" s="1" t="str">
        <f>IFERROR(__xludf.DUMMYFUNCTION("IFERROR(REGEXEXTRACT(A279, ""res(269|122)""), ""none"")"),"269")</f>
        <v>269</v>
      </c>
      <c r="F279" s="1">
        <v>-15.836233</v>
      </c>
      <c r="G279" s="1">
        <v>7.0</v>
      </c>
      <c r="H279" s="1">
        <v>3.0</v>
      </c>
      <c r="I279" s="1">
        <v>0.428571</v>
      </c>
      <c r="J279" s="1">
        <v>2.0</v>
      </c>
      <c r="K279" s="1">
        <v>-0.436698</v>
      </c>
      <c r="L279" s="1">
        <v>100.0</v>
      </c>
      <c r="M279" s="1">
        <v>0.0</v>
      </c>
      <c r="N279" s="1">
        <v>0.0</v>
      </c>
      <c r="O279" s="1">
        <v>96.15564</v>
      </c>
    </row>
    <row r="280">
      <c r="A280" s="1" t="s">
        <v>382</v>
      </c>
      <c r="B280" s="1" t="s">
        <v>180</v>
      </c>
      <c r="C280" s="5"/>
      <c r="D280" s="5"/>
      <c r="E280" s="1" t="str">
        <f>IFERROR(__xludf.DUMMYFUNCTION("IFERROR(REGEXEXTRACT(A280, ""res(269|122)""), ""none"")"),"269")</f>
        <v>269</v>
      </c>
      <c r="F280" s="1">
        <v>-15.953649</v>
      </c>
      <c r="G280" s="1">
        <v>12.0</v>
      </c>
      <c r="H280" s="1">
        <v>5.0</v>
      </c>
      <c r="I280" s="1">
        <v>0.416667</v>
      </c>
      <c r="J280" s="1">
        <v>3.0</v>
      </c>
      <c r="K280" s="1">
        <v>-0.584621</v>
      </c>
      <c r="L280" s="1">
        <v>100.0</v>
      </c>
      <c r="M280" s="1">
        <v>0.0</v>
      </c>
      <c r="N280" s="1">
        <v>0.0</v>
      </c>
      <c r="O280" s="1">
        <v>103.878397</v>
      </c>
    </row>
    <row r="281">
      <c r="A281" s="1" t="s">
        <v>383</v>
      </c>
      <c r="B281" s="1" t="s">
        <v>183</v>
      </c>
      <c r="C281" s="5"/>
      <c r="D281" s="5"/>
      <c r="E281" s="1" t="str">
        <f>IFERROR(__xludf.DUMMYFUNCTION("IFERROR(REGEXEXTRACT(A281, ""res(269|122)""), ""none"")"),"269")</f>
        <v>269</v>
      </c>
      <c r="F281" s="1">
        <v>-15.953649</v>
      </c>
      <c r="G281" s="1">
        <v>12.0</v>
      </c>
      <c r="H281" s="1">
        <v>5.0</v>
      </c>
      <c r="I281" s="1">
        <v>0.416667</v>
      </c>
      <c r="J281" s="1">
        <v>3.0</v>
      </c>
      <c r="K281" s="1">
        <v>-0.584621</v>
      </c>
      <c r="L281" s="1">
        <v>100.0</v>
      </c>
      <c r="M281" s="1">
        <v>0.0</v>
      </c>
      <c r="N281" s="1">
        <v>0.0</v>
      </c>
      <c r="O281" s="1">
        <v>103.878397</v>
      </c>
    </row>
    <row r="282">
      <c r="A282" s="1" t="s">
        <v>834</v>
      </c>
      <c r="B282" s="1" t="s">
        <v>835</v>
      </c>
      <c r="C282" s="5"/>
      <c r="D282" s="5"/>
      <c r="E282" s="1" t="str">
        <f>IFERROR(__xludf.DUMMYFUNCTION("IFERROR(REGEXEXTRACT(A282, ""res(269|122)""), ""none"")"),"269")</f>
        <v>269</v>
      </c>
      <c r="F282" s="1">
        <v>-16.225663</v>
      </c>
      <c r="G282" s="1">
        <v>8.0</v>
      </c>
      <c r="H282" s="1">
        <v>2.0</v>
      </c>
      <c r="I282" s="1">
        <v>0.375</v>
      </c>
      <c r="J282" s="1">
        <v>2.0</v>
      </c>
      <c r="K282" s="1">
        <v>-0.720027</v>
      </c>
      <c r="L282" s="1">
        <v>100.0</v>
      </c>
      <c r="M282" s="1">
        <v>0.0</v>
      </c>
      <c r="N282" s="1">
        <v>0.0</v>
      </c>
      <c r="O282" s="1">
        <v>95.42931</v>
      </c>
    </row>
    <row r="283">
      <c r="A283" s="1" t="s">
        <v>836</v>
      </c>
      <c r="B283" s="1" t="s">
        <v>837</v>
      </c>
      <c r="C283" s="5"/>
      <c r="D283" s="5"/>
      <c r="E283" s="1" t="str">
        <f>IFERROR(__xludf.DUMMYFUNCTION("IFERROR(REGEXEXTRACT(A283, ""res(269|122)""), ""none"")"),"269")</f>
        <v>269</v>
      </c>
      <c r="F283" s="1">
        <v>-15.207792</v>
      </c>
      <c r="G283" s="1">
        <v>10.0</v>
      </c>
      <c r="H283" s="1">
        <v>5.0</v>
      </c>
      <c r="I283" s="1">
        <v>0.5</v>
      </c>
      <c r="J283" s="1">
        <v>2.0</v>
      </c>
      <c r="K283" s="1">
        <v>-0.487261</v>
      </c>
      <c r="L283" s="1">
        <v>100.0</v>
      </c>
      <c r="M283" s="1">
        <v>0.0</v>
      </c>
      <c r="N283" s="1">
        <v>0.0</v>
      </c>
      <c r="O283" s="1">
        <v>101.804947</v>
      </c>
    </row>
    <row r="284">
      <c r="A284" s="1" t="s">
        <v>384</v>
      </c>
      <c r="B284" s="1" t="s">
        <v>385</v>
      </c>
      <c r="C284" s="5"/>
      <c r="D284" s="5"/>
      <c r="E284" s="1" t="str">
        <f>IFERROR(__xludf.DUMMYFUNCTION("IFERROR(REGEXEXTRACT(A284, ""res(269|122)""), ""none"")"),"269")</f>
        <v>269</v>
      </c>
      <c r="F284" s="1">
        <v>-15.47128</v>
      </c>
      <c r="G284" s="1">
        <v>8.0</v>
      </c>
      <c r="H284" s="1">
        <v>5.0</v>
      </c>
      <c r="I284" s="1">
        <v>0.5</v>
      </c>
      <c r="J284" s="1">
        <v>2.0</v>
      </c>
      <c r="K284" s="1">
        <v>-0.38008</v>
      </c>
      <c r="L284" s="1">
        <v>100.0</v>
      </c>
      <c r="M284" s="1">
        <v>0.0</v>
      </c>
      <c r="N284" s="1">
        <v>0.0</v>
      </c>
      <c r="O284" s="1">
        <v>99.64864</v>
      </c>
    </row>
    <row r="285">
      <c r="A285" s="1" t="s">
        <v>386</v>
      </c>
      <c r="B285" s="1" t="s">
        <v>185</v>
      </c>
      <c r="C285" s="5"/>
      <c r="D285" s="5"/>
      <c r="E285" s="1" t="str">
        <f>IFERROR(__xludf.DUMMYFUNCTION("IFERROR(REGEXEXTRACT(A285, ""res(269|122)""), ""none"")"),"269")</f>
        <v>269</v>
      </c>
      <c r="F285" s="1">
        <v>-15.47128</v>
      </c>
      <c r="G285" s="1">
        <v>8.0</v>
      </c>
      <c r="H285" s="1">
        <v>5.0</v>
      </c>
      <c r="I285" s="1">
        <v>0.5</v>
      </c>
      <c r="J285" s="1">
        <v>2.0</v>
      </c>
      <c r="K285" s="1">
        <v>-0.38008</v>
      </c>
      <c r="L285" s="1">
        <v>100.0</v>
      </c>
      <c r="M285" s="1">
        <v>0.0</v>
      </c>
      <c r="N285" s="1">
        <v>0.0</v>
      </c>
      <c r="O285" s="1">
        <v>99.64864</v>
      </c>
    </row>
    <row r="286">
      <c r="A286" s="1" t="s">
        <v>387</v>
      </c>
      <c r="B286" s="1" t="s">
        <v>388</v>
      </c>
      <c r="C286" s="5"/>
      <c r="D286" s="5"/>
      <c r="E286" s="1" t="str">
        <f>IFERROR(__xludf.DUMMYFUNCTION("IFERROR(REGEXEXTRACT(A286, ""res(269|122)""), ""none"")"),"269")</f>
        <v>269</v>
      </c>
      <c r="F286" s="1">
        <v>-15.350062</v>
      </c>
      <c r="G286" s="1">
        <v>8.0</v>
      </c>
      <c r="H286" s="1">
        <v>3.0</v>
      </c>
      <c r="I286" s="1">
        <v>0.375</v>
      </c>
      <c r="J286" s="1">
        <v>2.0</v>
      </c>
      <c r="K286" s="1">
        <v>-1.00126</v>
      </c>
      <c r="L286" s="1">
        <v>100.0</v>
      </c>
      <c r="M286" s="1">
        <v>0.0</v>
      </c>
      <c r="N286" s="1">
        <v>0.0</v>
      </c>
      <c r="O286" s="1">
        <v>97.023678</v>
      </c>
    </row>
    <row r="287">
      <c r="A287" s="1" t="s">
        <v>838</v>
      </c>
      <c r="B287" s="1" t="s">
        <v>839</v>
      </c>
      <c r="C287" s="5"/>
      <c r="D287" s="5"/>
      <c r="E287" s="1" t="str">
        <f>IFERROR(__xludf.DUMMYFUNCTION("IFERROR(REGEXEXTRACT(A287, ""res(269|122)""), ""none"")"),"269")</f>
        <v>269</v>
      </c>
      <c r="F287" s="1">
        <v>-15.388725</v>
      </c>
      <c r="G287" s="1">
        <v>8.0</v>
      </c>
      <c r="H287" s="1">
        <v>2.0</v>
      </c>
      <c r="I287" s="1">
        <v>0.25</v>
      </c>
      <c r="J287" s="1">
        <v>2.0</v>
      </c>
      <c r="K287" s="1">
        <v>-0.538614</v>
      </c>
      <c r="L287" s="1">
        <v>100.0</v>
      </c>
      <c r="M287" s="1">
        <v>0.0</v>
      </c>
      <c r="N287" s="1">
        <v>0.0</v>
      </c>
      <c r="O287" s="1">
        <v>96.322661</v>
      </c>
    </row>
    <row r="288">
      <c r="A288" s="1" t="s">
        <v>840</v>
      </c>
      <c r="B288" s="1" t="s">
        <v>841</v>
      </c>
      <c r="C288" s="5"/>
      <c r="D288" s="5"/>
      <c r="E288" s="1" t="str">
        <f>IFERROR(__xludf.DUMMYFUNCTION("IFERROR(REGEXEXTRACT(A288, ""res(269|122)""), ""none"")"),"269")</f>
        <v>269</v>
      </c>
      <c r="F288" s="1">
        <v>-15.208228</v>
      </c>
      <c r="G288" s="1">
        <v>7.0</v>
      </c>
      <c r="H288" s="1">
        <v>1.0</v>
      </c>
      <c r="I288" s="1">
        <v>0.285714</v>
      </c>
      <c r="J288" s="1">
        <v>2.0</v>
      </c>
      <c r="K288" s="1">
        <v>-0.319762</v>
      </c>
      <c r="L288" s="1">
        <v>100.0</v>
      </c>
      <c r="M288" s="1">
        <v>0.0</v>
      </c>
      <c r="N288" s="1">
        <v>0.0</v>
      </c>
      <c r="O288" s="1">
        <v>94.757724</v>
      </c>
    </row>
    <row r="289">
      <c r="A289" s="1" t="s">
        <v>842</v>
      </c>
      <c r="B289" s="1" t="s">
        <v>843</v>
      </c>
      <c r="C289" s="5"/>
      <c r="D289" s="5"/>
      <c r="E289" s="1" t="str">
        <f>IFERROR(__xludf.DUMMYFUNCTION("IFERROR(REGEXEXTRACT(A289, ""res(269|122)""), ""none"")"),"269")</f>
        <v>269</v>
      </c>
      <c r="F289" s="1">
        <v>-15.313395</v>
      </c>
      <c r="G289" s="1">
        <v>8.0</v>
      </c>
      <c r="H289" s="1">
        <v>3.0</v>
      </c>
      <c r="I289" s="1">
        <v>0.25</v>
      </c>
      <c r="J289" s="1">
        <v>2.0</v>
      </c>
      <c r="K289" s="1">
        <v>-0.692413</v>
      </c>
      <c r="L289" s="1">
        <v>100.0</v>
      </c>
      <c r="M289" s="1">
        <v>0.0</v>
      </c>
      <c r="N289" s="1">
        <v>0.0</v>
      </c>
      <c r="O289" s="1">
        <v>97.244192</v>
      </c>
    </row>
    <row r="290">
      <c r="A290" s="1" t="s">
        <v>844</v>
      </c>
      <c r="B290" s="1" t="s">
        <v>845</v>
      </c>
      <c r="C290" s="5"/>
      <c r="D290" s="5"/>
      <c r="E290" s="1" t="str">
        <f>IFERROR(__xludf.DUMMYFUNCTION("IFERROR(REGEXEXTRACT(A290, ""res(269|122)""), ""none"")"),"269")</f>
        <v>269</v>
      </c>
      <c r="F290" s="1">
        <v>-15.721708</v>
      </c>
      <c r="G290" s="1">
        <v>8.0</v>
      </c>
      <c r="H290" s="1">
        <v>2.0</v>
      </c>
      <c r="I290" s="1">
        <v>0.25</v>
      </c>
      <c r="J290" s="1">
        <v>2.0</v>
      </c>
      <c r="K290" s="1">
        <v>-0.627078</v>
      </c>
      <c r="L290" s="1">
        <v>100.0</v>
      </c>
      <c r="M290" s="1">
        <v>0.0</v>
      </c>
      <c r="N290" s="1">
        <v>0.0</v>
      </c>
      <c r="O290" s="1">
        <v>95.901214</v>
      </c>
    </row>
    <row r="291">
      <c r="A291" s="1" t="s">
        <v>389</v>
      </c>
      <c r="B291" s="1" t="s">
        <v>390</v>
      </c>
      <c r="C291" s="5"/>
      <c r="D291" s="5"/>
      <c r="E291" s="1" t="str">
        <f>IFERROR(__xludf.DUMMYFUNCTION("IFERROR(REGEXEXTRACT(A291, ""res(269|122)""), ""none"")"),"269")</f>
        <v>269</v>
      </c>
      <c r="F291" s="1">
        <v>-17.013166</v>
      </c>
      <c r="G291" s="1">
        <v>10.0</v>
      </c>
      <c r="H291" s="1">
        <v>3.0</v>
      </c>
      <c r="I291" s="1">
        <v>0.4</v>
      </c>
      <c r="J291" s="1">
        <v>2.0</v>
      </c>
      <c r="K291" s="1">
        <v>-0.429581</v>
      </c>
      <c r="L291" s="1">
        <v>100.0</v>
      </c>
      <c r="M291" s="1">
        <v>0.0</v>
      </c>
      <c r="N291" s="1">
        <v>0.0</v>
      </c>
      <c r="O291" s="1">
        <v>97.957253</v>
      </c>
    </row>
    <row r="292">
      <c r="A292" s="1" t="s">
        <v>846</v>
      </c>
      <c r="B292" s="1" t="s">
        <v>847</v>
      </c>
      <c r="C292" s="5"/>
      <c r="D292" s="5"/>
      <c r="E292" s="1" t="str">
        <f>IFERROR(__xludf.DUMMYFUNCTION("IFERROR(REGEXEXTRACT(A292, ""res(269|122)""), ""none"")"),"269")</f>
        <v>269</v>
      </c>
      <c r="F292" s="1">
        <v>-15.366705</v>
      </c>
      <c r="G292" s="1">
        <v>8.0</v>
      </c>
      <c r="H292" s="1">
        <v>5.0</v>
      </c>
      <c r="I292" s="1">
        <v>0.375</v>
      </c>
      <c r="J292" s="1">
        <v>2.0</v>
      </c>
      <c r="K292" s="1">
        <v>-1.175689</v>
      </c>
      <c r="L292" s="1">
        <v>100.0</v>
      </c>
      <c r="M292" s="1">
        <v>0.0</v>
      </c>
      <c r="N292" s="1">
        <v>0.0</v>
      </c>
      <c r="O292" s="1">
        <v>98.832606</v>
      </c>
    </row>
    <row r="293">
      <c r="A293" s="1" t="s">
        <v>848</v>
      </c>
      <c r="B293" s="1" t="s">
        <v>849</v>
      </c>
      <c r="C293" s="5"/>
      <c r="D293" s="5"/>
      <c r="E293" s="1" t="str">
        <f>IFERROR(__xludf.DUMMYFUNCTION("IFERROR(REGEXEXTRACT(A293, ""res(269|122)""), ""none"")"),"269")</f>
        <v>269</v>
      </c>
      <c r="F293" s="1">
        <v>-16.609541</v>
      </c>
      <c r="G293" s="1">
        <v>13.0</v>
      </c>
      <c r="H293" s="1">
        <v>3.0</v>
      </c>
      <c r="I293" s="1">
        <v>0.307692</v>
      </c>
      <c r="J293" s="1">
        <v>2.0</v>
      </c>
      <c r="K293" s="1">
        <v>-0.78753</v>
      </c>
      <c r="L293" s="1">
        <v>100.0</v>
      </c>
      <c r="M293" s="1">
        <v>0.0</v>
      </c>
      <c r="N293" s="1">
        <v>0.0</v>
      </c>
      <c r="O293" s="1">
        <v>100.910621</v>
      </c>
    </row>
    <row r="294">
      <c r="A294" s="1" t="s">
        <v>391</v>
      </c>
      <c r="B294" s="1" t="s">
        <v>392</v>
      </c>
      <c r="C294" s="5"/>
      <c r="D294" s="5"/>
      <c r="E294" s="1" t="str">
        <f>IFERROR(__xludf.DUMMYFUNCTION("IFERROR(REGEXEXTRACT(A294, ""res(269|122)""), ""none"")"),"269")</f>
        <v>269</v>
      </c>
      <c r="F294" s="1">
        <v>-17.033126</v>
      </c>
      <c r="G294" s="1">
        <v>11.0</v>
      </c>
      <c r="H294" s="1">
        <v>5.0</v>
      </c>
      <c r="I294" s="1">
        <v>0.363636</v>
      </c>
      <c r="J294" s="1">
        <v>2.0</v>
      </c>
      <c r="K294" s="1">
        <v>-1.0082</v>
      </c>
      <c r="L294" s="1">
        <v>100.0</v>
      </c>
      <c r="M294" s="1">
        <v>0.0</v>
      </c>
      <c r="N294" s="1">
        <v>0.0</v>
      </c>
      <c r="O294" s="1">
        <v>100.32231</v>
      </c>
    </row>
    <row r="295">
      <c r="A295" s="1" t="s">
        <v>850</v>
      </c>
      <c r="B295" s="1" t="s">
        <v>851</v>
      </c>
      <c r="C295" s="5"/>
      <c r="D295" s="5"/>
      <c r="E295" s="1" t="str">
        <f>IFERROR(__xludf.DUMMYFUNCTION("IFERROR(REGEXEXTRACT(A295, ""res(269|122)""), ""none"")"),"269")</f>
        <v>269</v>
      </c>
      <c r="F295" s="1">
        <v>-17.462623</v>
      </c>
      <c r="G295" s="1">
        <v>7.0</v>
      </c>
      <c r="H295" s="1">
        <v>3.0</v>
      </c>
      <c r="I295" s="1">
        <v>0.571429</v>
      </c>
      <c r="J295" s="1">
        <v>2.0</v>
      </c>
      <c r="K295" s="1">
        <v>-0.909463</v>
      </c>
      <c r="L295" s="1">
        <v>100.0</v>
      </c>
      <c r="M295" s="1">
        <v>0.0</v>
      </c>
      <c r="N295" s="1">
        <v>0.0</v>
      </c>
      <c r="O295" s="1">
        <v>94.199343</v>
      </c>
    </row>
    <row r="296">
      <c r="A296" s="1" t="s">
        <v>852</v>
      </c>
      <c r="B296" s="1" t="s">
        <v>853</v>
      </c>
      <c r="C296" s="5"/>
      <c r="D296" s="5"/>
      <c r="E296" s="1" t="str">
        <f>IFERROR(__xludf.DUMMYFUNCTION("IFERROR(REGEXEXTRACT(A296, ""res(269|122)""), ""none"")"),"269")</f>
        <v>269</v>
      </c>
      <c r="F296" s="1">
        <v>-16.083759</v>
      </c>
      <c r="G296" s="1">
        <v>8.0</v>
      </c>
      <c r="H296" s="1">
        <v>3.0</v>
      </c>
      <c r="I296" s="1">
        <v>0.25</v>
      </c>
      <c r="J296" s="1">
        <v>3.0</v>
      </c>
      <c r="K296" s="1">
        <v>-1.577405</v>
      </c>
      <c r="L296" s="1">
        <v>100.0</v>
      </c>
      <c r="M296" s="1">
        <v>0.0</v>
      </c>
      <c r="N296" s="1">
        <v>0.0</v>
      </c>
      <c r="O296" s="1">
        <v>96.588836</v>
      </c>
    </row>
    <row r="297">
      <c r="A297" s="1" t="s">
        <v>854</v>
      </c>
      <c r="B297" s="1" t="s">
        <v>855</v>
      </c>
      <c r="C297" s="5"/>
      <c r="D297" s="5"/>
      <c r="E297" s="1" t="str">
        <f>IFERROR(__xludf.DUMMYFUNCTION("IFERROR(REGEXEXTRACT(A297, ""res(269|122)""), ""none"")"),"269")</f>
        <v>269</v>
      </c>
      <c r="F297" s="1">
        <v>-15.73636</v>
      </c>
      <c r="G297" s="1">
        <v>6.0</v>
      </c>
      <c r="H297" s="1">
        <v>3.0</v>
      </c>
      <c r="I297" s="1">
        <v>0.5</v>
      </c>
      <c r="J297" s="1">
        <v>2.0</v>
      </c>
      <c r="K297" s="1">
        <v>-0.341348999999999</v>
      </c>
      <c r="L297" s="1">
        <v>100.0</v>
      </c>
      <c r="M297" s="1">
        <v>0.0</v>
      </c>
      <c r="N297" s="1">
        <v>0.0</v>
      </c>
      <c r="O297" s="1">
        <v>95.422291</v>
      </c>
    </row>
    <row r="298">
      <c r="A298" s="1" t="s">
        <v>856</v>
      </c>
      <c r="B298" s="1" t="s">
        <v>857</v>
      </c>
      <c r="C298" s="5"/>
      <c r="D298" s="5"/>
      <c r="E298" s="1" t="str">
        <f>IFERROR(__xludf.DUMMYFUNCTION("IFERROR(REGEXEXTRACT(A298, ""res(269|122)""), ""none"")"),"269")</f>
        <v>269</v>
      </c>
      <c r="F298" s="1">
        <v>-15.16839</v>
      </c>
      <c r="G298" s="1">
        <v>10.0</v>
      </c>
      <c r="H298" s="1">
        <v>3.0</v>
      </c>
      <c r="I298" s="1">
        <v>0.4</v>
      </c>
      <c r="J298" s="1">
        <v>2.0</v>
      </c>
      <c r="K298" s="1">
        <v>-1.293499</v>
      </c>
      <c r="L298" s="1">
        <v>100.0</v>
      </c>
      <c r="M298" s="1">
        <v>0.0</v>
      </c>
      <c r="N298" s="1">
        <v>0.0</v>
      </c>
      <c r="O298" s="1">
        <v>98.938111</v>
      </c>
    </row>
    <row r="299">
      <c r="A299" s="1" t="s">
        <v>858</v>
      </c>
      <c r="B299" s="1" t="s">
        <v>859</v>
      </c>
      <c r="C299" s="5"/>
      <c r="D299" s="5"/>
      <c r="E299" s="1" t="str">
        <f>IFERROR(__xludf.DUMMYFUNCTION("IFERROR(REGEXEXTRACT(A299, ""res(269|122)""), ""none"")"),"269")</f>
        <v>269</v>
      </c>
      <c r="F299" s="1">
        <v>-15.267258</v>
      </c>
      <c r="G299" s="1">
        <v>10.0</v>
      </c>
      <c r="H299" s="1">
        <v>3.0</v>
      </c>
      <c r="I299" s="1">
        <v>0.4</v>
      </c>
      <c r="J299" s="1">
        <v>2.0</v>
      </c>
      <c r="K299" s="1">
        <v>-0.752593</v>
      </c>
      <c r="L299" s="1">
        <v>100.0</v>
      </c>
      <c r="M299" s="1">
        <v>0.0</v>
      </c>
      <c r="N299" s="1">
        <v>0.0</v>
      </c>
      <c r="O299" s="1">
        <v>99.380149</v>
      </c>
    </row>
    <row r="300">
      <c r="A300" s="1" t="s">
        <v>860</v>
      </c>
      <c r="B300" s="1" t="s">
        <v>861</v>
      </c>
      <c r="C300" s="5"/>
      <c r="D300" s="5"/>
      <c r="E300" s="1" t="str">
        <f>IFERROR(__xludf.DUMMYFUNCTION("IFERROR(REGEXEXTRACT(A300, ""res(269|122)""), ""none"")"),"269")</f>
        <v>269</v>
      </c>
      <c r="F300" s="1">
        <v>-15.466833</v>
      </c>
      <c r="G300" s="1">
        <v>8.0</v>
      </c>
      <c r="H300" s="1">
        <v>3.0</v>
      </c>
      <c r="I300" s="1">
        <v>0.5</v>
      </c>
      <c r="J300" s="1">
        <v>2.0</v>
      </c>
      <c r="K300" s="1">
        <v>-0.908309</v>
      </c>
      <c r="L300" s="1">
        <v>100.0</v>
      </c>
      <c r="M300" s="1">
        <v>0.0</v>
      </c>
      <c r="N300" s="1">
        <v>0.0</v>
      </c>
      <c r="O300" s="1">
        <v>97.124858</v>
      </c>
    </row>
    <row r="301">
      <c r="A301" s="1" t="s">
        <v>862</v>
      </c>
      <c r="B301" s="1" t="s">
        <v>863</v>
      </c>
      <c r="C301" s="5"/>
      <c r="D301" s="5"/>
      <c r="E301" s="1" t="str">
        <f>IFERROR(__xludf.DUMMYFUNCTION("IFERROR(REGEXEXTRACT(A301, ""res(269|122)""), ""none"")"),"269")</f>
        <v>269</v>
      </c>
      <c r="F301" s="1">
        <v>-15.440269</v>
      </c>
      <c r="G301" s="1">
        <v>9.0</v>
      </c>
      <c r="H301" s="1">
        <v>2.0</v>
      </c>
      <c r="I301" s="1">
        <v>0.333333</v>
      </c>
      <c r="J301" s="1">
        <v>2.0</v>
      </c>
      <c r="K301" s="1">
        <v>-0.877261</v>
      </c>
      <c r="L301" s="1">
        <v>100.0</v>
      </c>
      <c r="M301" s="1">
        <v>0.0</v>
      </c>
      <c r="N301" s="1">
        <v>0.0</v>
      </c>
      <c r="O301" s="1">
        <v>97.015803</v>
      </c>
    </row>
    <row r="302">
      <c r="A302" s="1" t="s">
        <v>864</v>
      </c>
      <c r="B302" s="1" t="s">
        <v>865</v>
      </c>
      <c r="C302" s="5"/>
      <c r="D302" s="5"/>
      <c r="E302" s="1" t="str">
        <f>IFERROR(__xludf.DUMMYFUNCTION("IFERROR(REGEXEXTRACT(A302, ""res(269|122)""), ""none"")"),"269")</f>
        <v>269</v>
      </c>
      <c r="F302" s="1">
        <v>-15.95213</v>
      </c>
      <c r="G302" s="1">
        <v>10.0</v>
      </c>
      <c r="H302" s="1">
        <v>2.0</v>
      </c>
      <c r="I302" s="1">
        <v>0.3</v>
      </c>
      <c r="J302" s="1">
        <v>3.0</v>
      </c>
      <c r="K302" s="1">
        <v>-0.719791</v>
      </c>
      <c r="L302" s="1">
        <v>100.0</v>
      </c>
      <c r="M302" s="1">
        <v>0.0</v>
      </c>
      <c r="N302" s="1">
        <v>0.0</v>
      </c>
      <c r="O302" s="1">
        <v>98.628079</v>
      </c>
    </row>
    <row r="303">
      <c r="A303" s="1" t="s">
        <v>866</v>
      </c>
      <c r="B303" s="1" t="s">
        <v>867</v>
      </c>
      <c r="C303" s="5"/>
      <c r="D303" s="5"/>
      <c r="E303" s="1" t="str">
        <f>IFERROR(__xludf.DUMMYFUNCTION("IFERROR(REGEXEXTRACT(A303, ""res(269|122)""), ""none"")"),"269")</f>
        <v>269</v>
      </c>
      <c r="F303" s="1">
        <v>-15.017663</v>
      </c>
      <c r="G303" s="1">
        <v>9.0</v>
      </c>
      <c r="H303" s="1">
        <v>2.0</v>
      </c>
      <c r="I303" s="1">
        <v>0.333333</v>
      </c>
      <c r="J303" s="1">
        <v>2.0</v>
      </c>
      <c r="K303" s="1">
        <v>-0.893776999999999</v>
      </c>
      <c r="L303" s="1">
        <v>100.0</v>
      </c>
      <c r="M303" s="1">
        <v>0.0</v>
      </c>
      <c r="N303" s="1">
        <v>0.0</v>
      </c>
      <c r="O303" s="1">
        <v>97.421893</v>
      </c>
    </row>
    <row r="304">
      <c r="A304" s="1" t="s">
        <v>393</v>
      </c>
      <c r="B304" s="1" t="s">
        <v>394</v>
      </c>
      <c r="C304" s="5"/>
      <c r="D304" s="5"/>
      <c r="E304" s="1" t="str">
        <f>IFERROR(__xludf.DUMMYFUNCTION("IFERROR(REGEXEXTRACT(A304, ""res(269|122)""), ""none"")"),"269")</f>
        <v>269</v>
      </c>
      <c r="F304" s="1">
        <v>-15.889195</v>
      </c>
      <c r="G304" s="1">
        <v>10.0</v>
      </c>
      <c r="H304" s="1">
        <v>4.0</v>
      </c>
      <c r="I304" s="1">
        <v>0.3</v>
      </c>
      <c r="J304" s="1">
        <v>2.0</v>
      </c>
      <c r="K304" s="1">
        <v>-1.177871</v>
      </c>
      <c r="L304" s="1">
        <v>100.0</v>
      </c>
      <c r="M304" s="1">
        <v>0.0</v>
      </c>
      <c r="N304" s="1">
        <v>0.0</v>
      </c>
      <c r="O304" s="1">
        <v>99.232934</v>
      </c>
    </row>
    <row r="305">
      <c r="A305" s="1" t="s">
        <v>868</v>
      </c>
      <c r="B305" s="1" t="s">
        <v>869</v>
      </c>
      <c r="C305" s="5"/>
      <c r="D305" s="5"/>
      <c r="E305" s="1" t="str">
        <f>IFERROR(__xludf.DUMMYFUNCTION("IFERROR(REGEXEXTRACT(A305, ""res(269|122)""), ""none"")"),"269")</f>
        <v>269</v>
      </c>
      <c r="F305" s="1">
        <v>-15.798237</v>
      </c>
      <c r="G305" s="1">
        <v>10.0</v>
      </c>
      <c r="H305" s="1">
        <v>5.0</v>
      </c>
      <c r="I305" s="1">
        <v>0.3</v>
      </c>
      <c r="J305" s="1">
        <v>2.0</v>
      </c>
      <c r="K305" s="1">
        <v>-0.411076</v>
      </c>
      <c r="L305" s="1">
        <v>100.0</v>
      </c>
      <c r="M305" s="1">
        <v>0.0</v>
      </c>
      <c r="N305" s="1">
        <v>0.0</v>
      </c>
      <c r="O305" s="1">
        <v>101.090687</v>
      </c>
    </row>
    <row r="306">
      <c r="A306" s="1" t="s">
        <v>870</v>
      </c>
      <c r="B306" s="1" t="s">
        <v>871</v>
      </c>
      <c r="C306" s="5"/>
      <c r="D306" s="5"/>
      <c r="E306" s="1" t="str">
        <f>IFERROR(__xludf.DUMMYFUNCTION("IFERROR(REGEXEXTRACT(A306, ""res(269|122)""), ""none"")"),"269")</f>
        <v>269</v>
      </c>
      <c r="F306" s="1">
        <v>-16.621533</v>
      </c>
      <c r="G306" s="1">
        <v>7.0</v>
      </c>
      <c r="H306" s="1">
        <v>4.0</v>
      </c>
      <c r="I306" s="1">
        <v>0.285714</v>
      </c>
      <c r="J306" s="1">
        <v>2.0</v>
      </c>
      <c r="K306" s="1">
        <v>-0.270832</v>
      </c>
      <c r="L306" s="1">
        <v>100.0</v>
      </c>
      <c r="M306" s="1">
        <v>0.0</v>
      </c>
      <c r="N306" s="1">
        <v>0.0</v>
      </c>
      <c r="O306" s="1">
        <v>96.393349</v>
      </c>
    </row>
    <row r="307">
      <c r="A307" s="1" t="s">
        <v>872</v>
      </c>
      <c r="B307" s="1" t="s">
        <v>873</v>
      </c>
      <c r="C307" s="5"/>
      <c r="D307" s="5"/>
      <c r="E307" s="1" t="str">
        <f>IFERROR(__xludf.DUMMYFUNCTION("IFERROR(REGEXEXTRACT(A307, ""res(269|122)""), ""none"")"),"269")</f>
        <v>269</v>
      </c>
      <c r="F307" s="1">
        <v>-16.35205</v>
      </c>
      <c r="G307" s="1">
        <v>8.0</v>
      </c>
      <c r="H307" s="1">
        <v>2.0</v>
      </c>
      <c r="I307" s="1">
        <v>0.25</v>
      </c>
      <c r="J307" s="1">
        <v>2.0</v>
      </c>
      <c r="K307" s="1">
        <v>-0.15387</v>
      </c>
      <c r="L307" s="1">
        <v>100.0</v>
      </c>
      <c r="M307" s="1">
        <v>0.0</v>
      </c>
      <c r="N307" s="1">
        <v>0.0</v>
      </c>
      <c r="O307" s="1">
        <v>95.74408</v>
      </c>
    </row>
    <row r="308">
      <c r="A308" s="1" t="s">
        <v>874</v>
      </c>
      <c r="B308" s="1" t="s">
        <v>875</v>
      </c>
      <c r="C308" s="5"/>
      <c r="D308" s="5"/>
      <c r="E308" s="1" t="str">
        <f>IFERROR(__xludf.DUMMYFUNCTION("IFERROR(REGEXEXTRACT(A308, ""res(269|122)""), ""none"")"),"269")</f>
        <v>269</v>
      </c>
      <c r="F308" s="1">
        <v>-15.406217</v>
      </c>
      <c r="G308" s="1">
        <v>8.0</v>
      </c>
      <c r="H308" s="1">
        <v>5.0</v>
      </c>
      <c r="I308" s="1">
        <v>0.25</v>
      </c>
      <c r="J308" s="1">
        <v>2.0</v>
      </c>
      <c r="K308" s="1">
        <v>-0.966931</v>
      </c>
      <c r="L308" s="1">
        <v>100.0</v>
      </c>
      <c r="M308" s="1">
        <v>0.0</v>
      </c>
      <c r="N308" s="1">
        <v>0.0</v>
      </c>
      <c r="O308" s="1">
        <v>98.876852</v>
      </c>
    </row>
    <row r="309">
      <c r="A309" s="1" t="s">
        <v>876</v>
      </c>
      <c r="B309" s="1" t="s">
        <v>877</v>
      </c>
      <c r="C309" s="5"/>
      <c r="D309" s="5"/>
      <c r="E309" s="1" t="str">
        <f>IFERROR(__xludf.DUMMYFUNCTION("IFERROR(REGEXEXTRACT(A309, ""res(269|122)""), ""none"")"),"269")</f>
        <v>269</v>
      </c>
      <c r="F309" s="1">
        <v>-17.556171</v>
      </c>
      <c r="G309" s="1">
        <v>8.0</v>
      </c>
      <c r="H309" s="1">
        <v>3.0</v>
      </c>
      <c r="I309" s="1">
        <v>0.25</v>
      </c>
      <c r="J309" s="1">
        <v>2.0</v>
      </c>
      <c r="K309" s="1">
        <v>-1.35943</v>
      </c>
      <c r="L309" s="1">
        <v>100.0</v>
      </c>
      <c r="M309" s="1">
        <v>0.0</v>
      </c>
      <c r="N309" s="1">
        <v>0.0</v>
      </c>
      <c r="O309" s="1">
        <v>94.334399</v>
      </c>
    </row>
    <row r="310">
      <c r="A310" s="1" t="s">
        <v>878</v>
      </c>
      <c r="B310" s="1" t="s">
        <v>879</v>
      </c>
      <c r="C310" s="5"/>
      <c r="D310" s="5"/>
      <c r="E310" s="1" t="str">
        <f>IFERROR(__xludf.DUMMYFUNCTION("IFERROR(REGEXEXTRACT(A310, ""res(269|122)""), ""none"")"),"269")</f>
        <v>269</v>
      </c>
      <c r="F310" s="1">
        <v>-15.508555</v>
      </c>
      <c r="G310" s="1">
        <v>11.0</v>
      </c>
      <c r="H310" s="1">
        <v>1.0</v>
      </c>
      <c r="I310" s="1">
        <v>0.272727</v>
      </c>
      <c r="J310" s="1">
        <v>2.0</v>
      </c>
      <c r="K310" s="1">
        <v>-0.8107</v>
      </c>
      <c r="L310" s="1">
        <v>100.0</v>
      </c>
      <c r="M310" s="1">
        <v>0.0</v>
      </c>
      <c r="N310" s="1">
        <v>0.0</v>
      </c>
      <c r="O310" s="1">
        <v>97.953472</v>
      </c>
    </row>
    <row r="311">
      <c r="A311" s="1" t="s">
        <v>880</v>
      </c>
      <c r="B311" s="1" t="s">
        <v>881</v>
      </c>
      <c r="C311" s="5"/>
      <c r="D311" s="5"/>
      <c r="E311" s="1" t="str">
        <f>IFERROR(__xludf.DUMMYFUNCTION("IFERROR(REGEXEXTRACT(A311, ""res(269|122)""), ""none"")"),"269")</f>
        <v>269</v>
      </c>
      <c r="F311" s="1">
        <v>-16.108989</v>
      </c>
      <c r="G311" s="1">
        <v>9.0</v>
      </c>
      <c r="H311" s="1">
        <v>4.0</v>
      </c>
      <c r="I311" s="1">
        <v>0.333333</v>
      </c>
      <c r="J311" s="1">
        <v>2.0</v>
      </c>
      <c r="K311" s="1">
        <v>-0.91906</v>
      </c>
      <c r="L311" s="1">
        <v>100.0</v>
      </c>
      <c r="M311" s="1">
        <v>0.0</v>
      </c>
      <c r="N311" s="1">
        <v>0.0</v>
      </c>
      <c r="O311" s="1">
        <v>98.305284</v>
      </c>
    </row>
    <row r="312">
      <c r="C312" s="5"/>
      <c r="D312" s="5"/>
    </row>
    <row r="313">
      <c r="C313" s="5"/>
      <c r="D313" s="5"/>
    </row>
    <row r="314">
      <c r="C314" s="5"/>
      <c r="D314" s="5"/>
    </row>
    <row r="315">
      <c r="C315" s="5"/>
      <c r="D315" s="5"/>
    </row>
    <row r="316">
      <c r="C316" s="5"/>
      <c r="D316" s="5"/>
    </row>
    <row r="317">
      <c r="C317" s="5"/>
      <c r="D317" s="5"/>
    </row>
    <row r="318">
      <c r="C318" s="5"/>
      <c r="D318" s="5"/>
    </row>
    <row r="319">
      <c r="C319" s="5"/>
      <c r="D319" s="5"/>
    </row>
    <row r="320">
      <c r="C320" s="5"/>
      <c r="D320" s="5"/>
    </row>
    <row r="321">
      <c r="C321" s="5"/>
      <c r="D321" s="5"/>
    </row>
    <row r="322">
      <c r="C322" s="5"/>
      <c r="D322" s="5"/>
    </row>
    <row r="323">
      <c r="C323" s="5"/>
      <c r="D323" s="5"/>
    </row>
    <row r="324">
      <c r="C324" s="5"/>
      <c r="D324" s="5"/>
    </row>
    <row r="325">
      <c r="C325" s="5"/>
      <c r="D325" s="5"/>
    </row>
    <row r="326">
      <c r="C326" s="5"/>
      <c r="D326" s="5"/>
    </row>
    <row r="327">
      <c r="C327" s="5"/>
      <c r="D327" s="5"/>
    </row>
    <row r="328">
      <c r="C328" s="5"/>
      <c r="D328" s="5"/>
    </row>
    <row r="329">
      <c r="C329" s="5"/>
      <c r="D329" s="5"/>
    </row>
    <row r="330">
      <c r="C330" s="5"/>
      <c r="D330" s="5"/>
    </row>
    <row r="331">
      <c r="C331" s="5"/>
      <c r="D331" s="5"/>
    </row>
    <row r="332">
      <c r="C332" s="5"/>
      <c r="D332" s="5"/>
    </row>
    <row r="333">
      <c r="C333" s="5"/>
      <c r="D333" s="5"/>
    </row>
    <row r="334">
      <c r="C334" s="5"/>
      <c r="D334" s="5"/>
    </row>
    <row r="335">
      <c r="C335" s="5"/>
      <c r="D335" s="5"/>
    </row>
    <row r="336">
      <c r="C336" s="5"/>
      <c r="D336" s="5"/>
    </row>
    <row r="337">
      <c r="C337" s="5"/>
      <c r="D337" s="5"/>
    </row>
    <row r="338">
      <c r="C338" s="5"/>
      <c r="D338" s="5"/>
    </row>
    <row r="339">
      <c r="C339" s="5"/>
      <c r="D339" s="5"/>
    </row>
    <row r="340">
      <c r="C340" s="5"/>
      <c r="D340" s="5"/>
    </row>
    <row r="341">
      <c r="C341" s="5"/>
      <c r="D341" s="5"/>
    </row>
    <row r="342">
      <c r="C342" s="5"/>
      <c r="D342" s="5"/>
    </row>
    <row r="343">
      <c r="C343" s="5"/>
      <c r="D343" s="5"/>
    </row>
    <row r="344">
      <c r="C344" s="5"/>
      <c r="D344" s="5"/>
    </row>
    <row r="345">
      <c r="C345" s="5"/>
      <c r="D345" s="5"/>
    </row>
    <row r="346">
      <c r="C346" s="5"/>
      <c r="D346" s="5"/>
    </row>
    <row r="347">
      <c r="C347" s="5"/>
      <c r="D347" s="5"/>
    </row>
    <row r="348">
      <c r="C348" s="5"/>
      <c r="D348" s="5"/>
    </row>
    <row r="349">
      <c r="C349" s="5"/>
      <c r="D349" s="5"/>
    </row>
    <row r="350">
      <c r="C350" s="5"/>
      <c r="D350" s="5"/>
    </row>
    <row r="351">
      <c r="C351" s="5"/>
      <c r="D351" s="5"/>
    </row>
    <row r="352">
      <c r="C352" s="5"/>
      <c r="D352" s="5"/>
    </row>
    <row r="353">
      <c r="C353" s="5"/>
      <c r="D353" s="5"/>
    </row>
    <row r="354">
      <c r="C354" s="5"/>
      <c r="D354" s="5"/>
    </row>
    <row r="355">
      <c r="C355" s="5"/>
      <c r="D355" s="5"/>
    </row>
    <row r="356">
      <c r="C356" s="5"/>
      <c r="D356" s="5"/>
    </row>
    <row r="357">
      <c r="C357" s="5"/>
      <c r="D357" s="5"/>
    </row>
    <row r="358">
      <c r="C358" s="5"/>
      <c r="D358" s="5"/>
    </row>
    <row r="359">
      <c r="C359" s="5"/>
      <c r="D359" s="5"/>
    </row>
    <row r="360">
      <c r="C360" s="5"/>
      <c r="D360" s="5"/>
    </row>
    <row r="361">
      <c r="C361" s="5"/>
      <c r="D361" s="5"/>
    </row>
    <row r="362">
      <c r="C362" s="5"/>
      <c r="D362" s="5"/>
    </row>
    <row r="363">
      <c r="C363" s="5"/>
      <c r="D363" s="5"/>
    </row>
    <row r="364">
      <c r="C364" s="5"/>
      <c r="D364" s="5"/>
    </row>
    <row r="365">
      <c r="C365" s="5"/>
      <c r="D365" s="5"/>
    </row>
    <row r="366">
      <c r="C366" s="5"/>
      <c r="D366" s="5"/>
    </row>
    <row r="367">
      <c r="C367" s="5"/>
      <c r="D367" s="5"/>
    </row>
    <row r="368">
      <c r="C368" s="5"/>
      <c r="D368" s="5"/>
    </row>
    <row r="369">
      <c r="C369" s="5"/>
      <c r="D369" s="5"/>
    </row>
    <row r="370">
      <c r="C370" s="5"/>
      <c r="D370" s="5"/>
    </row>
    <row r="371">
      <c r="C371" s="5"/>
      <c r="D371" s="5"/>
    </row>
    <row r="372">
      <c r="C372" s="5"/>
      <c r="D372" s="5"/>
    </row>
    <row r="373">
      <c r="C373" s="5"/>
      <c r="D373" s="5"/>
    </row>
    <row r="374">
      <c r="C374" s="5"/>
      <c r="D374" s="5"/>
    </row>
    <row r="375">
      <c r="C375" s="5"/>
      <c r="D375" s="5"/>
    </row>
    <row r="376">
      <c r="C376" s="5"/>
      <c r="D376" s="5"/>
    </row>
    <row r="377">
      <c r="C377" s="5"/>
      <c r="D377" s="5"/>
    </row>
    <row r="378">
      <c r="C378" s="5"/>
      <c r="D378" s="5"/>
    </row>
    <row r="379">
      <c r="C379" s="5"/>
      <c r="D379" s="5"/>
    </row>
    <row r="380">
      <c r="C380" s="5"/>
      <c r="D380" s="5"/>
    </row>
    <row r="381">
      <c r="C381" s="5"/>
      <c r="D381" s="5"/>
    </row>
    <row r="382">
      <c r="C382" s="5"/>
      <c r="D382" s="5"/>
    </row>
    <row r="383">
      <c r="C383" s="5"/>
      <c r="D383" s="5"/>
    </row>
    <row r="384">
      <c r="C384" s="5"/>
      <c r="D384" s="5"/>
    </row>
    <row r="385">
      <c r="C385" s="5"/>
      <c r="D385" s="5"/>
    </row>
    <row r="386">
      <c r="C386" s="5"/>
      <c r="D386" s="5"/>
    </row>
    <row r="387">
      <c r="C387" s="5"/>
      <c r="D387" s="5"/>
    </row>
    <row r="388">
      <c r="C388" s="5"/>
      <c r="D388" s="5"/>
    </row>
    <row r="389">
      <c r="C389" s="5"/>
      <c r="D389" s="5"/>
    </row>
    <row r="390">
      <c r="C390" s="5"/>
      <c r="D390" s="5"/>
    </row>
    <row r="391">
      <c r="C391" s="5"/>
      <c r="D391" s="5"/>
    </row>
    <row r="392">
      <c r="C392" s="5"/>
      <c r="D392" s="5"/>
    </row>
    <row r="393">
      <c r="C393" s="5"/>
      <c r="D393" s="5"/>
    </row>
    <row r="394">
      <c r="C394" s="5"/>
      <c r="D394" s="5"/>
    </row>
    <row r="395">
      <c r="C395" s="5"/>
      <c r="D395" s="5"/>
    </row>
    <row r="396">
      <c r="C396" s="5"/>
      <c r="D396" s="5"/>
    </row>
    <row r="397">
      <c r="C397" s="5"/>
      <c r="D397" s="5"/>
    </row>
    <row r="398">
      <c r="C398" s="5"/>
      <c r="D398" s="5"/>
    </row>
    <row r="399">
      <c r="C399" s="5"/>
      <c r="D399" s="5"/>
    </row>
    <row r="400">
      <c r="C400" s="5"/>
      <c r="D400" s="5"/>
    </row>
    <row r="401">
      <c r="C401" s="5"/>
      <c r="D401" s="5"/>
    </row>
    <row r="402">
      <c r="C402" s="5"/>
      <c r="D402" s="5"/>
    </row>
    <row r="403">
      <c r="C403" s="5"/>
      <c r="D403" s="5"/>
    </row>
    <row r="404">
      <c r="C404" s="5"/>
      <c r="D404" s="5"/>
    </row>
    <row r="405">
      <c r="C405" s="5"/>
      <c r="D405" s="5"/>
    </row>
    <row r="406">
      <c r="C406" s="5"/>
      <c r="D406" s="5"/>
    </row>
    <row r="407">
      <c r="C407" s="5"/>
      <c r="D407" s="5"/>
    </row>
    <row r="408">
      <c r="C408" s="5"/>
      <c r="D408" s="5"/>
    </row>
    <row r="409">
      <c r="C409" s="5"/>
      <c r="D409" s="5"/>
    </row>
    <row r="410">
      <c r="C410" s="5"/>
      <c r="D410" s="5"/>
    </row>
    <row r="411">
      <c r="C411" s="5"/>
      <c r="D411" s="5"/>
    </row>
    <row r="412">
      <c r="C412" s="5"/>
      <c r="D412" s="5"/>
    </row>
    <row r="413">
      <c r="C413" s="5"/>
      <c r="D413" s="5"/>
    </row>
    <row r="414">
      <c r="C414" s="5"/>
      <c r="D414" s="5"/>
    </row>
    <row r="415">
      <c r="C415" s="5"/>
      <c r="D415" s="5"/>
    </row>
    <row r="416">
      <c r="C416" s="5"/>
      <c r="D416" s="5"/>
    </row>
    <row r="417">
      <c r="C417" s="5"/>
      <c r="D417" s="5"/>
    </row>
    <row r="418">
      <c r="C418" s="5"/>
      <c r="D418" s="5"/>
    </row>
    <row r="419">
      <c r="C419" s="5"/>
      <c r="D419" s="5"/>
    </row>
    <row r="420">
      <c r="C420" s="5"/>
      <c r="D420" s="5"/>
    </row>
    <row r="421">
      <c r="C421" s="5"/>
      <c r="D421" s="5"/>
    </row>
    <row r="422">
      <c r="C422" s="5"/>
      <c r="D422" s="5"/>
    </row>
    <row r="423">
      <c r="C423" s="5"/>
      <c r="D423" s="5"/>
    </row>
    <row r="424">
      <c r="C424" s="5"/>
      <c r="D424" s="5"/>
    </row>
    <row r="425">
      <c r="C425" s="5"/>
      <c r="D425" s="5"/>
    </row>
    <row r="426">
      <c r="C426" s="5"/>
      <c r="D426" s="5"/>
    </row>
    <row r="427">
      <c r="C427" s="5"/>
      <c r="D427" s="5"/>
    </row>
    <row r="428">
      <c r="C428" s="5"/>
      <c r="D428" s="5"/>
    </row>
    <row r="429">
      <c r="C429" s="5"/>
      <c r="D429" s="5"/>
    </row>
    <row r="430">
      <c r="C430" s="5"/>
      <c r="D430" s="5"/>
    </row>
    <row r="431">
      <c r="C431" s="5"/>
      <c r="D431" s="5"/>
    </row>
    <row r="432">
      <c r="C432" s="5"/>
      <c r="D432" s="5"/>
    </row>
    <row r="433">
      <c r="C433" s="5"/>
      <c r="D433" s="5"/>
    </row>
    <row r="434">
      <c r="C434" s="5"/>
      <c r="D434" s="5"/>
    </row>
    <row r="435">
      <c r="C435" s="5"/>
      <c r="D435" s="5"/>
    </row>
    <row r="436">
      <c r="C436" s="5"/>
      <c r="D436" s="5"/>
    </row>
    <row r="437">
      <c r="C437" s="5"/>
      <c r="D437" s="5"/>
    </row>
    <row r="438">
      <c r="C438" s="5"/>
      <c r="D438" s="5"/>
    </row>
    <row r="439">
      <c r="C439" s="5"/>
      <c r="D439" s="5"/>
    </row>
    <row r="440">
      <c r="C440" s="5"/>
      <c r="D440" s="5"/>
    </row>
    <row r="441">
      <c r="C441" s="5"/>
      <c r="D441" s="5"/>
    </row>
    <row r="442">
      <c r="C442" s="5"/>
      <c r="D442" s="5"/>
    </row>
    <row r="443">
      <c r="C443" s="5"/>
      <c r="D443" s="5"/>
    </row>
    <row r="444">
      <c r="C444" s="5"/>
      <c r="D444" s="5"/>
    </row>
    <row r="445">
      <c r="C445" s="5"/>
      <c r="D445" s="5"/>
    </row>
    <row r="446">
      <c r="C446" s="5"/>
      <c r="D446" s="5"/>
    </row>
    <row r="447">
      <c r="C447" s="5"/>
      <c r="D447" s="5"/>
    </row>
    <row r="448">
      <c r="C448" s="5"/>
      <c r="D448" s="5"/>
    </row>
    <row r="449">
      <c r="C449" s="5"/>
      <c r="D449" s="5"/>
    </row>
    <row r="450">
      <c r="C450" s="5"/>
      <c r="D450" s="5"/>
    </row>
    <row r="451">
      <c r="C451" s="5"/>
      <c r="D451" s="5"/>
    </row>
    <row r="452">
      <c r="C452" s="5"/>
      <c r="D452" s="5"/>
    </row>
    <row r="453">
      <c r="C453" s="5"/>
      <c r="D453" s="5"/>
    </row>
    <row r="454">
      <c r="C454" s="5"/>
      <c r="D454" s="5"/>
    </row>
    <row r="455">
      <c r="C455" s="5"/>
      <c r="D455" s="5"/>
    </row>
    <row r="456">
      <c r="C456" s="5"/>
      <c r="D456" s="5"/>
    </row>
    <row r="457">
      <c r="C457" s="5"/>
      <c r="D457" s="5"/>
    </row>
    <row r="458">
      <c r="C458" s="5"/>
      <c r="D458" s="5"/>
    </row>
    <row r="459">
      <c r="C459" s="5"/>
      <c r="D459" s="5"/>
    </row>
    <row r="460">
      <c r="C460" s="5"/>
      <c r="D460" s="5"/>
    </row>
    <row r="461">
      <c r="C461" s="5"/>
      <c r="D461" s="5"/>
    </row>
    <row r="462">
      <c r="C462" s="5"/>
      <c r="D462" s="5"/>
    </row>
    <row r="463">
      <c r="C463" s="5"/>
      <c r="D463" s="5"/>
    </row>
    <row r="464">
      <c r="C464" s="5"/>
      <c r="D464" s="5"/>
    </row>
    <row r="465">
      <c r="C465" s="5"/>
      <c r="D465" s="5"/>
    </row>
    <row r="466">
      <c r="C466" s="5"/>
      <c r="D466" s="5"/>
    </row>
    <row r="467">
      <c r="C467" s="5"/>
      <c r="D467" s="5"/>
    </row>
    <row r="468">
      <c r="C468" s="5"/>
      <c r="D468" s="5"/>
    </row>
    <row r="469">
      <c r="C469" s="5"/>
      <c r="D469" s="5"/>
    </row>
    <row r="470">
      <c r="C470" s="5"/>
      <c r="D470" s="5"/>
    </row>
    <row r="471">
      <c r="C471" s="5"/>
      <c r="D471" s="5"/>
    </row>
    <row r="472">
      <c r="C472" s="5"/>
      <c r="D472" s="5"/>
    </row>
    <row r="473">
      <c r="C473" s="5"/>
      <c r="D473" s="5"/>
    </row>
    <row r="474">
      <c r="C474" s="5"/>
      <c r="D474" s="5"/>
    </row>
    <row r="475">
      <c r="C475" s="5"/>
      <c r="D475" s="5"/>
    </row>
    <row r="476">
      <c r="C476" s="5"/>
      <c r="D476" s="5"/>
    </row>
    <row r="477">
      <c r="C477" s="5"/>
      <c r="D477" s="5"/>
    </row>
    <row r="478">
      <c r="C478" s="5"/>
      <c r="D478" s="5"/>
    </row>
    <row r="479">
      <c r="C479" s="5"/>
      <c r="D479" s="5"/>
    </row>
    <row r="480">
      <c r="C480" s="5"/>
      <c r="D480" s="5"/>
    </row>
    <row r="481">
      <c r="C481" s="5"/>
      <c r="D481" s="5"/>
    </row>
    <row r="482">
      <c r="C482" s="5"/>
      <c r="D482" s="5"/>
    </row>
    <row r="483">
      <c r="C483" s="5"/>
      <c r="D483" s="5"/>
    </row>
    <row r="484">
      <c r="C484" s="5"/>
      <c r="D484" s="5"/>
    </row>
    <row r="485">
      <c r="C485" s="5"/>
      <c r="D485" s="5"/>
    </row>
    <row r="486">
      <c r="C486" s="5"/>
      <c r="D486" s="5"/>
    </row>
    <row r="487">
      <c r="C487" s="5"/>
      <c r="D487" s="5"/>
    </row>
    <row r="488">
      <c r="C488" s="5"/>
      <c r="D488" s="5"/>
    </row>
    <row r="489">
      <c r="C489" s="5"/>
      <c r="D489" s="5"/>
    </row>
    <row r="490">
      <c r="C490" s="5"/>
      <c r="D490" s="5"/>
    </row>
    <row r="491">
      <c r="C491" s="5"/>
      <c r="D491" s="5"/>
    </row>
    <row r="492">
      <c r="C492" s="5"/>
      <c r="D492" s="5"/>
    </row>
    <row r="493">
      <c r="C493" s="5"/>
      <c r="D493" s="5"/>
    </row>
    <row r="494">
      <c r="C494" s="5"/>
      <c r="D494" s="5"/>
    </row>
    <row r="495">
      <c r="C495" s="5"/>
      <c r="D495" s="5"/>
    </row>
    <row r="496">
      <c r="C496" s="5"/>
      <c r="D496" s="5"/>
    </row>
    <row r="497">
      <c r="C497" s="5"/>
      <c r="D497" s="5"/>
    </row>
    <row r="498">
      <c r="C498" s="5"/>
      <c r="D498" s="5"/>
    </row>
    <row r="499">
      <c r="C499" s="5"/>
      <c r="D499" s="5"/>
    </row>
    <row r="500">
      <c r="C500" s="5"/>
      <c r="D500" s="5"/>
    </row>
    <row r="501">
      <c r="C501" s="5"/>
      <c r="D501" s="5"/>
    </row>
    <row r="502">
      <c r="C502" s="5"/>
      <c r="D502" s="5"/>
    </row>
    <row r="503">
      <c r="C503" s="5"/>
      <c r="D503" s="5"/>
    </row>
    <row r="504">
      <c r="C504" s="5"/>
      <c r="D504" s="5"/>
    </row>
    <row r="505">
      <c r="C505" s="5"/>
      <c r="D505" s="5"/>
    </row>
    <row r="506">
      <c r="C506" s="5"/>
      <c r="D506" s="5"/>
    </row>
    <row r="507">
      <c r="C507" s="5"/>
      <c r="D507" s="5"/>
    </row>
    <row r="508">
      <c r="C508" s="5"/>
      <c r="D508" s="5"/>
    </row>
    <row r="509">
      <c r="C509" s="5"/>
      <c r="D509" s="5"/>
    </row>
    <row r="510">
      <c r="C510" s="5"/>
      <c r="D510" s="5"/>
    </row>
    <row r="511">
      <c r="C511" s="5"/>
      <c r="D511" s="5"/>
    </row>
    <row r="512">
      <c r="C512" s="5"/>
      <c r="D512" s="5"/>
    </row>
    <row r="513">
      <c r="C513" s="5"/>
      <c r="D513" s="5"/>
    </row>
    <row r="514">
      <c r="C514" s="5"/>
      <c r="D514" s="5"/>
    </row>
    <row r="515">
      <c r="C515" s="5"/>
      <c r="D515" s="5"/>
    </row>
    <row r="516">
      <c r="C516" s="5"/>
      <c r="D516" s="5"/>
    </row>
    <row r="517">
      <c r="C517" s="5"/>
      <c r="D517" s="5"/>
    </row>
    <row r="518">
      <c r="C518" s="5"/>
      <c r="D518" s="5"/>
    </row>
    <row r="519">
      <c r="C519" s="5"/>
      <c r="D519" s="5"/>
    </row>
    <row r="520">
      <c r="C520" s="5"/>
      <c r="D520" s="5"/>
    </row>
    <row r="521">
      <c r="C521" s="5"/>
      <c r="D521" s="5"/>
    </row>
    <row r="522">
      <c r="C522" s="5"/>
      <c r="D522" s="5"/>
    </row>
    <row r="523">
      <c r="C523" s="5"/>
      <c r="D523" s="5"/>
    </row>
    <row r="524">
      <c r="C524" s="5"/>
      <c r="D524" s="5"/>
    </row>
    <row r="525">
      <c r="C525" s="5"/>
      <c r="D525" s="5"/>
    </row>
    <row r="526">
      <c r="C526" s="5"/>
      <c r="D526" s="5"/>
    </row>
    <row r="527">
      <c r="C527" s="5"/>
      <c r="D527" s="5"/>
    </row>
    <row r="528">
      <c r="C528" s="5"/>
      <c r="D528" s="5"/>
    </row>
    <row r="529">
      <c r="C529" s="5"/>
      <c r="D529" s="5"/>
    </row>
    <row r="530">
      <c r="C530" s="5"/>
      <c r="D530" s="5"/>
    </row>
    <row r="531">
      <c r="C531" s="5"/>
      <c r="D531" s="5"/>
    </row>
    <row r="532">
      <c r="C532" s="5"/>
      <c r="D532" s="5"/>
    </row>
    <row r="533">
      <c r="C533" s="5"/>
      <c r="D533" s="5"/>
    </row>
    <row r="534">
      <c r="C534" s="5"/>
      <c r="D534" s="5"/>
    </row>
    <row r="535">
      <c r="C535" s="5"/>
      <c r="D535" s="5"/>
    </row>
    <row r="536">
      <c r="C536" s="5"/>
      <c r="D536" s="5"/>
    </row>
    <row r="537">
      <c r="C537" s="5"/>
      <c r="D537" s="5"/>
    </row>
    <row r="538">
      <c r="C538" s="5"/>
      <c r="D538" s="5"/>
    </row>
    <row r="539">
      <c r="C539" s="5"/>
      <c r="D539" s="5"/>
    </row>
    <row r="540">
      <c r="C540" s="5"/>
      <c r="D540" s="5"/>
    </row>
    <row r="541">
      <c r="C541" s="5"/>
      <c r="D541" s="5"/>
    </row>
    <row r="542">
      <c r="C542" s="5"/>
      <c r="D542" s="5"/>
    </row>
    <row r="543">
      <c r="C543" s="5"/>
      <c r="D543" s="5"/>
    </row>
    <row r="544">
      <c r="C544" s="5"/>
      <c r="D544" s="5"/>
    </row>
    <row r="545">
      <c r="C545" s="5"/>
      <c r="D545" s="5"/>
    </row>
    <row r="546">
      <c r="C546" s="5"/>
      <c r="D546" s="5"/>
    </row>
    <row r="547">
      <c r="C547" s="5"/>
      <c r="D547" s="5"/>
    </row>
    <row r="548">
      <c r="C548" s="5"/>
      <c r="D548" s="5"/>
    </row>
    <row r="549">
      <c r="C549" s="5"/>
      <c r="D549" s="5"/>
    </row>
    <row r="550">
      <c r="C550" s="5"/>
      <c r="D550" s="5"/>
    </row>
    <row r="551">
      <c r="C551" s="5"/>
      <c r="D551" s="5"/>
    </row>
    <row r="552">
      <c r="C552" s="5"/>
      <c r="D552" s="5"/>
    </row>
    <row r="553">
      <c r="C553" s="5"/>
      <c r="D553" s="5"/>
    </row>
    <row r="554">
      <c r="C554" s="5"/>
      <c r="D554" s="5"/>
    </row>
    <row r="555">
      <c r="C555" s="5"/>
      <c r="D555" s="5"/>
    </row>
    <row r="556">
      <c r="C556" s="5"/>
      <c r="D556" s="5"/>
    </row>
    <row r="557">
      <c r="C557" s="5"/>
      <c r="D557" s="5"/>
    </row>
    <row r="558">
      <c r="C558" s="5"/>
      <c r="D558" s="5"/>
    </row>
    <row r="559">
      <c r="C559" s="5"/>
      <c r="D559" s="5"/>
    </row>
    <row r="560">
      <c r="C560" s="5"/>
      <c r="D560" s="5"/>
    </row>
    <row r="561">
      <c r="C561" s="5"/>
      <c r="D561" s="5"/>
    </row>
    <row r="562">
      <c r="C562" s="5"/>
      <c r="D562" s="5"/>
    </row>
    <row r="563">
      <c r="C563" s="5"/>
      <c r="D563" s="5"/>
    </row>
    <row r="564">
      <c r="C564" s="5"/>
      <c r="D564" s="5"/>
    </row>
    <row r="565">
      <c r="C565" s="5"/>
      <c r="D565" s="5"/>
    </row>
    <row r="566">
      <c r="C566" s="5"/>
      <c r="D566" s="5"/>
    </row>
    <row r="567">
      <c r="C567" s="5"/>
      <c r="D567" s="5"/>
    </row>
    <row r="568">
      <c r="C568" s="5"/>
      <c r="D568" s="5"/>
    </row>
    <row r="569">
      <c r="C569" s="5"/>
      <c r="D569" s="5"/>
    </row>
    <row r="570">
      <c r="C570" s="5"/>
      <c r="D570" s="5"/>
    </row>
    <row r="571">
      <c r="C571" s="5"/>
      <c r="D571" s="5"/>
    </row>
    <row r="572">
      <c r="C572" s="5"/>
      <c r="D572" s="5"/>
    </row>
    <row r="573">
      <c r="C573" s="5"/>
      <c r="D573" s="5"/>
    </row>
    <row r="574">
      <c r="C574" s="5"/>
      <c r="D574" s="5"/>
    </row>
    <row r="575">
      <c r="C575" s="5"/>
      <c r="D575" s="5"/>
    </row>
    <row r="576">
      <c r="C576" s="5"/>
      <c r="D576" s="5"/>
    </row>
    <row r="577">
      <c r="C577" s="5"/>
      <c r="D577" s="5"/>
    </row>
    <row r="578">
      <c r="C578" s="5"/>
      <c r="D578" s="5"/>
    </row>
    <row r="579">
      <c r="C579" s="5"/>
      <c r="D579" s="5"/>
    </row>
    <row r="580">
      <c r="C580" s="5"/>
      <c r="D580" s="5"/>
    </row>
    <row r="581">
      <c r="C581" s="5"/>
      <c r="D581" s="5"/>
    </row>
    <row r="582">
      <c r="C582" s="5"/>
      <c r="D582" s="5"/>
    </row>
    <row r="583">
      <c r="C583" s="5"/>
      <c r="D583" s="5"/>
    </row>
    <row r="584">
      <c r="C584" s="5"/>
      <c r="D584" s="5"/>
    </row>
    <row r="585">
      <c r="C585" s="5"/>
      <c r="D585" s="5"/>
    </row>
    <row r="586">
      <c r="C586" s="5"/>
      <c r="D586" s="5"/>
    </row>
    <row r="587">
      <c r="C587" s="5"/>
      <c r="D587" s="5"/>
    </row>
    <row r="588">
      <c r="C588" s="5"/>
      <c r="D588" s="5"/>
    </row>
    <row r="589">
      <c r="C589" s="5"/>
      <c r="D589" s="5"/>
    </row>
    <row r="590">
      <c r="C590" s="5"/>
      <c r="D590" s="5"/>
    </row>
    <row r="591">
      <c r="C591" s="5"/>
      <c r="D591" s="5"/>
    </row>
    <row r="592">
      <c r="C592" s="5"/>
      <c r="D592" s="5"/>
    </row>
    <row r="593">
      <c r="C593" s="5"/>
      <c r="D593" s="5"/>
    </row>
    <row r="594">
      <c r="C594" s="5"/>
      <c r="D594" s="5"/>
    </row>
    <row r="595">
      <c r="C595" s="5"/>
      <c r="D595" s="5"/>
    </row>
    <row r="596">
      <c r="C596" s="5"/>
      <c r="D596" s="5"/>
    </row>
    <row r="597">
      <c r="C597" s="5"/>
      <c r="D597" s="5"/>
    </row>
    <row r="598">
      <c r="C598" s="5"/>
      <c r="D598" s="5"/>
    </row>
    <row r="599">
      <c r="C599" s="5"/>
      <c r="D599" s="5"/>
    </row>
    <row r="600">
      <c r="C600" s="5"/>
      <c r="D600" s="5"/>
    </row>
    <row r="601">
      <c r="C601" s="5"/>
      <c r="D601" s="5"/>
    </row>
    <row r="602">
      <c r="C602" s="5"/>
      <c r="D602" s="5"/>
    </row>
    <row r="603">
      <c r="C603" s="5"/>
      <c r="D603" s="5"/>
    </row>
    <row r="604">
      <c r="C604" s="5"/>
      <c r="D604" s="5"/>
    </row>
    <row r="605">
      <c r="C605" s="5"/>
      <c r="D605" s="5"/>
    </row>
    <row r="606">
      <c r="C606" s="5"/>
      <c r="D606" s="5"/>
    </row>
    <row r="607">
      <c r="C607" s="5"/>
      <c r="D607" s="5"/>
    </row>
    <row r="608">
      <c r="C608" s="5"/>
      <c r="D608" s="5"/>
    </row>
    <row r="609">
      <c r="C609" s="5"/>
      <c r="D609" s="5"/>
    </row>
    <row r="610">
      <c r="C610" s="5"/>
      <c r="D610" s="5"/>
    </row>
    <row r="611">
      <c r="C611" s="5"/>
      <c r="D611" s="5"/>
    </row>
    <row r="612">
      <c r="C612" s="5"/>
      <c r="D612" s="5"/>
    </row>
    <row r="613">
      <c r="C613" s="5"/>
      <c r="D613" s="5"/>
    </row>
    <row r="614">
      <c r="C614" s="5"/>
      <c r="D614" s="5"/>
    </row>
    <row r="615">
      <c r="C615" s="5"/>
      <c r="D615" s="5"/>
    </row>
    <row r="616">
      <c r="C616" s="5"/>
      <c r="D616" s="5"/>
    </row>
    <row r="617">
      <c r="C617" s="5"/>
      <c r="D617" s="5"/>
    </row>
    <row r="618">
      <c r="C618" s="5"/>
      <c r="D618" s="5"/>
    </row>
    <row r="619">
      <c r="C619" s="5"/>
      <c r="D619" s="5"/>
    </row>
    <row r="620">
      <c r="C620" s="5"/>
      <c r="D620" s="5"/>
    </row>
    <row r="621">
      <c r="C621" s="5"/>
      <c r="D621" s="5"/>
    </row>
    <row r="622">
      <c r="C622" s="5"/>
      <c r="D622" s="5"/>
    </row>
    <row r="623">
      <c r="C623" s="5"/>
      <c r="D623" s="5"/>
    </row>
    <row r="624">
      <c r="C624" s="5"/>
      <c r="D624" s="5"/>
    </row>
    <row r="625">
      <c r="C625" s="5"/>
      <c r="D625" s="5"/>
    </row>
    <row r="626">
      <c r="C626" s="5"/>
      <c r="D626" s="5"/>
    </row>
    <row r="627">
      <c r="C627" s="5"/>
      <c r="D627" s="5"/>
    </row>
    <row r="628">
      <c r="C628" s="5"/>
      <c r="D628" s="5"/>
    </row>
    <row r="629">
      <c r="C629" s="5"/>
      <c r="D629" s="5"/>
    </row>
    <row r="630">
      <c r="C630" s="5"/>
      <c r="D630" s="5"/>
    </row>
    <row r="631">
      <c r="C631" s="5"/>
      <c r="D631" s="5"/>
    </row>
    <row r="632">
      <c r="C632" s="5"/>
      <c r="D632" s="5"/>
    </row>
    <row r="633">
      <c r="C633" s="5"/>
      <c r="D633" s="5"/>
    </row>
    <row r="634">
      <c r="C634" s="5"/>
      <c r="D634" s="5"/>
    </row>
    <row r="635">
      <c r="C635" s="5"/>
      <c r="D635" s="5"/>
    </row>
    <row r="636">
      <c r="C636" s="5"/>
      <c r="D636" s="5"/>
    </row>
    <row r="637">
      <c r="C637" s="5"/>
      <c r="D637" s="5"/>
    </row>
    <row r="638">
      <c r="C638" s="5"/>
      <c r="D638" s="5"/>
    </row>
    <row r="639">
      <c r="C639" s="5"/>
      <c r="D639" s="5"/>
    </row>
    <row r="640">
      <c r="C640" s="5"/>
      <c r="D640" s="5"/>
    </row>
    <row r="641">
      <c r="C641" s="5"/>
      <c r="D641" s="5"/>
    </row>
    <row r="642">
      <c r="C642" s="5"/>
      <c r="D642" s="5"/>
    </row>
    <row r="643">
      <c r="C643" s="5"/>
      <c r="D643" s="5"/>
    </row>
    <row r="644">
      <c r="C644" s="5"/>
      <c r="D644" s="5"/>
    </row>
    <row r="645">
      <c r="C645" s="5"/>
      <c r="D645" s="5"/>
    </row>
    <row r="646">
      <c r="C646" s="5"/>
      <c r="D646" s="5"/>
    </row>
    <row r="647">
      <c r="C647" s="5"/>
      <c r="D647" s="5"/>
    </row>
    <row r="648">
      <c r="C648" s="5"/>
      <c r="D648" s="5"/>
    </row>
    <row r="649">
      <c r="C649" s="5"/>
      <c r="D649" s="5"/>
    </row>
    <row r="650">
      <c r="C650" s="5"/>
      <c r="D650" s="5"/>
    </row>
    <row r="651">
      <c r="C651" s="5"/>
      <c r="D651" s="5"/>
    </row>
    <row r="652">
      <c r="C652" s="5"/>
      <c r="D652" s="5"/>
    </row>
    <row r="653">
      <c r="C653" s="5"/>
      <c r="D653" s="5"/>
    </row>
    <row r="654">
      <c r="C654" s="5"/>
      <c r="D654" s="5"/>
    </row>
    <row r="655">
      <c r="C655" s="5"/>
      <c r="D655" s="5"/>
    </row>
    <row r="656">
      <c r="C656" s="5"/>
      <c r="D656" s="5"/>
    </row>
    <row r="657">
      <c r="C657" s="5"/>
      <c r="D657" s="5"/>
    </row>
    <row r="658">
      <c r="C658" s="5"/>
      <c r="D658" s="5"/>
    </row>
    <row r="659">
      <c r="C659" s="5"/>
      <c r="D659" s="5"/>
    </row>
    <row r="660">
      <c r="C660" s="5"/>
      <c r="D660" s="5"/>
    </row>
    <row r="661">
      <c r="C661" s="5"/>
      <c r="D661" s="5"/>
    </row>
    <row r="662">
      <c r="C662" s="5"/>
      <c r="D662" s="5"/>
    </row>
    <row r="663">
      <c r="C663" s="5"/>
      <c r="D663" s="5"/>
    </row>
    <row r="664">
      <c r="C664" s="5"/>
      <c r="D664" s="5"/>
    </row>
    <row r="665">
      <c r="C665" s="5"/>
      <c r="D665" s="5"/>
    </row>
    <row r="666">
      <c r="C666" s="5"/>
      <c r="D666" s="5"/>
    </row>
    <row r="667">
      <c r="C667" s="5"/>
      <c r="D667" s="5"/>
    </row>
    <row r="668">
      <c r="C668" s="5"/>
      <c r="D668" s="5"/>
    </row>
    <row r="669">
      <c r="C669" s="5"/>
      <c r="D669" s="5"/>
    </row>
    <row r="670">
      <c r="C670" s="5"/>
      <c r="D670" s="5"/>
    </row>
    <row r="671">
      <c r="C671" s="5"/>
      <c r="D671" s="5"/>
    </row>
    <row r="672">
      <c r="C672" s="5"/>
      <c r="D672" s="5"/>
    </row>
    <row r="673">
      <c r="C673" s="5"/>
      <c r="D673" s="5"/>
    </row>
    <row r="674">
      <c r="C674" s="5"/>
      <c r="D674" s="5"/>
    </row>
    <row r="675">
      <c r="C675" s="5"/>
      <c r="D675" s="5"/>
    </row>
    <row r="676">
      <c r="C676" s="5"/>
      <c r="D676" s="5"/>
    </row>
    <row r="677">
      <c r="C677" s="5"/>
      <c r="D677" s="5"/>
    </row>
    <row r="678">
      <c r="C678" s="5"/>
      <c r="D678" s="5"/>
    </row>
    <row r="679">
      <c r="C679" s="5"/>
      <c r="D679" s="5"/>
    </row>
    <row r="680">
      <c r="C680" s="5"/>
      <c r="D680" s="5"/>
    </row>
    <row r="681">
      <c r="C681" s="5"/>
      <c r="D681" s="5"/>
    </row>
    <row r="682">
      <c r="C682" s="5"/>
      <c r="D682" s="5"/>
    </row>
    <row r="683">
      <c r="C683" s="5"/>
      <c r="D683" s="5"/>
    </row>
    <row r="684">
      <c r="C684" s="5"/>
      <c r="D684" s="5"/>
    </row>
    <row r="685">
      <c r="C685" s="5"/>
      <c r="D685" s="5"/>
    </row>
    <row r="686">
      <c r="C686" s="5"/>
      <c r="D686" s="5"/>
    </row>
    <row r="687">
      <c r="C687" s="5"/>
      <c r="D687" s="5"/>
    </row>
    <row r="688">
      <c r="C688" s="5"/>
      <c r="D688" s="5"/>
    </row>
    <row r="689">
      <c r="C689" s="5"/>
      <c r="D689" s="5"/>
    </row>
    <row r="690">
      <c r="C690" s="5"/>
      <c r="D690" s="5"/>
    </row>
  </sheetData>
  <conditionalFormatting sqref="C1:C690">
    <cfRule type="containsText" dxfId="0" priority="1" operator="containsText" text="yes">
      <formula>NOT(ISERROR(SEARCH(("yes"),(C1))))</formula>
    </cfRule>
  </conditionalFormatting>
  <conditionalFormatting sqref="C1:C690">
    <cfRule type="containsText" dxfId="1" priority="2" operator="containsText" text="decent">
      <formula>NOT(ISERROR(SEARCH(("decent"),(C1))))</formula>
    </cfRule>
  </conditionalFormatting>
  <conditionalFormatting sqref="C1:C690">
    <cfRule type="containsText" dxfId="2" priority="3" operator="containsText" text="maybe">
      <formula>NOT(ISERROR(SEARCH(("maybe"),(C1))))</formula>
    </cfRule>
  </conditionalFormatting>
  <conditionalFormatting sqref="C1:C690">
    <cfRule type="containsText" dxfId="3" priority="4" operator="containsText" text="no">
      <formula>NOT(ISERROR(SEARCH(("no"),(C1))))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2" max="4" width="20.88"/>
  </cols>
  <sheetData>
    <row r="1">
      <c r="A1" s="1" t="s">
        <v>0</v>
      </c>
      <c r="B1" s="1" t="s">
        <v>1</v>
      </c>
      <c r="C1" s="3" t="s">
        <v>3</v>
      </c>
      <c r="D1" s="3" t="s">
        <v>4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</row>
    <row r="2">
      <c r="A2" s="1" t="s">
        <v>188</v>
      </c>
      <c r="B2" s="1" t="s">
        <v>22</v>
      </c>
      <c r="C2" s="3" t="s">
        <v>24</v>
      </c>
      <c r="D2" s="3" t="s">
        <v>25</v>
      </c>
      <c r="E2" s="1" t="str">
        <f>IFERROR(__xludf.DUMMYFUNCTION("IFERROR(REGEXEXTRACT(A2, ""res(269|122)""), ""none"")"),"122")</f>
        <v>122</v>
      </c>
      <c r="F2" s="1">
        <v>-15.535781</v>
      </c>
      <c r="G2" s="1">
        <v>9.0</v>
      </c>
      <c r="H2" s="1">
        <v>3.0</v>
      </c>
      <c r="I2" s="1">
        <v>0.444444</v>
      </c>
      <c r="J2" s="1">
        <v>2.0</v>
      </c>
      <c r="K2" s="1">
        <v>-1.719191</v>
      </c>
      <c r="L2" s="1">
        <v>100.0</v>
      </c>
      <c r="M2" s="1">
        <v>0.0</v>
      </c>
      <c r="N2" s="1">
        <v>0.0</v>
      </c>
      <c r="O2" s="1">
        <v>97.189472</v>
      </c>
    </row>
    <row r="3">
      <c r="A3" s="1" t="s">
        <v>882</v>
      </c>
      <c r="B3" s="1" t="s">
        <v>883</v>
      </c>
      <c r="C3" s="3" t="s">
        <v>95</v>
      </c>
      <c r="D3" s="3"/>
      <c r="E3" s="1" t="str">
        <f>IFERROR(__xludf.DUMMYFUNCTION("IFERROR(REGEXEXTRACT(A3, ""res(269|122)""), ""none"")"),"122")</f>
        <v>122</v>
      </c>
      <c r="F3" s="1">
        <v>-15.909327</v>
      </c>
      <c r="G3" s="1">
        <v>10.0</v>
      </c>
      <c r="H3" s="1">
        <v>4.0</v>
      </c>
      <c r="I3" s="1">
        <v>0.3</v>
      </c>
      <c r="J3" s="1">
        <v>2.0</v>
      </c>
      <c r="K3" s="1">
        <v>-0.838915</v>
      </c>
      <c r="L3" s="1">
        <v>100.0</v>
      </c>
      <c r="M3" s="1">
        <v>0.0</v>
      </c>
      <c r="N3" s="1">
        <v>0.0</v>
      </c>
      <c r="O3" s="1">
        <v>99.551758</v>
      </c>
    </row>
    <row r="4">
      <c r="A4" s="1" t="s">
        <v>884</v>
      </c>
      <c r="B4" s="1" t="s">
        <v>885</v>
      </c>
      <c r="C4" s="3" t="s">
        <v>95</v>
      </c>
      <c r="D4" s="3"/>
      <c r="E4" s="1" t="str">
        <f>IFERROR(__xludf.DUMMYFUNCTION("IFERROR(REGEXEXTRACT(A4, ""res(269|122)""), ""none"")"),"122")</f>
        <v>122</v>
      </c>
      <c r="F4" s="1">
        <v>-15.853293</v>
      </c>
      <c r="G4" s="1">
        <v>10.0</v>
      </c>
      <c r="H4" s="1">
        <v>3.0</v>
      </c>
      <c r="I4" s="1">
        <v>0.3</v>
      </c>
      <c r="J4" s="1">
        <v>3.0</v>
      </c>
      <c r="K4" s="1">
        <v>-0.169824</v>
      </c>
      <c r="L4" s="1">
        <v>100.0</v>
      </c>
      <c r="M4" s="1">
        <v>0.0</v>
      </c>
      <c r="N4" s="1">
        <v>0.0</v>
      </c>
      <c r="O4" s="1">
        <v>100.276883</v>
      </c>
    </row>
    <row r="5">
      <c r="A5" s="1" t="s">
        <v>886</v>
      </c>
      <c r="B5" s="1" t="s">
        <v>887</v>
      </c>
      <c r="C5" s="3" t="s">
        <v>95</v>
      </c>
      <c r="D5" s="3"/>
      <c r="E5" s="1" t="str">
        <f>IFERROR(__xludf.DUMMYFUNCTION("IFERROR(REGEXEXTRACT(A5, ""res(269|122)""), ""none"")"),"122")</f>
        <v>122</v>
      </c>
      <c r="F5" s="1">
        <v>-15.314097</v>
      </c>
      <c r="G5" s="1">
        <v>10.0</v>
      </c>
      <c r="H5" s="1">
        <v>4.0</v>
      </c>
      <c r="I5" s="1">
        <v>0.3</v>
      </c>
      <c r="J5" s="1">
        <v>2.0</v>
      </c>
      <c r="K5" s="1">
        <v>-1.339481</v>
      </c>
      <c r="L5" s="1">
        <v>100.0</v>
      </c>
      <c r="M5" s="1">
        <v>0.0</v>
      </c>
      <c r="N5" s="1">
        <v>0.0</v>
      </c>
      <c r="O5" s="1">
        <v>99.646422</v>
      </c>
    </row>
    <row r="6">
      <c r="A6" s="1" t="s">
        <v>189</v>
      </c>
      <c r="B6" s="1" t="s">
        <v>190</v>
      </c>
      <c r="C6" s="3" t="s">
        <v>24</v>
      </c>
      <c r="D6" s="3" t="s">
        <v>395</v>
      </c>
      <c r="E6" s="1" t="str">
        <f>IFERROR(__xludf.DUMMYFUNCTION("IFERROR(REGEXEXTRACT(A6, ""res(269|122)""), ""none"")"),"122")</f>
        <v>122</v>
      </c>
      <c r="F6" s="1">
        <v>-17.372141</v>
      </c>
      <c r="G6" s="1">
        <v>10.0</v>
      </c>
      <c r="H6" s="1">
        <v>2.0</v>
      </c>
      <c r="I6" s="1">
        <v>0.3</v>
      </c>
      <c r="J6" s="1">
        <v>2.0</v>
      </c>
      <c r="K6" s="1">
        <v>-1.44699499999999</v>
      </c>
      <c r="L6" s="1">
        <v>100.0</v>
      </c>
      <c r="M6" s="1">
        <v>0.0</v>
      </c>
      <c r="N6" s="1">
        <v>0.0</v>
      </c>
      <c r="O6" s="1">
        <v>95.480864</v>
      </c>
    </row>
    <row r="7">
      <c r="A7" s="1" t="s">
        <v>888</v>
      </c>
      <c r="B7" s="1" t="s">
        <v>889</v>
      </c>
      <c r="C7" s="3" t="s">
        <v>95</v>
      </c>
      <c r="D7" s="3"/>
      <c r="E7" s="1" t="str">
        <f>IFERROR(__xludf.DUMMYFUNCTION("IFERROR(REGEXEXTRACT(A7, ""res(269|122)""), ""none"")"),"122")</f>
        <v>122</v>
      </c>
      <c r="F7" s="1">
        <v>-15.270707</v>
      </c>
      <c r="G7" s="1">
        <v>10.0</v>
      </c>
      <c r="H7" s="1">
        <v>3.0</v>
      </c>
      <c r="I7" s="1">
        <v>0.4</v>
      </c>
      <c r="J7" s="1">
        <v>2.0</v>
      </c>
      <c r="K7" s="1">
        <v>-1.180542</v>
      </c>
      <c r="L7" s="1">
        <v>100.0</v>
      </c>
      <c r="M7" s="1">
        <v>0.0</v>
      </c>
      <c r="N7" s="1">
        <v>0.0</v>
      </c>
      <c r="O7" s="1">
        <v>98.948751</v>
      </c>
    </row>
    <row r="8">
      <c r="A8" s="1" t="s">
        <v>890</v>
      </c>
      <c r="B8" s="1" t="s">
        <v>891</v>
      </c>
      <c r="C8" s="3" t="s">
        <v>95</v>
      </c>
      <c r="D8" s="3"/>
      <c r="E8" s="1" t="str">
        <f>IFERROR(__xludf.DUMMYFUNCTION("IFERROR(REGEXEXTRACT(A8, ""res(269|122)""), ""none"")"),"122")</f>
        <v>122</v>
      </c>
      <c r="F8" s="1">
        <v>-15.966543</v>
      </c>
      <c r="G8" s="1">
        <v>7.0</v>
      </c>
      <c r="H8" s="1">
        <v>5.0</v>
      </c>
      <c r="I8" s="1">
        <v>0.571429</v>
      </c>
      <c r="J8" s="1">
        <v>2.0</v>
      </c>
      <c r="K8" s="1">
        <v>-0.746181</v>
      </c>
      <c r="L8" s="1">
        <v>100.0</v>
      </c>
      <c r="M8" s="1">
        <v>0.0</v>
      </c>
      <c r="N8" s="1">
        <v>0.0</v>
      </c>
      <c r="O8" s="1">
        <v>97.858705</v>
      </c>
    </row>
    <row r="9">
      <c r="A9" s="1" t="s">
        <v>191</v>
      </c>
      <c r="B9" s="1" t="s">
        <v>192</v>
      </c>
      <c r="C9" s="3" t="s">
        <v>24</v>
      </c>
      <c r="D9" s="3" t="s">
        <v>396</v>
      </c>
      <c r="E9" s="1" t="str">
        <f>IFERROR(__xludf.DUMMYFUNCTION("IFERROR(REGEXEXTRACT(A9, ""res(269|122)""), ""none"")"),"122")</f>
        <v>122</v>
      </c>
      <c r="F9" s="1">
        <v>-15.13854</v>
      </c>
      <c r="G9" s="1">
        <v>9.0</v>
      </c>
      <c r="H9" s="1">
        <v>4.0</v>
      </c>
      <c r="I9" s="1">
        <v>0.333333</v>
      </c>
      <c r="J9" s="1">
        <v>2.0</v>
      </c>
      <c r="K9" s="1">
        <v>-1.065005</v>
      </c>
      <c r="L9" s="1">
        <v>100.0</v>
      </c>
      <c r="M9" s="1">
        <v>0.0</v>
      </c>
      <c r="N9" s="1">
        <v>0.0</v>
      </c>
      <c r="O9" s="1">
        <v>99.129788</v>
      </c>
    </row>
    <row r="10">
      <c r="A10" s="1" t="s">
        <v>193</v>
      </c>
      <c r="B10" s="1" t="s">
        <v>194</v>
      </c>
      <c r="C10" s="3" t="s">
        <v>24</v>
      </c>
      <c r="D10" s="3" t="s">
        <v>397</v>
      </c>
      <c r="E10" s="1" t="str">
        <f>IFERROR(__xludf.DUMMYFUNCTION("IFERROR(REGEXEXTRACT(A10, ""res(269|122)""), ""none"")"),"122")</f>
        <v>122</v>
      </c>
      <c r="F10" s="1">
        <v>-15.55909</v>
      </c>
      <c r="G10" s="1">
        <v>12.0</v>
      </c>
      <c r="H10" s="1">
        <v>4.0</v>
      </c>
      <c r="I10" s="1">
        <v>0.25</v>
      </c>
      <c r="J10" s="1">
        <v>2.0</v>
      </c>
      <c r="K10" s="1">
        <v>-0.857348</v>
      </c>
      <c r="L10" s="1">
        <v>100.0</v>
      </c>
      <c r="M10" s="1">
        <v>0.0</v>
      </c>
      <c r="N10" s="1">
        <v>0.0</v>
      </c>
      <c r="O10" s="1">
        <v>101.833562</v>
      </c>
    </row>
    <row r="11">
      <c r="A11" s="1" t="s">
        <v>892</v>
      </c>
      <c r="B11" s="1" t="s">
        <v>893</v>
      </c>
      <c r="C11" s="3" t="s">
        <v>95</v>
      </c>
      <c r="D11" s="3"/>
      <c r="E11" s="1" t="str">
        <f>IFERROR(__xludf.DUMMYFUNCTION("IFERROR(REGEXEXTRACT(A11, ""res(269|122)""), ""none"")"),"122")</f>
        <v>122</v>
      </c>
      <c r="F11" s="1">
        <v>-15.352621</v>
      </c>
      <c r="G11" s="1">
        <v>9.0</v>
      </c>
      <c r="H11" s="1">
        <v>3.0</v>
      </c>
      <c r="I11" s="1">
        <v>0.333333</v>
      </c>
      <c r="J11" s="1">
        <v>2.0</v>
      </c>
      <c r="K11" s="1">
        <v>-0.609783</v>
      </c>
      <c r="L11" s="1">
        <v>100.0</v>
      </c>
      <c r="M11" s="1">
        <v>0.0</v>
      </c>
      <c r="N11" s="1">
        <v>0.0</v>
      </c>
      <c r="O11" s="1">
        <v>98.370929</v>
      </c>
    </row>
    <row r="12">
      <c r="A12" s="1" t="s">
        <v>894</v>
      </c>
      <c r="B12" s="1" t="s">
        <v>895</v>
      </c>
      <c r="C12" s="3" t="s">
        <v>95</v>
      </c>
      <c r="D12" s="3"/>
      <c r="E12" s="1" t="str">
        <f>IFERROR(__xludf.DUMMYFUNCTION("IFERROR(REGEXEXTRACT(A12, ""res(269|122)""), ""none"")"),"122")</f>
        <v>122</v>
      </c>
      <c r="F12" s="1">
        <v>-16.976415</v>
      </c>
      <c r="G12" s="1">
        <v>10.0</v>
      </c>
      <c r="H12" s="1">
        <v>3.0</v>
      </c>
      <c r="I12" s="1">
        <v>0.3</v>
      </c>
      <c r="J12" s="1">
        <v>2.0</v>
      </c>
      <c r="K12" s="1">
        <v>-0.947909</v>
      </c>
      <c r="L12" s="1">
        <v>100.0</v>
      </c>
      <c r="M12" s="1">
        <v>0.0</v>
      </c>
      <c r="N12" s="1">
        <v>0.0</v>
      </c>
      <c r="O12" s="1">
        <v>97.375676</v>
      </c>
    </row>
    <row r="13">
      <c r="A13" s="1" t="s">
        <v>195</v>
      </c>
      <c r="B13" s="1" t="s">
        <v>196</v>
      </c>
      <c r="C13" s="3" t="s">
        <v>24</v>
      </c>
      <c r="D13" s="3" t="s">
        <v>398</v>
      </c>
      <c r="E13" s="1" t="str">
        <f>IFERROR(__xludf.DUMMYFUNCTION("IFERROR(REGEXEXTRACT(A13, ""res(269|122)""), ""none"")"),"122")</f>
        <v>122</v>
      </c>
      <c r="F13" s="1">
        <v>-16.502904</v>
      </c>
      <c r="G13" s="1">
        <v>8.0</v>
      </c>
      <c r="H13" s="1">
        <v>3.0</v>
      </c>
      <c r="I13" s="1">
        <v>0.25</v>
      </c>
      <c r="J13" s="1">
        <v>3.0</v>
      </c>
      <c r="K13" s="1">
        <v>-0.998347</v>
      </c>
      <c r="L13" s="1">
        <v>100.0</v>
      </c>
      <c r="M13" s="1">
        <v>0.0</v>
      </c>
      <c r="N13" s="1">
        <v>0.0</v>
      </c>
      <c r="O13" s="1">
        <v>96.748749</v>
      </c>
    </row>
    <row r="14">
      <c r="A14" s="1" t="s">
        <v>197</v>
      </c>
      <c r="B14" s="1" t="s">
        <v>94</v>
      </c>
      <c r="C14" s="3" t="s">
        <v>33</v>
      </c>
      <c r="D14" s="3" t="s">
        <v>399</v>
      </c>
      <c r="E14" s="1" t="str">
        <f>IFERROR(__xludf.DUMMYFUNCTION("IFERROR(REGEXEXTRACT(A14, ""res(269|122)""), ""none"")"),"122")</f>
        <v>122</v>
      </c>
      <c r="F14" s="1">
        <v>-16.222639</v>
      </c>
      <c r="G14" s="1">
        <v>10.0</v>
      </c>
      <c r="H14" s="1">
        <v>3.0</v>
      </c>
      <c r="I14" s="1">
        <v>0.3</v>
      </c>
      <c r="J14" s="1">
        <v>2.0</v>
      </c>
      <c r="K14" s="1">
        <v>-1.763647</v>
      </c>
      <c r="L14" s="1">
        <v>100.0</v>
      </c>
      <c r="M14" s="1">
        <v>0.0</v>
      </c>
      <c r="N14" s="1">
        <v>0.0</v>
      </c>
      <c r="O14" s="1">
        <v>97.313714</v>
      </c>
    </row>
    <row r="15">
      <c r="A15" s="1" t="s">
        <v>198</v>
      </c>
      <c r="B15" s="1" t="s">
        <v>30</v>
      </c>
      <c r="C15" s="3" t="s">
        <v>24</v>
      </c>
      <c r="D15" s="3" t="s">
        <v>32</v>
      </c>
      <c r="E15" s="1" t="str">
        <f>IFERROR(__xludf.DUMMYFUNCTION("IFERROR(REGEXEXTRACT(A15, ""res(269|122)""), ""none"")"),"122")</f>
        <v>122</v>
      </c>
      <c r="F15" s="1">
        <v>-15.296063</v>
      </c>
      <c r="G15" s="1">
        <v>8.0</v>
      </c>
      <c r="H15" s="1">
        <v>3.0</v>
      </c>
      <c r="I15" s="1">
        <v>0.25</v>
      </c>
      <c r="J15" s="1">
        <v>2.0</v>
      </c>
      <c r="K15" s="1">
        <v>-1.293353</v>
      </c>
      <c r="L15" s="1">
        <v>100.0</v>
      </c>
      <c r="M15" s="1">
        <v>0.0</v>
      </c>
      <c r="N15" s="1">
        <v>0.0</v>
      </c>
      <c r="O15" s="1">
        <v>96.660584</v>
      </c>
    </row>
    <row r="16">
      <c r="A16" s="1" t="s">
        <v>896</v>
      </c>
      <c r="B16" s="1" t="s">
        <v>897</v>
      </c>
      <c r="C16" s="3" t="s">
        <v>95</v>
      </c>
      <c r="D16" s="3"/>
      <c r="E16" s="1" t="str">
        <f>IFERROR(__xludf.DUMMYFUNCTION("IFERROR(REGEXEXTRACT(A16, ""res(269|122)""), ""none"")"),"122")</f>
        <v>122</v>
      </c>
      <c r="F16" s="1">
        <v>-15.173012</v>
      </c>
      <c r="G16" s="1">
        <v>10.0</v>
      </c>
      <c r="H16" s="1">
        <v>4.0</v>
      </c>
      <c r="I16" s="1">
        <v>0.3</v>
      </c>
      <c r="J16" s="1">
        <v>2.0</v>
      </c>
      <c r="K16" s="1">
        <v>-1.39177</v>
      </c>
      <c r="L16" s="1">
        <v>100.0</v>
      </c>
      <c r="M16" s="1">
        <v>0.0</v>
      </c>
      <c r="N16" s="1">
        <v>0.0</v>
      </c>
      <c r="O16" s="1">
        <v>99.735218</v>
      </c>
    </row>
    <row r="17">
      <c r="A17" s="1" t="s">
        <v>199</v>
      </c>
      <c r="B17" s="1" t="s">
        <v>200</v>
      </c>
      <c r="C17" s="3" t="s">
        <v>33</v>
      </c>
      <c r="D17" s="3"/>
      <c r="E17" s="1" t="str">
        <f>IFERROR(__xludf.DUMMYFUNCTION("IFERROR(REGEXEXTRACT(A17, ""res(269|122)""), ""none"")"),"122")</f>
        <v>122</v>
      </c>
      <c r="F17" s="1">
        <v>-15.047575</v>
      </c>
      <c r="G17" s="1">
        <v>8.0</v>
      </c>
      <c r="H17" s="1">
        <v>4.0</v>
      </c>
      <c r="I17" s="1">
        <v>0.25</v>
      </c>
      <c r="J17" s="1">
        <v>2.0</v>
      </c>
      <c r="K17" s="1">
        <v>-1.824829</v>
      </c>
      <c r="L17" s="1">
        <v>100.0</v>
      </c>
      <c r="M17" s="1">
        <v>0.0</v>
      </c>
      <c r="N17" s="1">
        <v>0.0</v>
      </c>
      <c r="O17" s="1">
        <v>97.377596</v>
      </c>
    </row>
    <row r="18">
      <c r="A18" s="1" t="s">
        <v>898</v>
      </c>
      <c r="B18" s="1" t="s">
        <v>899</v>
      </c>
      <c r="C18" s="3" t="s">
        <v>95</v>
      </c>
      <c r="D18" s="3"/>
      <c r="E18" s="1" t="str">
        <f>IFERROR(__xludf.DUMMYFUNCTION("IFERROR(REGEXEXTRACT(A18, ""res(269|122)""), ""none"")"),"122")</f>
        <v>122</v>
      </c>
      <c r="F18" s="1">
        <v>-15.089032</v>
      </c>
      <c r="G18" s="1">
        <v>11.0</v>
      </c>
      <c r="H18" s="1">
        <v>4.0</v>
      </c>
      <c r="I18" s="1">
        <v>0.272727</v>
      </c>
      <c r="J18" s="1">
        <v>2.0</v>
      </c>
      <c r="K18" s="1">
        <v>-0.598739999999999</v>
      </c>
      <c r="L18" s="1">
        <v>100.0</v>
      </c>
      <c r="M18" s="1">
        <v>0.0</v>
      </c>
      <c r="N18" s="1">
        <v>0.0</v>
      </c>
      <c r="O18" s="1">
        <v>101.584955</v>
      </c>
    </row>
    <row r="19">
      <c r="A19" s="1" t="s">
        <v>201</v>
      </c>
      <c r="B19" s="1" t="s">
        <v>35</v>
      </c>
      <c r="C19" s="3" t="s">
        <v>33</v>
      </c>
      <c r="D19" s="3" t="s">
        <v>37</v>
      </c>
      <c r="E19" s="1" t="str">
        <f>IFERROR(__xludf.DUMMYFUNCTION("IFERROR(REGEXEXTRACT(A19, ""res(269|122)""), ""none"")"),"122")</f>
        <v>122</v>
      </c>
      <c r="F19" s="1">
        <v>-15.950047</v>
      </c>
      <c r="G19" s="1">
        <v>7.0</v>
      </c>
      <c r="H19" s="1">
        <v>3.0</v>
      </c>
      <c r="I19" s="1">
        <v>0.285714</v>
      </c>
      <c r="J19" s="1">
        <v>3.0</v>
      </c>
      <c r="K19" s="1">
        <v>-1.505897</v>
      </c>
      <c r="L19" s="1">
        <v>100.0</v>
      </c>
      <c r="M19" s="1">
        <v>0.0</v>
      </c>
      <c r="N19" s="1">
        <v>0.0</v>
      </c>
      <c r="O19" s="1">
        <v>95.82977</v>
      </c>
    </row>
    <row r="20">
      <c r="A20" s="1" t="s">
        <v>900</v>
      </c>
      <c r="B20" s="1" t="s">
        <v>901</v>
      </c>
      <c r="C20" s="3" t="s">
        <v>95</v>
      </c>
      <c r="D20" s="3"/>
      <c r="E20" s="1" t="str">
        <f>IFERROR(__xludf.DUMMYFUNCTION("IFERROR(REGEXEXTRACT(A20, ""res(269|122)""), ""none"")"),"122")</f>
        <v>122</v>
      </c>
      <c r="F20" s="1">
        <v>-15.476784</v>
      </c>
      <c r="G20" s="1">
        <v>9.0</v>
      </c>
      <c r="H20" s="1">
        <v>3.0</v>
      </c>
      <c r="I20" s="1">
        <v>0.333333</v>
      </c>
      <c r="J20" s="1">
        <v>2.0</v>
      </c>
      <c r="K20" s="1">
        <v>-1.337507</v>
      </c>
      <c r="L20" s="1">
        <v>100.0</v>
      </c>
      <c r="M20" s="1">
        <v>0.0</v>
      </c>
      <c r="N20" s="1">
        <v>0.0</v>
      </c>
      <c r="O20" s="1">
        <v>97.519042</v>
      </c>
    </row>
    <row r="21">
      <c r="A21" s="1" t="s">
        <v>902</v>
      </c>
      <c r="B21" s="1" t="s">
        <v>903</v>
      </c>
      <c r="C21" s="3" t="s">
        <v>95</v>
      </c>
      <c r="D21" s="3"/>
      <c r="E21" s="1" t="str">
        <f>IFERROR(__xludf.DUMMYFUNCTION("IFERROR(REGEXEXTRACT(A21, ""res(269|122)""), ""none"")"),"122")</f>
        <v>122</v>
      </c>
      <c r="F21" s="1">
        <v>-15.805707</v>
      </c>
      <c r="G21" s="1">
        <v>11.0</v>
      </c>
      <c r="H21" s="1">
        <v>4.0</v>
      </c>
      <c r="I21" s="1">
        <v>0.454545</v>
      </c>
      <c r="J21" s="1">
        <v>2.0</v>
      </c>
      <c r="K21" s="1">
        <v>-1.318406</v>
      </c>
      <c r="L21" s="1">
        <v>100.0</v>
      </c>
      <c r="M21" s="1">
        <v>0.0</v>
      </c>
      <c r="N21" s="1">
        <v>0.0</v>
      </c>
      <c r="O21" s="1">
        <v>100.330432</v>
      </c>
    </row>
    <row r="22">
      <c r="A22" s="1" t="s">
        <v>202</v>
      </c>
      <c r="B22" s="1" t="s">
        <v>203</v>
      </c>
      <c r="C22" s="3" t="s">
        <v>24</v>
      </c>
      <c r="D22" s="3" t="s">
        <v>400</v>
      </c>
      <c r="E22" s="1" t="str">
        <f>IFERROR(__xludf.DUMMYFUNCTION("IFERROR(REGEXEXTRACT(A22, ""res(269|122)""), ""none"")"),"122")</f>
        <v>122</v>
      </c>
      <c r="F22" s="1">
        <v>-15.642859</v>
      </c>
      <c r="G22" s="1">
        <v>11.0</v>
      </c>
      <c r="H22" s="1">
        <v>3.0</v>
      </c>
      <c r="I22" s="1">
        <v>0.272727</v>
      </c>
      <c r="J22" s="1">
        <v>2.0</v>
      </c>
      <c r="K22" s="1">
        <v>-1.1816</v>
      </c>
      <c r="L22" s="1">
        <v>100.0</v>
      </c>
      <c r="M22" s="1">
        <v>0.0</v>
      </c>
      <c r="N22" s="1">
        <v>0.0</v>
      </c>
      <c r="O22" s="1">
        <v>99.448268</v>
      </c>
    </row>
    <row r="23">
      <c r="A23" s="1" t="s">
        <v>904</v>
      </c>
      <c r="B23" s="1" t="s">
        <v>905</v>
      </c>
      <c r="C23" s="3" t="s">
        <v>95</v>
      </c>
      <c r="D23" s="3"/>
      <c r="E23" s="1" t="str">
        <f>IFERROR(__xludf.DUMMYFUNCTION("IFERROR(REGEXEXTRACT(A23, ""res(269|122)""), ""none"")"),"122")</f>
        <v>122</v>
      </c>
      <c r="F23" s="1">
        <v>-15.38509</v>
      </c>
      <c r="G23" s="1">
        <v>9.0</v>
      </c>
      <c r="H23" s="1">
        <v>4.0</v>
      </c>
      <c r="I23" s="1">
        <v>0.333333</v>
      </c>
      <c r="J23" s="1">
        <v>2.0</v>
      </c>
      <c r="K23" s="1">
        <v>-1.023251</v>
      </c>
      <c r="L23" s="1">
        <v>100.0</v>
      </c>
      <c r="M23" s="1">
        <v>0.0</v>
      </c>
      <c r="N23" s="1">
        <v>0.0</v>
      </c>
      <c r="O23" s="1">
        <v>98.924992</v>
      </c>
    </row>
    <row r="24">
      <c r="A24" s="1" t="s">
        <v>906</v>
      </c>
      <c r="B24" s="1" t="s">
        <v>907</v>
      </c>
      <c r="C24" s="3" t="s">
        <v>95</v>
      </c>
      <c r="D24" s="3"/>
      <c r="E24" s="1" t="str">
        <f>IFERROR(__xludf.DUMMYFUNCTION("IFERROR(REGEXEXTRACT(A24, ""res(269|122)""), ""none"")"),"122")</f>
        <v>122</v>
      </c>
      <c r="F24" s="1">
        <v>-15.399542</v>
      </c>
      <c r="G24" s="1">
        <v>10.0</v>
      </c>
      <c r="H24" s="1">
        <v>2.0</v>
      </c>
      <c r="I24" s="1">
        <v>0.6</v>
      </c>
      <c r="J24" s="1">
        <v>2.0</v>
      </c>
      <c r="K24" s="1">
        <v>-0.613366</v>
      </c>
      <c r="L24" s="1">
        <v>100.0</v>
      </c>
      <c r="M24" s="1">
        <v>0.0</v>
      </c>
      <c r="N24" s="1">
        <v>0.0</v>
      </c>
      <c r="O24" s="1">
        <v>98.587092</v>
      </c>
    </row>
    <row r="25">
      <c r="A25" s="1" t="s">
        <v>204</v>
      </c>
      <c r="B25" s="1" t="s">
        <v>99</v>
      </c>
      <c r="C25" s="3" t="s">
        <v>24</v>
      </c>
      <c r="D25" s="3" t="s">
        <v>401</v>
      </c>
      <c r="E25" s="1" t="str">
        <f>IFERROR(__xludf.DUMMYFUNCTION("IFERROR(REGEXEXTRACT(A25, ""res(269|122)""), ""none"")"),"122")</f>
        <v>122</v>
      </c>
      <c r="F25" s="1">
        <v>-15.476613</v>
      </c>
      <c r="G25" s="1">
        <v>12.0</v>
      </c>
      <c r="H25" s="1">
        <v>4.0</v>
      </c>
      <c r="I25" s="1">
        <v>0.333333</v>
      </c>
      <c r="J25" s="1">
        <v>2.0</v>
      </c>
      <c r="K25" s="1">
        <v>-0.623346</v>
      </c>
      <c r="L25" s="1">
        <v>100.0</v>
      </c>
      <c r="M25" s="1">
        <v>0.0</v>
      </c>
      <c r="N25" s="1">
        <v>0.0</v>
      </c>
      <c r="O25" s="1">
        <v>102.233374</v>
      </c>
    </row>
    <row r="26">
      <c r="A26" s="1" t="s">
        <v>205</v>
      </c>
      <c r="B26" s="1" t="s">
        <v>206</v>
      </c>
      <c r="C26" s="3" t="s">
        <v>33</v>
      </c>
      <c r="D26" s="3"/>
      <c r="E26" s="1" t="str">
        <f>IFERROR(__xludf.DUMMYFUNCTION("IFERROR(REGEXEXTRACT(A26, ""res(269|122)""), ""none"")"),"122")</f>
        <v>122</v>
      </c>
      <c r="F26" s="1">
        <v>-16.216217</v>
      </c>
      <c r="G26" s="1">
        <v>7.0</v>
      </c>
      <c r="H26" s="1">
        <v>4.0</v>
      </c>
      <c r="I26" s="1">
        <v>0.285714</v>
      </c>
      <c r="J26" s="1">
        <v>2.0</v>
      </c>
      <c r="K26" s="1">
        <v>-0.930066</v>
      </c>
      <c r="L26" s="1">
        <v>100.0</v>
      </c>
      <c r="M26" s="1">
        <v>0.0</v>
      </c>
      <c r="N26" s="1">
        <v>0.0</v>
      </c>
      <c r="O26" s="1">
        <v>96.139431</v>
      </c>
    </row>
    <row r="27">
      <c r="A27" s="1" t="s">
        <v>207</v>
      </c>
      <c r="B27" s="1" t="s">
        <v>208</v>
      </c>
      <c r="C27" s="3" t="s">
        <v>24</v>
      </c>
      <c r="D27" s="3"/>
      <c r="E27" s="1" t="str">
        <f>IFERROR(__xludf.DUMMYFUNCTION("IFERROR(REGEXEXTRACT(A27, ""res(269|122)""), ""none"")"),"122")</f>
        <v>122</v>
      </c>
      <c r="F27" s="1">
        <v>-15.113702</v>
      </c>
      <c r="G27" s="1">
        <v>8.0</v>
      </c>
      <c r="H27" s="1">
        <v>3.0</v>
      </c>
      <c r="I27" s="1">
        <v>0.25</v>
      </c>
      <c r="J27" s="1">
        <v>2.0</v>
      </c>
      <c r="K27" s="1">
        <v>-0.761492</v>
      </c>
      <c r="L27" s="1">
        <v>100.0</v>
      </c>
      <c r="M27" s="1">
        <v>0.0</v>
      </c>
      <c r="N27" s="1">
        <v>0.0</v>
      </c>
      <c r="O27" s="1">
        <v>97.374806</v>
      </c>
    </row>
    <row r="28">
      <c r="A28" s="1" t="s">
        <v>908</v>
      </c>
      <c r="B28" s="1" t="s">
        <v>909</v>
      </c>
      <c r="C28" s="3" t="s">
        <v>95</v>
      </c>
      <c r="D28" s="3"/>
      <c r="E28" s="1" t="str">
        <f>IFERROR(__xludf.DUMMYFUNCTION("IFERROR(REGEXEXTRACT(A28, ""res(269|122)""), ""none"")"),"122")</f>
        <v>122</v>
      </c>
      <c r="F28" s="1">
        <v>-15.31518</v>
      </c>
      <c r="G28" s="1">
        <v>8.0</v>
      </c>
      <c r="H28" s="1">
        <v>4.0</v>
      </c>
      <c r="I28" s="1">
        <v>0.375</v>
      </c>
      <c r="J28" s="1">
        <v>2.0</v>
      </c>
      <c r="K28" s="1">
        <v>-1.223903</v>
      </c>
      <c r="L28" s="1">
        <v>100.0</v>
      </c>
      <c r="M28" s="1">
        <v>0.0</v>
      </c>
      <c r="N28" s="1">
        <v>0.0</v>
      </c>
      <c r="O28" s="1">
        <v>97.835917</v>
      </c>
    </row>
    <row r="29">
      <c r="A29" s="1" t="s">
        <v>209</v>
      </c>
      <c r="B29" s="1" t="s">
        <v>210</v>
      </c>
      <c r="C29" s="3" t="s">
        <v>24</v>
      </c>
      <c r="D29" s="3" t="s">
        <v>402</v>
      </c>
      <c r="E29" s="1" t="str">
        <f>IFERROR(__xludf.DUMMYFUNCTION("IFERROR(REGEXEXTRACT(A29, ""res(269|122)""), ""none"")"),"122")</f>
        <v>122</v>
      </c>
      <c r="F29" s="1">
        <v>-15.419001</v>
      </c>
      <c r="G29" s="1">
        <v>8.0</v>
      </c>
      <c r="H29" s="1">
        <v>5.0</v>
      </c>
      <c r="I29" s="1">
        <v>0.5</v>
      </c>
      <c r="J29" s="1">
        <v>3.0</v>
      </c>
      <c r="K29" s="1">
        <v>-1.097048</v>
      </c>
      <c r="L29" s="1">
        <v>100.0</v>
      </c>
      <c r="M29" s="1">
        <v>0.0</v>
      </c>
      <c r="N29" s="1">
        <v>0.0</v>
      </c>
      <c r="O29" s="1">
        <v>99.983951</v>
      </c>
    </row>
    <row r="30">
      <c r="A30" s="1" t="s">
        <v>910</v>
      </c>
      <c r="B30" s="1" t="s">
        <v>911</v>
      </c>
      <c r="C30" s="3" t="s">
        <v>95</v>
      </c>
      <c r="D30" s="3"/>
      <c r="E30" s="1" t="str">
        <f>IFERROR(__xludf.DUMMYFUNCTION("IFERROR(REGEXEXTRACT(A30, ""res(269|122)""), ""none"")"),"122")</f>
        <v>122</v>
      </c>
      <c r="F30" s="1">
        <v>-15.898066</v>
      </c>
      <c r="G30" s="1">
        <v>10.0</v>
      </c>
      <c r="H30" s="1">
        <v>5.0</v>
      </c>
      <c r="I30" s="1">
        <v>0.3</v>
      </c>
      <c r="J30" s="1">
        <v>2.0</v>
      </c>
      <c r="K30" s="1">
        <v>-0.756596</v>
      </c>
      <c r="L30" s="1">
        <v>100.0</v>
      </c>
      <c r="M30" s="1">
        <v>0.0</v>
      </c>
      <c r="N30" s="1">
        <v>0.0</v>
      </c>
      <c r="O30" s="1">
        <v>100.645338</v>
      </c>
    </row>
    <row r="31">
      <c r="A31" s="1" t="s">
        <v>912</v>
      </c>
      <c r="B31" s="1" t="s">
        <v>913</v>
      </c>
      <c r="C31" s="3" t="s">
        <v>95</v>
      </c>
      <c r="D31" s="3"/>
      <c r="E31" s="1" t="str">
        <f>IFERROR(__xludf.DUMMYFUNCTION("IFERROR(REGEXEXTRACT(A31, ""res(269|122)""), ""none"")"),"122")</f>
        <v>122</v>
      </c>
      <c r="F31" s="1">
        <v>-15.987933</v>
      </c>
      <c r="G31" s="1">
        <v>8.0</v>
      </c>
      <c r="H31" s="1">
        <v>4.0</v>
      </c>
      <c r="I31" s="1">
        <v>0.25</v>
      </c>
      <c r="J31" s="1">
        <v>2.0</v>
      </c>
      <c r="K31" s="1">
        <v>-1.336909</v>
      </c>
      <c r="L31" s="1">
        <v>100.0</v>
      </c>
      <c r="M31" s="1">
        <v>0.0</v>
      </c>
      <c r="N31" s="1">
        <v>0.0</v>
      </c>
      <c r="O31" s="1">
        <v>96.925158</v>
      </c>
    </row>
    <row r="32">
      <c r="A32" s="1" t="s">
        <v>914</v>
      </c>
      <c r="B32" s="1" t="s">
        <v>915</v>
      </c>
      <c r="C32" s="3" t="s">
        <v>95</v>
      </c>
      <c r="D32" s="3"/>
      <c r="E32" s="1" t="str">
        <f>IFERROR(__xludf.DUMMYFUNCTION("IFERROR(REGEXEXTRACT(A32, ""res(269|122)""), ""none"")"),"122")</f>
        <v>122</v>
      </c>
      <c r="F32" s="1">
        <v>-15.292696</v>
      </c>
      <c r="G32" s="1">
        <v>11.0</v>
      </c>
      <c r="H32" s="1">
        <v>2.0</v>
      </c>
      <c r="I32" s="1">
        <v>0.272727</v>
      </c>
      <c r="J32" s="1">
        <v>2.0</v>
      </c>
      <c r="K32" s="1">
        <v>-0.566388</v>
      </c>
      <c r="L32" s="1">
        <v>100.0</v>
      </c>
      <c r="M32" s="1">
        <v>0.0</v>
      </c>
      <c r="N32" s="1">
        <v>0.0</v>
      </c>
      <c r="O32" s="1">
        <v>99.413643</v>
      </c>
    </row>
    <row r="33">
      <c r="A33" s="1" t="s">
        <v>916</v>
      </c>
      <c r="B33" s="1" t="s">
        <v>917</v>
      </c>
      <c r="C33" s="3" t="s">
        <v>95</v>
      </c>
      <c r="D33" s="3"/>
      <c r="E33" s="1" t="str">
        <f>IFERROR(__xludf.DUMMYFUNCTION("IFERROR(REGEXEXTRACT(A33, ""res(269|122)""), ""none"")"),"122")</f>
        <v>122</v>
      </c>
      <c r="F33" s="1">
        <v>-15.186457</v>
      </c>
      <c r="G33" s="1">
        <v>8.0</v>
      </c>
      <c r="H33" s="1">
        <v>2.0</v>
      </c>
      <c r="I33" s="1">
        <v>0.25</v>
      </c>
      <c r="J33" s="1">
        <v>2.0</v>
      </c>
      <c r="K33" s="1">
        <v>-1.2613</v>
      </c>
      <c r="L33" s="1">
        <v>100.0</v>
      </c>
      <c r="M33" s="1">
        <v>0.0</v>
      </c>
      <c r="N33" s="1">
        <v>0.0</v>
      </c>
      <c r="O33" s="1">
        <v>95.802243</v>
      </c>
    </row>
    <row r="34">
      <c r="A34" s="1" t="s">
        <v>918</v>
      </c>
      <c r="B34" s="1" t="s">
        <v>919</v>
      </c>
      <c r="C34" s="3" t="s">
        <v>95</v>
      </c>
      <c r="D34" s="3"/>
      <c r="E34" s="1" t="str">
        <f>IFERROR(__xludf.DUMMYFUNCTION("IFERROR(REGEXEXTRACT(A34, ""res(269|122)""), ""none"")"),"122")</f>
        <v>122</v>
      </c>
      <c r="F34" s="1">
        <v>-16.198358</v>
      </c>
      <c r="G34" s="1">
        <v>8.0</v>
      </c>
      <c r="H34" s="1">
        <v>4.0</v>
      </c>
      <c r="I34" s="1">
        <v>0.25</v>
      </c>
      <c r="J34" s="1">
        <v>2.0</v>
      </c>
      <c r="K34" s="1">
        <v>-0.652775</v>
      </c>
      <c r="L34" s="1">
        <v>100.0</v>
      </c>
      <c r="M34" s="1">
        <v>0.0</v>
      </c>
      <c r="N34" s="1">
        <v>0.0</v>
      </c>
      <c r="O34" s="1">
        <v>97.398867</v>
      </c>
    </row>
    <row r="35">
      <c r="A35" s="1" t="s">
        <v>920</v>
      </c>
      <c r="B35" s="1" t="s">
        <v>921</v>
      </c>
      <c r="C35" s="3" t="s">
        <v>95</v>
      </c>
      <c r="D35" s="3"/>
      <c r="E35" s="1" t="str">
        <f>IFERROR(__xludf.DUMMYFUNCTION("IFERROR(REGEXEXTRACT(A35, ""res(269|122)""), ""none"")"),"122")</f>
        <v>122</v>
      </c>
      <c r="F35" s="1">
        <v>-16.731063</v>
      </c>
      <c r="G35" s="1">
        <v>8.0</v>
      </c>
      <c r="H35" s="1">
        <v>4.0</v>
      </c>
      <c r="I35" s="1">
        <v>0.25</v>
      </c>
      <c r="J35" s="1">
        <v>2.0</v>
      </c>
      <c r="K35" s="1">
        <v>-0.330589</v>
      </c>
      <c r="L35" s="1">
        <v>100.0</v>
      </c>
      <c r="M35" s="1">
        <v>0.0</v>
      </c>
      <c r="N35" s="1">
        <v>0.0</v>
      </c>
      <c r="O35" s="1">
        <v>97.188348</v>
      </c>
    </row>
    <row r="36">
      <c r="A36" s="1" t="s">
        <v>211</v>
      </c>
      <c r="B36" s="1" t="s">
        <v>212</v>
      </c>
      <c r="C36" s="3" t="s">
        <v>24</v>
      </c>
      <c r="D36" s="3" t="s">
        <v>403</v>
      </c>
      <c r="E36" s="1" t="str">
        <f>IFERROR(__xludf.DUMMYFUNCTION("IFERROR(REGEXEXTRACT(A36, ""res(269|122)""), ""none"")"),"122")</f>
        <v>122</v>
      </c>
      <c r="F36" s="1">
        <v>-15.695975</v>
      </c>
      <c r="G36" s="1">
        <v>7.0</v>
      </c>
      <c r="H36" s="1">
        <v>5.0</v>
      </c>
      <c r="I36" s="1">
        <v>0.428571</v>
      </c>
      <c r="J36" s="1">
        <v>2.0</v>
      </c>
      <c r="K36" s="1">
        <v>-0.51858</v>
      </c>
      <c r="L36" s="1">
        <v>100.0</v>
      </c>
      <c r="M36" s="1">
        <v>0.0</v>
      </c>
      <c r="N36" s="1">
        <v>0.0</v>
      </c>
      <c r="O36" s="1">
        <v>98.214016</v>
      </c>
    </row>
    <row r="37">
      <c r="A37" s="1" t="s">
        <v>922</v>
      </c>
      <c r="B37" s="1" t="s">
        <v>923</v>
      </c>
      <c r="C37" s="3" t="s">
        <v>95</v>
      </c>
      <c r="D37" s="3"/>
      <c r="E37" s="1" t="str">
        <f>IFERROR(__xludf.DUMMYFUNCTION("IFERROR(REGEXEXTRACT(A37, ""res(269|122)""), ""none"")"),"122")</f>
        <v>122</v>
      </c>
      <c r="F37" s="1">
        <v>-15.855765</v>
      </c>
      <c r="G37" s="1">
        <v>7.0</v>
      </c>
      <c r="H37" s="1">
        <v>3.0</v>
      </c>
      <c r="I37" s="1">
        <v>0.285714</v>
      </c>
      <c r="J37" s="1">
        <v>2.0</v>
      </c>
      <c r="K37" s="1">
        <v>-0.404817</v>
      </c>
      <c r="L37" s="1">
        <v>100.0</v>
      </c>
      <c r="M37" s="1">
        <v>0.0</v>
      </c>
      <c r="N37" s="1">
        <v>0.0</v>
      </c>
      <c r="O37" s="1">
        <v>96.025132</v>
      </c>
    </row>
    <row r="38">
      <c r="A38" s="1" t="s">
        <v>924</v>
      </c>
      <c r="B38" s="1" t="s">
        <v>925</v>
      </c>
      <c r="C38" s="3" t="s">
        <v>95</v>
      </c>
      <c r="D38" s="3"/>
      <c r="E38" s="1" t="str">
        <f>IFERROR(__xludf.DUMMYFUNCTION("IFERROR(REGEXEXTRACT(A38, ""res(269|122)""), ""none"")"),"122")</f>
        <v>122</v>
      </c>
      <c r="F38" s="1">
        <v>-16.725242</v>
      </c>
      <c r="G38" s="1">
        <v>10.0</v>
      </c>
      <c r="H38" s="1">
        <v>4.0</v>
      </c>
      <c r="I38" s="1">
        <v>0.3</v>
      </c>
      <c r="J38" s="1">
        <v>2.0</v>
      </c>
      <c r="K38" s="1">
        <v>-1.11447299999999</v>
      </c>
      <c r="L38" s="1">
        <v>100.0</v>
      </c>
      <c r="M38" s="1">
        <v>0.0</v>
      </c>
      <c r="N38" s="1">
        <v>0.0</v>
      </c>
      <c r="O38" s="1">
        <v>98.460285</v>
      </c>
    </row>
    <row r="39">
      <c r="A39" s="1" t="s">
        <v>926</v>
      </c>
      <c r="B39" s="1" t="s">
        <v>927</v>
      </c>
      <c r="C39" s="3" t="s">
        <v>95</v>
      </c>
      <c r="D39" s="3"/>
      <c r="E39" s="1" t="str">
        <f>IFERROR(__xludf.DUMMYFUNCTION("IFERROR(REGEXEXTRACT(A39, ""res(269|122)""), ""none"")"),"122")</f>
        <v>122</v>
      </c>
      <c r="F39" s="1">
        <v>-15.350543</v>
      </c>
      <c r="G39" s="1">
        <v>9.0</v>
      </c>
      <c r="H39" s="1">
        <v>4.0</v>
      </c>
      <c r="I39" s="1">
        <v>0.333333</v>
      </c>
      <c r="J39" s="1">
        <v>2.0</v>
      </c>
      <c r="K39" s="1">
        <v>-0.784927</v>
      </c>
      <c r="L39" s="1">
        <v>100.0</v>
      </c>
      <c r="M39" s="1">
        <v>0.0</v>
      </c>
      <c r="N39" s="1">
        <v>0.0</v>
      </c>
      <c r="O39" s="1">
        <v>99.197863</v>
      </c>
    </row>
    <row r="40">
      <c r="A40" s="1" t="s">
        <v>928</v>
      </c>
      <c r="B40" s="1" t="s">
        <v>929</v>
      </c>
      <c r="C40" s="3" t="s">
        <v>95</v>
      </c>
      <c r="D40" s="3"/>
      <c r="E40" s="1" t="str">
        <f>IFERROR(__xludf.DUMMYFUNCTION("IFERROR(REGEXEXTRACT(A40, ""res(269|122)""), ""none"")"),"122")</f>
        <v>122</v>
      </c>
      <c r="F40" s="1">
        <v>-16.543963</v>
      </c>
      <c r="G40" s="1">
        <v>7.0</v>
      </c>
      <c r="H40" s="1">
        <v>4.0</v>
      </c>
      <c r="I40" s="1">
        <v>0.285714</v>
      </c>
      <c r="J40" s="1">
        <v>2.0</v>
      </c>
      <c r="K40" s="1">
        <v>-1.827052</v>
      </c>
      <c r="L40" s="1">
        <v>100.0</v>
      </c>
      <c r="M40" s="1">
        <v>0.0</v>
      </c>
      <c r="N40" s="1">
        <v>0.0</v>
      </c>
      <c r="O40" s="1">
        <v>94.914699</v>
      </c>
    </row>
    <row r="41">
      <c r="A41" s="1" t="s">
        <v>930</v>
      </c>
      <c r="B41" s="1" t="s">
        <v>931</v>
      </c>
      <c r="C41" s="3" t="s">
        <v>95</v>
      </c>
      <c r="D41" s="3"/>
      <c r="E41" s="1" t="str">
        <f>IFERROR(__xludf.DUMMYFUNCTION("IFERROR(REGEXEXTRACT(A41, ""res(269|122)""), ""none"")"),"122")</f>
        <v>122</v>
      </c>
      <c r="F41" s="1">
        <v>-16.543963</v>
      </c>
      <c r="G41" s="1">
        <v>7.0</v>
      </c>
      <c r="H41" s="1">
        <v>4.0</v>
      </c>
      <c r="I41" s="1">
        <v>0.285714</v>
      </c>
      <c r="J41" s="1">
        <v>2.0</v>
      </c>
      <c r="K41" s="1">
        <v>-1.827052</v>
      </c>
      <c r="L41" s="1">
        <v>100.0</v>
      </c>
      <c r="M41" s="1">
        <v>0.0</v>
      </c>
      <c r="N41" s="1">
        <v>0.0</v>
      </c>
      <c r="O41" s="1">
        <v>94.914699</v>
      </c>
    </row>
    <row r="42">
      <c r="A42" s="1" t="s">
        <v>213</v>
      </c>
      <c r="B42" s="1" t="s">
        <v>40</v>
      </c>
      <c r="C42" s="3" t="s">
        <v>24</v>
      </c>
      <c r="D42" s="3"/>
      <c r="E42" s="1" t="str">
        <f>IFERROR(__xludf.DUMMYFUNCTION("IFERROR(REGEXEXTRACT(A42, ""res(269|122)""), ""none"")"),"122")</f>
        <v>122</v>
      </c>
      <c r="F42" s="1">
        <v>-15.040718</v>
      </c>
      <c r="G42" s="1">
        <v>6.0</v>
      </c>
      <c r="H42" s="1">
        <v>3.0</v>
      </c>
      <c r="I42" s="1">
        <v>0.333333</v>
      </c>
      <c r="J42" s="1">
        <v>2.0</v>
      </c>
      <c r="K42" s="1">
        <v>-1.138986</v>
      </c>
      <c r="L42" s="1">
        <v>100.0</v>
      </c>
      <c r="M42" s="1">
        <v>0.0</v>
      </c>
      <c r="N42" s="1">
        <v>0.0</v>
      </c>
      <c r="O42" s="1">
        <v>95.153629</v>
      </c>
    </row>
    <row r="43">
      <c r="A43" s="1" t="s">
        <v>932</v>
      </c>
      <c r="B43" s="1" t="s">
        <v>933</v>
      </c>
      <c r="C43" s="3" t="s">
        <v>95</v>
      </c>
      <c r="D43" s="3"/>
      <c r="E43" s="1" t="str">
        <f>IFERROR(__xludf.DUMMYFUNCTION("IFERROR(REGEXEXTRACT(A43, ""res(269|122)""), ""none"")"),"122")</f>
        <v>122</v>
      </c>
      <c r="F43" s="1">
        <v>-15.00123</v>
      </c>
      <c r="G43" s="1">
        <v>9.0</v>
      </c>
      <c r="H43" s="1">
        <v>4.0</v>
      </c>
      <c r="I43" s="1">
        <v>0.333333</v>
      </c>
      <c r="J43" s="1">
        <v>2.0</v>
      </c>
      <c r="K43" s="1">
        <v>-0.988256</v>
      </c>
      <c r="L43" s="1">
        <v>100.0</v>
      </c>
      <c r="M43" s="1">
        <v>0.0</v>
      </c>
      <c r="N43" s="1">
        <v>0.0</v>
      </c>
      <c r="O43" s="1">
        <v>99.343847</v>
      </c>
    </row>
    <row r="44">
      <c r="A44" s="1" t="s">
        <v>214</v>
      </c>
      <c r="B44" s="1" t="s">
        <v>44</v>
      </c>
      <c r="C44" s="3" t="s">
        <v>33</v>
      </c>
      <c r="D44" s="3" t="s">
        <v>46</v>
      </c>
      <c r="E44" s="1" t="str">
        <f>IFERROR(__xludf.DUMMYFUNCTION("IFERROR(REGEXEXTRACT(A44, ""res(269|122)""), ""none"")"),"122")</f>
        <v>122</v>
      </c>
      <c r="F44" s="1">
        <v>-15.260381</v>
      </c>
      <c r="G44" s="1">
        <v>8.0</v>
      </c>
      <c r="H44" s="1">
        <v>3.0</v>
      </c>
      <c r="I44" s="1">
        <v>0.25</v>
      </c>
      <c r="J44" s="1">
        <v>3.0</v>
      </c>
      <c r="K44" s="1">
        <v>-1.428861</v>
      </c>
      <c r="L44" s="1">
        <v>100.0</v>
      </c>
      <c r="M44" s="1">
        <v>0.0</v>
      </c>
      <c r="N44" s="1">
        <v>0.0</v>
      </c>
      <c r="O44" s="1">
        <v>97.560758</v>
      </c>
    </row>
    <row r="45">
      <c r="A45" s="1" t="s">
        <v>934</v>
      </c>
      <c r="B45" s="1" t="s">
        <v>935</v>
      </c>
      <c r="C45" s="3" t="s">
        <v>95</v>
      </c>
      <c r="D45" s="3"/>
      <c r="E45" s="1" t="str">
        <f>IFERROR(__xludf.DUMMYFUNCTION("IFERROR(REGEXEXTRACT(A45, ""res(269|122)""), ""none"")"),"122")</f>
        <v>122</v>
      </c>
      <c r="F45" s="1">
        <v>-15.938727</v>
      </c>
      <c r="G45" s="1">
        <v>8.0</v>
      </c>
      <c r="H45" s="1">
        <v>1.0</v>
      </c>
      <c r="I45" s="1">
        <v>0.25</v>
      </c>
      <c r="J45" s="1">
        <v>2.0</v>
      </c>
      <c r="K45" s="1">
        <v>-0.174925</v>
      </c>
      <c r="L45" s="1">
        <v>100.0</v>
      </c>
      <c r="M45" s="1">
        <v>0.0</v>
      </c>
      <c r="N45" s="1">
        <v>0.0</v>
      </c>
      <c r="O45" s="1">
        <v>95.136348</v>
      </c>
    </row>
    <row r="46">
      <c r="A46" s="1" t="s">
        <v>936</v>
      </c>
      <c r="B46" s="1" t="s">
        <v>937</v>
      </c>
      <c r="C46" s="3" t="s">
        <v>95</v>
      </c>
      <c r="D46" s="3"/>
      <c r="E46" s="1" t="str">
        <f>IFERROR(__xludf.DUMMYFUNCTION("IFERROR(REGEXEXTRACT(A46, ""res(269|122)""), ""none"")"),"122")</f>
        <v>122</v>
      </c>
      <c r="F46" s="1">
        <v>-15.860614</v>
      </c>
      <c r="G46" s="1">
        <v>10.0</v>
      </c>
      <c r="H46" s="1">
        <v>4.0</v>
      </c>
      <c r="I46" s="1">
        <v>0.3</v>
      </c>
      <c r="J46" s="1">
        <v>2.0</v>
      </c>
      <c r="K46" s="1">
        <v>-1.47230399999999</v>
      </c>
      <c r="L46" s="1">
        <v>100.0</v>
      </c>
      <c r="M46" s="1">
        <v>0.0</v>
      </c>
      <c r="N46" s="1">
        <v>0.0</v>
      </c>
      <c r="O46" s="1">
        <v>98.967082</v>
      </c>
    </row>
    <row r="47">
      <c r="A47" s="1" t="s">
        <v>938</v>
      </c>
      <c r="B47" s="1" t="s">
        <v>939</v>
      </c>
      <c r="C47" s="3" t="s">
        <v>95</v>
      </c>
      <c r="D47" s="3"/>
      <c r="E47" s="1" t="str">
        <f>IFERROR(__xludf.DUMMYFUNCTION("IFERROR(REGEXEXTRACT(A47, ""res(269|122)""), ""none"")"),"122")</f>
        <v>122</v>
      </c>
      <c r="F47" s="1">
        <v>-15.843518</v>
      </c>
      <c r="G47" s="1">
        <v>6.0</v>
      </c>
      <c r="H47" s="1">
        <v>3.0</v>
      </c>
      <c r="I47" s="1">
        <v>0.333333</v>
      </c>
      <c r="J47" s="1">
        <v>2.0</v>
      </c>
      <c r="K47" s="1">
        <v>-0.907249</v>
      </c>
      <c r="L47" s="1">
        <v>100.0</v>
      </c>
      <c r="M47" s="1">
        <v>0.0</v>
      </c>
      <c r="N47" s="1">
        <v>0.0</v>
      </c>
      <c r="O47" s="1">
        <v>94.582566</v>
      </c>
    </row>
    <row r="48">
      <c r="A48" s="1" t="s">
        <v>940</v>
      </c>
      <c r="B48" s="1" t="s">
        <v>941</v>
      </c>
      <c r="C48" s="3" t="s">
        <v>95</v>
      </c>
      <c r="D48" s="3"/>
      <c r="E48" s="1" t="str">
        <f>IFERROR(__xludf.DUMMYFUNCTION("IFERROR(REGEXEXTRACT(A48, ""res(269|122)""), ""none"")"),"122")</f>
        <v>122</v>
      </c>
      <c r="F48" s="1">
        <v>-15.895796</v>
      </c>
      <c r="G48" s="1">
        <v>7.0</v>
      </c>
      <c r="H48" s="1">
        <v>3.0</v>
      </c>
      <c r="I48" s="1">
        <v>0.285714</v>
      </c>
      <c r="J48" s="1">
        <v>2.0</v>
      </c>
      <c r="K48" s="1">
        <v>-1.042085</v>
      </c>
      <c r="L48" s="1">
        <v>100.0</v>
      </c>
      <c r="M48" s="1">
        <v>0.0</v>
      </c>
      <c r="N48" s="1">
        <v>0.0</v>
      </c>
      <c r="O48" s="1">
        <v>95.347833</v>
      </c>
    </row>
    <row r="49">
      <c r="A49" s="1" t="s">
        <v>942</v>
      </c>
      <c r="B49" s="1" t="s">
        <v>943</v>
      </c>
      <c r="C49" s="3" t="s">
        <v>95</v>
      </c>
      <c r="D49" s="3"/>
      <c r="E49" s="1" t="str">
        <f>IFERROR(__xludf.DUMMYFUNCTION("IFERROR(REGEXEXTRACT(A49, ""res(269|122)""), ""none"")"),"122")</f>
        <v>122</v>
      </c>
      <c r="F49" s="1">
        <v>-17.273811</v>
      </c>
      <c r="G49" s="1">
        <v>7.0</v>
      </c>
      <c r="H49" s="1">
        <v>3.0</v>
      </c>
      <c r="I49" s="1">
        <v>0.285714</v>
      </c>
      <c r="J49" s="1">
        <v>2.0</v>
      </c>
      <c r="K49" s="1">
        <v>-0.836087999999999</v>
      </c>
      <c r="L49" s="1">
        <v>100.0</v>
      </c>
      <c r="M49" s="1">
        <v>0.0</v>
      </c>
      <c r="N49" s="1">
        <v>0.0</v>
      </c>
      <c r="O49" s="1">
        <v>94.175815</v>
      </c>
    </row>
    <row r="50">
      <c r="A50" s="1" t="s">
        <v>215</v>
      </c>
      <c r="B50" s="1" t="s">
        <v>216</v>
      </c>
      <c r="C50" s="3" t="s">
        <v>33</v>
      </c>
      <c r="D50" s="3" t="s">
        <v>404</v>
      </c>
      <c r="E50" s="1" t="str">
        <f>IFERROR(__xludf.DUMMYFUNCTION("IFERROR(REGEXEXTRACT(A50, ""res(269|122)""), ""none"")"),"122")</f>
        <v>122</v>
      </c>
      <c r="F50" s="1">
        <v>-16.747691</v>
      </c>
      <c r="G50" s="1">
        <v>10.0</v>
      </c>
      <c r="H50" s="1">
        <v>4.0</v>
      </c>
      <c r="I50" s="1">
        <v>0.4</v>
      </c>
      <c r="J50" s="1">
        <v>2.0</v>
      </c>
      <c r="K50" s="1">
        <v>-1.533959</v>
      </c>
      <c r="L50" s="1">
        <v>100.0</v>
      </c>
      <c r="M50" s="1">
        <v>0.0</v>
      </c>
      <c r="N50" s="1">
        <v>0.0</v>
      </c>
      <c r="O50" s="1">
        <v>98.11835</v>
      </c>
    </row>
    <row r="51">
      <c r="A51" s="1" t="s">
        <v>217</v>
      </c>
      <c r="B51" s="1" t="s">
        <v>218</v>
      </c>
      <c r="C51" s="3" t="s">
        <v>24</v>
      </c>
      <c r="D51" s="3"/>
      <c r="E51" s="1" t="str">
        <f>IFERROR(__xludf.DUMMYFUNCTION("IFERROR(REGEXEXTRACT(A51, ""res(269|122)""), ""none"")"),"122")</f>
        <v>122</v>
      </c>
      <c r="F51" s="1">
        <v>-15.251888</v>
      </c>
      <c r="G51" s="1">
        <v>10.0</v>
      </c>
      <c r="H51" s="1">
        <v>4.0</v>
      </c>
      <c r="I51" s="1">
        <v>0.4</v>
      </c>
      <c r="J51" s="1">
        <v>2.0</v>
      </c>
      <c r="K51" s="1">
        <v>-0.922495</v>
      </c>
      <c r="L51" s="1">
        <v>100.0</v>
      </c>
      <c r="M51" s="1">
        <v>0.0</v>
      </c>
      <c r="N51" s="1">
        <v>0.0</v>
      </c>
      <c r="O51" s="1">
        <v>100.225617</v>
      </c>
    </row>
    <row r="52">
      <c r="A52" s="1" t="s">
        <v>219</v>
      </c>
      <c r="B52" s="1" t="s">
        <v>220</v>
      </c>
      <c r="C52" s="3" t="s">
        <v>24</v>
      </c>
      <c r="D52" s="3"/>
      <c r="E52" s="1" t="str">
        <f>IFERROR(__xludf.DUMMYFUNCTION("IFERROR(REGEXEXTRACT(A52, ""res(269|122)""), ""none"")"),"122")</f>
        <v>122</v>
      </c>
      <c r="F52" s="1">
        <v>-15.933583</v>
      </c>
      <c r="G52" s="1">
        <v>10.0</v>
      </c>
      <c r="H52" s="1">
        <v>4.0</v>
      </c>
      <c r="I52" s="1">
        <v>0.4</v>
      </c>
      <c r="J52" s="1">
        <v>3.0</v>
      </c>
      <c r="K52" s="1">
        <v>-0.861401</v>
      </c>
      <c r="L52" s="1">
        <v>100.0</v>
      </c>
      <c r="M52" s="1">
        <v>0.0</v>
      </c>
      <c r="N52" s="1">
        <v>0.0</v>
      </c>
      <c r="O52" s="1">
        <v>100.605016</v>
      </c>
    </row>
    <row r="53">
      <c r="A53" s="1" t="s">
        <v>944</v>
      </c>
      <c r="B53" s="1" t="s">
        <v>945</v>
      </c>
      <c r="C53" s="3" t="s">
        <v>95</v>
      </c>
      <c r="D53" s="3"/>
      <c r="E53" s="1" t="str">
        <f>IFERROR(__xludf.DUMMYFUNCTION("IFERROR(REGEXEXTRACT(A53, ""res(269|122)""), ""none"")"),"122")</f>
        <v>122</v>
      </c>
      <c r="F53" s="1">
        <v>-15.995015</v>
      </c>
      <c r="G53" s="1">
        <v>9.0</v>
      </c>
      <c r="H53" s="1">
        <v>4.0</v>
      </c>
      <c r="I53" s="1">
        <v>0.333333</v>
      </c>
      <c r="J53" s="1">
        <v>3.0</v>
      </c>
      <c r="K53" s="1">
        <v>-0.936516</v>
      </c>
      <c r="L53" s="1">
        <v>100.0</v>
      </c>
      <c r="M53" s="1">
        <v>0.0</v>
      </c>
      <c r="N53" s="1">
        <v>0.0</v>
      </c>
      <c r="O53" s="1">
        <v>99.401802</v>
      </c>
    </row>
    <row r="54">
      <c r="A54" s="1" t="s">
        <v>946</v>
      </c>
      <c r="B54" s="1" t="s">
        <v>947</v>
      </c>
      <c r="C54" s="3" t="s">
        <v>95</v>
      </c>
      <c r="D54" s="3"/>
      <c r="E54" s="1" t="str">
        <f>IFERROR(__xludf.DUMMYFUNCTION("IFERROR(REGEXEXTRACT(A54, ""res(269|122)""), ""none"")"),"122")</f>
        <v>122</v>
      </c>
      <c r="F54" s="1">
        <v>-15.980019</v>
      </c>
      <c r="G54" s="1">
        <v>10.0</v>
      </c>
      <c r="H54" s="1">
        <v>3.0</v>
      </c>
      <c r="I54" s="1">
        <v>0.3</v>
      </c>
      <c r="J54" s="1">
        <v>2.0</v>
      </c>
      <c r="K54" s="1">
        <v>-0.742691</v>
      </c>
      <c r="L54" s="1">
        <v>100.0</v>
      </c>
      <c r="M54" s="1">
        <v>0.0</v>
      </c>
      <c r="N54" s="1">
        <v>0.0</v>
      </c>
      <c r="O54" s="1">
        <v>98.57729</v>
      </c>
    </row>
    <row r="55">
      <c r="A55" s="1" t="s">
        <v>948</v>
      </c>
      <c r="B55" s="1" t="s">
        <v>949</v>
      </c>
      <c r="C55" s="3" t="s">
        <v>95</v>
      </c>
      <c r="D55" s="3"/>
      <c r="E55" s="1" t="str">
        <f>IFERROR(__xludf.DUMMYFUNCTION("IFERROR(REGEXEXTRACT(A55, ""res(269|122)""), ""none"")"),"122")</f>
        <v>122</v>
      </c>
      <c r="F55" s="1">
        <v>-15.786352</v>
      </c>
      <c r="G55" s="1">
        <v>7.0</v>
      </c>
      <c r="H55" s="1">
        <v>4.0</v>
      </c>
      <c r="I55" s="1">
        <v>0.285714</v>
      </c>
      <c r="J55" s="1">
        <v>3.0</v>
      </c>
      <c r="K55" s="1">
        <v>-1.391272</v>
      </c>
      <c r="L55" s="1">
        <v>100.0</v>
      </c>
      <c r="M55" s="1">
        <v>0.0</v>
      </c>
      <c r="N55" s="1">
        <v>0.0</v>
      </c>
      <c r="O55" s="1">
        <v>97.10809</v>
      </c>
    </row>
    <row r="56">
      <c r="A56" s="1" t="s">
        <v>950</v>
      </c>
      <c r="B56" s="1" t="s">
        <v>951</v>
      </c>
      <c r="C56" s="3" t="s">
        <v>95</v>
      </c>
      <c r="D56" s="3"/>
      <c r="E56" s="1" t="str">
        <f>IFERROR(__xludf.DUMMYFUNCTION("IFERROR(REGEXEXTRACT(A56, ""res(269|122)""), ""none"")"),"122")</f>
        <v>122</v>
      </c>
      <c r="F56" s="1">
        <v>-15.195113</v>
      </c>
      <c r="G56" s="1">
        <v>8.0</v>
      </c>
      <c r="H56" s="1">
        <v>3.0</v>
      </c>
      <c r="I56" s="1">
        <v>0.25</v>
      </c>
      <c r="J56" s="1">
        <v>2.0</v>
      </c>
      <c r="K56" s="1">
        <v>-1.197714</v>
      </c>
      <c r="L56" s="1">
        <v>100.0</v>
      </c>
      <c r="M56" s="1">
        <v>0.0</v>
      </c>
      <c r="N56" s="1">
        <v>0.0</v>
      </c>
      <c r="O56" s="1">
        <v>96.857173</v>
      </c>
    </row>
    <row r="57">
      <c r="A57" s="1" t="s">
        <v>221</v>
      </c>
      <c r="B57" s="1" t="s">
        <v>222</v>
      </c>
      <c r="C57" s="3" t="s">
        <v>24</v>
      </c>
      <c r="D57" s="3"/>
      <c r="E57" s="1" t="str">
        <f>IFERROR(__xludf.DUMMYFUNCTION("IFERROR(REGEXEXTRACT(A57, ""res(269|122)""), ""none"")"),"122")</f>
        <v>122</v>
      </c>
      <c r="F57" s="1">
        <v>-15.3418</v>
      </c>
      <c r="G57" s="1">
        <v>9.0</v>
      </c>
      <c r="H57" s="1">
        <v>4.0</v>
      </c>
      <c r="I57" s="1">
        <v>0.333333</v>
      </c>
      <c r="J57" s="1">
        <v>2.0</v>
      </c>
      <c r="K57" s="1">
        <v>-1.486109</v>
      </c>
      <c r="L57" s="1">
        <v>100.0</v>
      </c>
      <c r="M57" s="1">
        <v>0.0</v>
      </c>
      <c r="N57" s="1">
        <v>0.0</v>
      </c>
      <c r="O57" s="1">
        <v>98.505424</v>
      </c>
    </row>
    <row r="58">
      <c r="A58" s="1" t="s">
        <v>223</v>
      </c>
      <c r="B58" s="1" t="s">
        <v>49</v>
      </c>
      <c r="C58" s="3" t="s">
        <v>24</v>
      </c>
      <c r="D58" s="3"/>
      <c r="E58" s="1" t="str">
        <f>IFERROR(__xludf.DUMMYFUNCTION("IFERROR(REGEXEXTRACT(A58, ""res(269|122)""), ""none"")"),"122")</f>
        <v>122</v>
      </c>
      <c r="F58" s="1">
        <v>-16.481134</v>
      </c>
      <c r="G58" s="1">
        <v>7.0</v>
      </c>
      <c r="H58" s="1">
        <v>3.0</v>
      </c>
      <c r="I58" s="1">
        <v>0.285714</v>
      </c>
      <c r="J58" s="1">
        <v>2.0</v>
      </c>
      <c r="K58" s="1">
        <v>-1.079586</v>
      </c>
      <c r="L58" s="1">
        <v>100.0</v>
      </c>
      <c r="M58" s="1">
        <v>0.0</v>
      </c>
      <c r="N58" s="1">
        <v>0.0</v>
      </c>
      <c r="O58" s="1">
        <v>94.724994</v>
      </c>
    </row>
    <row r="59">
      <c r="A59" s="1" t="s">
        <v>224</v>
      </c>
      <c r="B59" s="1" t="s">
        <v>53</v>
      </c>
      <c r="C59" s="3" t="s">
        <v>33</v>
      </c>
      <c r="D59" s="3" t="s">
        <v>55</v>
      </c>
      <c r="E59" s="1" t="str">
        <f>IFERROR(__xludf.DUMMYFUNCTION("IFERROR(REGEXEXTRACT(A59, ""res(269|122)""), ""none"")"),"122")</f>
        <v>122</v>
      </c>
      <c r="F59" s="1">
        <v>-15.209335</v>
      </c>
      <c r="G59" s="1">
        <v>9.0</v>
      </c>
      <c r="H59" s="1">
        <v>3.0</v>
      </c>
      <c r="I59" s="1">
        <v>0.555556</v>
      </c>
      <c r="J59" s="1">
        <v>2.0</v>
      </c>
      <c r="K59" s="1">
        <v>-0.616797</v>
      </c>
      <c r="L59" s="1">
        <v>100.0</v>
      </c>
      <c r="M59" s="1">
        <v>0.0</v>
      </c>
      <c r="N59" s="1">
        <v>0.0</v>
      </c>
      <c r="O59" s="1">
        <v>98.729424</v>
      </c>
    </row>
    <row r="60">
      <c r="A60" s="1" t="s">
        <v>952</v>
      </c>
      <c r="B60" s="1" t="s">
        <v>953</v>
      </c>
      <c r="C60" s="3" t="s">
        <v>95</v>
      </c>
      <c r="D60" s="3"/>
      <c r="E60" s="1" t="str">
        <f>IFERROR(__xludf.DUMMYFUNCTION("IFERROR(REGEXEXTRACT(A60, ""res(269|122)""), ""none"")"),"122")</f>
        <v>122</v>
      </c>
      <c r="F60" s="1">
        <v>-15.627624</v>
      </c>
      <c r="G60" s="1">
        <v>11.0</v>
      </c>
      <c r="H60" s="1">
        <v>3.0</v>
      </c>
      <c r="I60" s="1">
        <v>0.272727</v>
      </c>
      <c r="J60" s="1">
        <v>2.0</v>
      </c>
      <c r="K60" s="1">
        <v>-1.090456</v>
      </c>
      <c r="L60" s="1">
        <v>100.0</v>
      </c>
      <c r="M60" s="1">
        <v>0.0</v>
      </c>
      <c r="N60" s="1">
        <v>0.0</v>
      </c>
      <c r="O60" s="1">
        <v>99.554647</v>
      </c>
    </row>
    <row r="61">
      <c r="A61" s="1" t="s">
        <v>225</v>
      </c>
      <c r="B61" s="1" t="s">
        <v>226</v>
      </c>
      <c r="C61" s="3" t="s">
        <v>33</v>
      </c>
      <c r="D61" s="3"/>
      <c r="E61" s="1" t="str">
        <f>IFERROR(__xludf.DUMMYFUNCTION("IFERROR(REGEXEXTRACT(A61, ""res(269|122)""), ""none"")"),"122")</f>
        <v>122</v>
      </c>
      <c r="F61" s="1">
        <v>-16.256898</v>
      </c>
      <c r="G61" s="1">
        <v>11.0</v>
      </c>
      <c r="H61" s="1">
        <v>4.0</v>
      </c>
      <c r="I61" s="1">
        <v>0.272727</v>
      </c>
      <c r="J61" s="1">
        <v>2.0</v>
      </c>
      <c r="K61" s="1">
        <v>-1.787076</v>
      </c>
      <c r="L61" s="1">
        <v>100.0</v>
      </c>
      <c r="M61" s="1">
        <v>0.0</v>
      </c>
      <c r="N61" s="1">
        <v>0.0</v>
      </c>
      <c r="O61" s="1">
        <v>99.228753</v>
      </c>
    </row>
    <row r="62">
      <c r="A62" s="1" t="s">
        <v>954</v>
      </c>
      <c r="B62" s="1" t="s">
        <v>955</v>
      </c>
      <c r="C62" s="3" t="s">
        <v>95</v>
      </c>
      <c r="D62" s="3"/>
      <c r="E62" s="1" t="str">
        <f>IFERROR(__xludf.DUMMYFUNCTION("IFERROR(REGEXEXTRACT(A62, ""res(269|122)""), ""none"")"),"122")</f>
        <v>122</v>
      </c>
      <c r="F62" s="1">
        <v>-15.589483</v>
      </c>
      <c r="G62" s="1">
        <v>11.0</v>
      </c>
      <c r="H62" s="1">
        <v>4.0</v>
      </c>
      <c r="I62" s="1">
        <v>0.363636</v>
      </c>
      <c r="J62" s="1">
        <v>3.0</v>
      </c>
      <c r="K62" s="1">
        <v>-1.049205</v>
      </c>
      <c r="L62" s="1">
        <v>100.0</v>
      </c>
      <c r="M62" s="1">
        <v>0.0</v>
      </c>
      <c r="N62" s="1">
        <v>0.0</v>
      </c>
      <c r="O62" s="1">
        <v>101.724948</v>
      </c>
    </row>
    <row r="63">
      <c r="A63" s="1" t="s">
        <v>956</v>
      </c>
      <c r="B63" s="1" t="s">
        <v>957</v>
      </c>
      <c r="C63" s="3" t="s">
        <v>95</v>
      </c>
      <c r="D63" s="3"/>
      <c r="E63" s="1" t="str">
        <f>IFERROR(__xludf.DUMMYFUNCTION("IFERROR(REGEXEXTRACT(A63, ""res(269|122)""), ""none"")"),"122")</f>
        <v>122</v>
      </c>
      <c r="F63" s="1">
        <v>-16.073073</v>
      </c>
      <c r="G63" s="1">
        <v>9.0</v>
      </c>
      <c r="H63" s="1">
        <v>4.0</v>
      </c>
      <c r="I63" s="1">
        <v>0.333333</v>
      </c>
      <c r="J63" s="1">
        <v>2.0</v>
      </c>
      <c r="K63" s="1">
        <v>-1.417971</v>
      </c>
      <c r="L63" s="1">
        <v>100.0</v>
      </c>
      <c r="M63" s="1">
        <v>0.0</v>
      </c>
      <c r="N63" s="1">
        <v>0.0</v>
      </c>
      <c r="O63" s="1">
        <v>97.842289</v>
      </c>
    </row>
    <row r="64">
      <c r="A64" s="1" t="s">
        <v>227</v>
      </c>
      <c r="B64" s="1" t="s">
        <v>228</v>
      </c>
      <c r="C64" s="3" t="s">
        <v>24</v>
      </c>
      <c r="D64" s="3"/>
      <c r="E64" s="1" t="str">
        <f>IFERROR(__xludf.DUMMYFUNCTION("IFERROR(REGEXEXTRACT(A64, ""res(269|122)""), ""none"")"),"122")</f>
        <v>122</v>
      </c>
      <c r="F64" s="1">
        <v>-17.376492</v>
      </c>
      <c r="G64" s="1">
        <v>6.0</v>
      </c>
      <c r="H64" s="1">
        <v>3.0</v>
      </c>
      <c r="I64" s="1">
        <v>0.333333</v>
      </c>
      <c r="J64" s="1">
        <v>2.0</v>
      </c>
      <c r="K64" s="1">
        <v>-0.775723</v>
      </c>
      <c r="L64" s="1">
        <v>100.0</v>
      </c>
      <c r="M64" s="1">
        <v>0.0</v>
      </c>
      <c r="N64" s="1">
        <v>0.0</v>
      </c>
      <c r="O64" s="1">
        <v>93.181118</v>
      </c>
    </row>
    <row r="65">
      <c r="A65" s="1" t="s">
        <v>958</v>
      </c>
      <c r="B65" s="1" t="s">
        <v>959</v>
      </c>
      <c r="C65" s="3" t="s">
        <v>95</v>
      </c>
      <c r="D65" s="3"/>
      <c r="E65" s="1" t="str">
        <f>IFERROR(__xludf.DUMMYFUNCTION("IFERROR(REGEXEXTRACT(A65, ""res(269|122)""), ""none"")"),"122")</f>
        <v>122</v>
      </c>
      <c r="F65" s="1">
        <v>-15.665856</v>
      </c>
      <c r="G65" s="1">
        <v>8.0</v>
      </c>
      <c r="H65" s="1">
        <v>4.0</v>
      </c>
      <c r="I65" s="1">
        <v>0.375</v>
      </c>
      <c r="J65" s="1">
        <v>2.0</v>
      </c>
      <c r="K65" s="1">
        <v>-1.024371</v>
      </c>
      <c r="L65" s="1">
        <v>100.0</v>
      </c>
      <c r="M65" s="1">
        <v>0.0</v>
      </c>
      <c r="N65" s="1">
        <v>0.0</v>
      </c>
      <c r="O65" s="1">
        <v>97.684773</v>
      </c>
    </row>
    <row r="66">
      <c r="A66" s="1" t="s">
        <v>960</v>
      </c>
      <c r="B66" s="1" t="s">
        <v>961</v>
      </c>
      <c r="C66" s="3" t="s">
        <v>95</v>
      </c>
      <c r="D66" s="3"/>
      <c r="E66" s="1" t="str">
        <f>IFERROR(__xludf.DUMMYFUNCTION("IFERROR(REGEXEXTRACT(A66, ""res(269|122)""), ""none"")"),"122")</f>
        <v>122</v>
      </c>
      <c r="F66" s="1">
        <v>-15.416224</v>
      </c>
      <c r="G66" s="1">
        <v>7.0</v>
      </c>
      <c r="H66" s="1">
        <v>4.0</v>
      </c>
      <c r="I66" s="1">
        <v>0.285714</v>
      </c>
      <c r="J66" s="1">
        <v>2.0</v>
      </c>
      <c r="K66" s="1">
        <v>-1.441148</v>
      </c>
      <c r="L66" s="1">
        <v>100.0</v>
      </c>
      <c r="M66" s="1">
        <v>0.0</v>
      </c>
      <c r="N66" s="1">
        <v>0.0</v>
      </c>
      <c r="O66" s="1">
        <v>96.428342</v>
      </c>
    </row>
    <row r="67">
      <c r="A67" s="1" t="s">
        <v>962</v>
      </c>
      <c r="B67" s="1" t="s">
        <v>963</v>
      </c>
      <c r="C67" s="3" t="s">
        <v>95</v>
      </c>
      <c r="D67" s="3"/>
      <c r="E67" s="1" t="str">
        <f>IFERROR(__xludf.DUMMYFUNCTION("IFERROR(REGEXEXTRACT(A67, ""res(269|122)""), ""none"")"),"122")</f>
        <v>122</v>
      </c>
      <c r="F67" s="1">
        <v>-15.514751</v>
      </c>
      <c r="G67" s="1">
        <v>9.0</v>
      </c>
      <c r="H67" s="1">
        <v>3.0</v>
      </c>
      <c r="I67" s="1">
        <v>0.444444</v>
      </c>
      <c r="J67" s="1">
        <v>2.0</v>
      </c>
      <c r="K67" s="1">
        <v>-1.020103</v>
      </c>
      <c r="L67" s="1">
        <v>100.0</v>
      </c>
      <c r="M67" s="1">
        <v>0.0</v>
      </c>
      <c r="N67" s="1">
        <v>0.0</v>
      </c>
      <c r="O67" s="1">
        <v>97.90959</v>
      </c>
    </row>
    <row r="68">
      <c r="A68" s="1" t="s">
        <v>964</v>
      </c>
      <c r="B68" s="1" t="s">
        <v>965</v>
      </c>
      <c r="C68" s="3" t="s">
        <v>95</v>
      </c>
      <c r="D68" s="3"/>
      <c r="E68" s="1" t="str">
        <f>IFERROR(__xludf.DUMMYFUNCTION("IFERROR(REGEXEXTRACT(A68, ""res(269|122)""), ""none"")"),"122")</f>
        <v>122</v>
      </c>
      <c r="F68" s="1">
        <v>-16.09571</v>
      </c>
      <c r="G68" s="1">
        <v>10.0</v>
      </c>
      <c r="H68" s="1">
        <v>4.0</v>
      </c>
      <c r="I68" s="1">
        <v>0.3</v>
      </c>
      <c r="J68" s="1">
        <v>2.0</v>
      </c>
      <c r="K68" s="1">
        <v>-1.536609</v>
      </c>
      <c r="L68" s="1">
        <v>100.0</v>
      </c>
      <c r="M68" s="1">
        <v>0.0</v>
      </c>
      <c r="N68" s="1">
        <v>0.0</v>
      </c>
      <c r="O68" s="1">
        <v>98.667681</v>
      </c>
    </row>
    <row r="69">
      <c r="A69" s="1" t="s">
        <v>229</v>
      </c>
      <c r="B69" s="1" t="s">
        <v>58</v>
      </c>
      <c r="C69" s="3" t="s">
        <v>24</v>
      </c>
      <c r="D69" s="3"/>
      <c r="E69" s="1" t="str">
        <f>IFERROR(__xludf.DUMMYFUNCTION("IFERROR(REGEXEXTRACT(A69, ""res(269|122)""), ""none"")"),"122")</f>
        <v>122</v>
      </c>
      <c r="F69" s="1">
        <v>-17.724274</v>
      </c>
      <c r="G69" s="1">
        <v>8.0</v>
      </c>
      <c r="H69" s="1">
        <v>3.0</v>
      </c>
      <c r="I69" s="1">
        <v>0.25</v>
      </c>
      <c r="J69" s="1">
        <v>2.0</v>
      </c>
      <c r="K69" s="1">
        <v>-1.29152999999999</v>
      </c>
      <c r="L69" s="1">
        <v>100.0</v>
      </c>
      <c r="M69" s="1">
        <v>0.0</v>
      </c>
      <c r="N69" s="1">
        <v>0.0</v>
      </c>
      <c r="O69" s="1">
        <v>94.234196</v>
      </c>
    </row>
    <row r="70">
      <c r="A70" s="1" t="s">
        <v>966</v>
      </c>
      <c r="B70" s="1" t="s">
        <v>967</v>
      </c>
      <c r="C70" s="3" t="s">
        <v>95</v>
      </c>
      <c r="D70" s="3"/>
      <c r="E70" s="1" t="str">
        <f>IFERROR(__xludf.DUMMYFUNCTION("IFERROR(REGEXEXTRACT(A70, ""res(269|122)""), ""none"")"),"122")</f>
        <v>122</v>
      </c>
      <c r="F70" s="1">
        <v>-15.555635</v>
      </c>
      <c r="G70" s="1">
        <v>8.0</v>
      </c>
      <c r="H70" s="1">
        <v>3.0</v>
      </c>
      <c r="I70" s="1">
        <v>0.375</v>
      </c>
      <c r="J70" s="1">
        <v>3.0</v>
      </c>
      <c r="K70" s="1">
        <v>-1.23752999999999</v>
      </c>
      <c r="L70" s="1">
        <v>100.0</v>
      </c>
      <c r="M70" s="1">
        <v>0.0</v>
      </c>
      <c r="N70" s="1">
        <v>0.0</v>
      </c>
      <c r="O70" s="1">
        <v>97.581835</v>
      </c>
    </row>
    <row r="71">
      <c r="A71" s="1" t="s">
        <v>968</v>
      </c>
      <c r="B71" s="1" t="s">
        <v>969</v>
      </c>
      <c r="C71" s="3" t="s">
        <v>95</v>
      </c>
      <c r="D71" s="3"/>
      <c r="E71" s="1" t="str">
        <f>IFERROR(__xludf.DUMMYFUNCTION("IFERROR(REGEXEXTRACT(A71, ""res(269|122)""), ""none"")"),"122")</f>
        <v>122</v>
      </c>
      <c r="F71" s="1">
        <v>-15.464987</v>
      </c>
      <c r="G71" s="1">
        <v>7.0</v>
      </c>
      <c r="H71" s="1">
        <v>4.0</v>
      </c>
      <c r="I71" s="1">
        <v>0.285714</v>
      </c>
      <c r="J71" s="1">
        <v>2.0</v>
      </c>
      <c r="K71" s="1">
        <v>-0.843909</v>
      </c>
      <c r="L71" s="1">
        <v>100.0</v>
      </c>
      <c r="M71" s="1">
        <v>0.0</v>
      </c>
      <c r="N71" s="1">
        <v>0.0</v>
      </c>
      <c r="O71" s="1">
        <v>96.976818</v>
      </c>
    </row>
    <row r="72">
      <c r="A72" s="1" t="s">
        <v>970</v>
      </c>
      <c r="B72" s="1" t="s">
        <v>971</v>
      </c>
      <c r="C72" s="3" t="s">
        <v>95</v>
      </c>
      <c r="D72" s="3"/>
      <c r="E72" s="1" t="str">
        <f>IFERROR(__xludf.DUMMYFUNCTION("IFERROR(REGEXEXTRACT(A72, ""res(269|122)""), ""none"")"),"122")</f>
        <v>122</v>
      </c>
      <c r="F72" s="1">
        <v>-15.230464</v>
      </c>
      <c r="G72" s="1">
        <v>9.0</v>
      </c>
      <c r="H72" s="1">
        <v>2.0</v>
      </c>
      <c r="I72" s="1">
        <v>0.333333</v>
      </c>
      <c r="J72" s="1">
        <v>2.0</v>
      </c>
      <c r="K72" s="1">
        <v>-0.81196</v>
      </c>
      <c r="L72" s="1">
        <v>100.0</v>
      </c>
      <c r="M72" s="1">
        <v>0.0</v>
      </c>
      <c r="N72" s="1">
        <v>0.0</v>
      </c>
      <c r="O72" s="1">
        <v>97.290909</v>
      </c>
    </row>
    <row r="73">
      <c r="A73" s="1" t="s">
        <v>972</v>
      </c>
      <c r="B73" s="1" t="s">
        <v>973</v>
      </c>
      <c r="C73" s="3" t="s">
        <v>95</v>
      </c>
      <c r="D73" s="3"/>
      <c r="E73" s="1" t="str">
        <f>IFERROR(__xludf.DUMMYFUNCTION("IFERROR(REGEXEXTRACT(A73, ""res(269|122)""), ""none"")"),"122")</f>
        <v>122</v>
      </c>
      <c r="F73" s="1">
        <v>-16.931881</v>
      </c>
      <c r="G73" s="1">
        <v>10.0</v>
      </c>
      <c r="H73" s="1">
        <v>4.0</v>
      </c>
      <c r="I73" s="1">
        <v>0.3</v>
      </c>
      <c r="J73" s="1">
        <v>2.0</v>
      </c>
      <c r="K73" s="1">
        <v>-0.442768999999999</v>
      </c>
      <c r="L73" s="1">
        <v>100.0</v>
      </c>
      <c r="M73" s="1">
        <v>0.0</v>
      </c>
      <c r="N73" s="1">
        <v>0.0</v>
      </c>
      <c r="O73" s="1">
        <v>98.92535</v>
      </c>
    </row>
    <row r="74">
      <c r="A74" s="1" t="s">
        <v>974</v>
      </c>
      <c r="B74" s="1" t="s">
        <v>975</v>
      </c>
      <c r="C74" s="3" t="s">
        <v>95</v>
      </c>
      <c r="D74" s="3"/>
      <c r="E74" s="1" t="str">
        <f>IFERROR(__xludf.DUMMYFUNCTION("IFERROR(REGEXEXTRACT(A74, ""res(269|122)""), ""none"")"),"122")</f>
        <v>122</v>
      </c>
      <c r="F74" s="1">
        <v>-17.518199</v>
      </c>
      <c r="G74" s="1">
        <v>11.0</v>
      </c>
      <c r="H74" s="1">
        <v>3.0</v>
      </c>
      <c r="I74" s="1">
        <v>0.272727</v>
      </c>
      <c r="J74" s="1">
        <v>2.0</v>
      </c>
      <c r="K74" s="1">
        <v>-1.13703</v>
      </c>
      <c r="L74" s="1">
        <v>100.0</v>
      </c>
      <c r="M74" s="1">
        <v>0.0</v>
      </c>
      <c r="N74" s="1">
        <v>0.0</v>
      </c>
      <c r="O74" s="1">
        <v>97.617498</v>
      </c>
    </row>
    <row r="75">
      <c r="A75" s="1" t="s">
        <v>976</v>
      </c>
      <c r="B75" s="1" t="s">
        <v>977</v>
      </c>
      <c r="C75" s="3" t="s">
        <v>95</v>
      </c>
      <c r="D75" s="3"/>
      <c r="E75" s="1" t="str">
        <f>IFERROR(__xludf.DUMMYFUNCTION("IFERROR(REGEXEXTRACT(A75, ""res(269|122)""), ""none"")"),"122")</f>
        <v>122</v>
      </c>
      <c r="F75" s="1">
        <v>-17.440245</v>
      </c>
      <c r="G75" s="1">
        <v>11.0</v>
      </c>
      <c r="H75" s="1">
        <v>4.0</v>
      </c>
      <c r="I75" s="1">
        <v>0.363636</v>
      </c>
      <c r="J75" s="1">
        <v>2.0</v>
      </c>
      <c r="K75" s="1">
        <v>-0.623826</v>
      </c>
      <c r="L75" s="1">
        <v>100.0</v>
      </c>
      <c r="M75" s="1">
        <v>0.0</v>
      </c>
      <c r="N75" s="1">
        <v>0.0</v>
      </c>
      <c r="O75" s="1">
        <v>99.299565</v>
      </c>
    </row>
    <row r="76">
      <c r="A76" s="1" t="s">
        <v>978</v>
      </c>
      <c r="B76" s="1" t="s">
        <v>979</v>
      </c>
      <c r="C76" s="3" t="s">
        <v>95</v>
      </c>
      <c r="D76" s="3"/>
      <c r="E76" s="1" t="str">
        <f>IFERROR(__xludf.DUMMYFUNCTION("IFERROR(REGEXEXTRACT(A76, ""res(269|122)""), ""none"")"),"122")</f>
        <v>122</v>
      </c>
      <c r="F76" s="1">
        <v>-15.049047</v>
      </c>
      <c r="G76" s="1">
        <v>10.0</v>
      </c>
      <c r="H76" s="1">
        <v>4.0</v>
      </c>
      <c r="I76" s="1">
        <v>0.4</v>
      </c>
      <c r="J76" s="1">
        <v>2.0</v>
      </c>
      <c r="K76" s="1">
        <v>-0.37732</v>
      </c>
      <c r="L76" s="1">
        <v>100.0</v>
      </c>
      <c r="M76" s="1">
        <v>0.0</v>
      </c>
      <c r="N76" s="1">
        <v>0.0</v>
      </c>
      <c r="O76" s="1">
        <v>100.973633</v>
      </c>
    </row>
    <row r="77">
      <c r="A77" s="1" t="s">
        <v>980</v>
      </c>
      <c r="B77" s="1" t="s">
        <v>981</v>
      </c>
      <c r="C77" s="3" t="s">
        <v>95</v>
      </c>
      <c r="D77" s="3"/>
      <c r="E77" s="1" t="str">
        <f>IFERROR(__xludf.DUMMYFUNCTION("IFERROR(REGEXEXTRACT(A77, ""res(269|122)""), ""none"")"),"122")</f>
        <v>122</v>
      </c>
      <c r="F77" s="1">
        <v>-15.403036</v>
      </c>
      <c r="G77" s="1">
        <v>7.0</v>
      </c>
      <c r="H77" s="1">
        <v>3.0</v>
      </c>
      <c r="I77" s="1">
        <v>0.285714</v>
      </c>
      <c r="J77" s="1">
        <v>2.0</v>
      </c>
      <c r="K77" s="1">
        <v>-1.077382</v>
      </c>
      <c r="L77" s="1">
        <v>100.0</v>
      </c>
      <c r="M77" s="1">
        <v>0.0</v>
      </c>
      <c r="N77" s="1">
        <v>0.0</v>
      </c>
      <c r="O77" s="1">
        <v>95.805296</v>
      </c>
    </row>
    <row r="78">
      <c r="A78" s="1" t="s">
        <v>982</v>
      </c>
      <c r="B78" s="1" t="s">
        <v>983</v>
      </c>
      <c r="C78" s="3" t="s">
        <v>95</v>
      </c>
      <c r="D78" s="3"/>
      <c r="E78" s="1" t="str">
        <f>IFERROR(__xludf.DUMMYFUNCTION("IFERROR(REGEXEXTRACT(A78, ""res(269|122)""), ""none"")"),"122")</f>
        <v>122</v>
      </c>
      <c r="F78" s="1">
        <v>-15.302094</v>
      </c>
      <c r="G78" s="1">
        <v>7.0</v>
      </c>
      <c r="H78" s="1">
        <v>3.0</v>
      </c>
      <c r="I78" s="1">
        <v>0.285714</v>
      </c>
      <c r="J78" s="1">
        <v>2.0</v>
      </c>
      <c r="K78" s="1">
        <v>-0.935695</v>
      </c>
      <c r="L78" s="1">
        <v>100.0</v>
      </c>
      <c r="M78" s="1">
        <v>0.0</v>
      </c>
      <c r="N78" s="1">
        <v>0.0</v>
      </c>
      <c r="O78" s="1">
        <v>96.047925</v>
      </c>
    </row>
    <row r="79">
      <c r="A79" s="1" t="s">
        <v>984</v>
      </c>
      <c r="B79" s="1" t="s">
        <v>985</v>
      </c>
      <c r="C79" s="3" t="s">
        <v>95</v>
      </c>
      <c r="D79" s="3"/>
      <c r="E79" s="1" t="str">
        <f>IFERROR(__xludf.DUMMYFUNCTION("IFERROR(REGEXEXTRACT(A79, ""res(269|122)""), ""none"")"),"122")</f>
        <v>122</v>
      </c>
      <c r="F79" s="1">
        <v>-18.022196</v>
      </c>
      <c r="G79" s="1">
        <v>7.0</v>
      </c>
      <c r="H79" s="1">
        <v>3.0</v>
      </c>
      <c r="I79" s="1">
        <v>0.285714</v>
      </c>
      <c r="J79" s="1">
        <v>2.0</v>
      </c>
      <c r="K79" s="1">
        <v>-0.903438</v>
      </c>
      <c r="L79" s="1">
        <v>100.0</v>
      </c>
      <c r="M79" s="1">
        <v>0.0</v>
      </c>
      <c r="N79" s="1">
        <v>0.0</v>
      </c>
      <c r="O79" s="1">
        <v>93.36008</v>
      </c>
    </row>
    <row r="80">
      <c r="A80" s="1" t="s">
        <v>986</v>
      </c>
      <c r="B80" s="1" t="s">
        <v>987</v>
      </c>
      <c r="C80" s="3" t="s">
        <v>95</v>
      </c>
      <c r="D80" s="3"/>
      <c r="E80" s="1" t="str">
        <f>IFERROR(__xludf.DUMMYFUNCTION("IFERROR(REGEXEXTRACT(A80, ""res(269|122)""), ""none"")"),"122")</f>
        <v>122</v>
      </c>
      <c r="F80" s="1">
        <v>-15.014055</v>
      </c>
      <c r="G80" s="1">
        <v>7.0</v>
      </c>
      <c r="H80" s="1">
        <v>3.0</v>
      </c>
      <c r="I80" s="1">
        <v>0.285714</v>
      </c>
      <c r="J80" s="1">
        <v>2.0</v>
      </c>
      <c r="K80" s="1">
        <v>-0.455789</v>
      </c>
      <c r="L80" s="1">
        <v>100.0</v>
      </c>
      <c r="M80" s="1">
        <v>0.0</v>
      </c>
      <c r="N80" s="1">
        <v>0.0</v>
      </c>
      <c r="O80" s="1">
        <v>96.81587</v>
      </c>
    </row>
    <row r="81">
      <c r="A81" s="1" t="s">
        <v>988</v>
      </c>
      <c r="B81" s="1" t="s">
        <v>989</v>
      </c>
      <c r="C81" s="3" t="s">
        <v>95</v>
      </c>
      <c r="D81" s="3"/>
      <c r="E81" s="1" t="str">
        <f>IFERROR(__xludf.DUMMYFUNCTION("IFERROR(REGEXEXTRACT(A81, ""res(269|122)""), ""none"")"),"122")</f>
        <v>122</v>
      </c>
      <c r="F81" s="1">
        <v>-15.699962</v>
      </c>
      <c r="G81" s="1">
        <v>11.0</v>
      </c>
      <c r="H81" s="1">
        <v>4.0</v>
      </c>
      <c r="I81" s="1">
        <v>0.363636</v>
      </c>
      <c r="J81" s="1">
        <v>2.0</v>
      </c>
      <c r="K81" s="1">
        <v>-0.60822</v>
      </c>
      <c r="L81" s="1">
        <v>100.0</v>
      </c>
      <c r="M81" s="1">
        <v>0.0</v>
      </c>
      <c r="N81" s="1">
        <v>0.0</v>
      </c>
      <c r="O81" s="1">
        <v>101.055454</v>
      </c>
    </row>
    <row r="82">
      <c r="A82" s="1" t="s">
        <v>990</v>
      </c>
      <c r="B82" s="1" t="s">
        <v>991</v>
      </c>
      <c r="C82" s="3" t="s">
        <v>95</v>
      </c>
      <c r="D82" s="3"/>
      <c r="E82" s="1" t="str">
        <f>IFERROR(__xludf.DUMMYFUNCTION("IFERROR(REGEXEXTRACT(A82, ""res(269|122)""), ""none"")"),"122")</f>
        <v>122</v>
      </c>
      <c r="F82" s="1">
        <v>-15.314253</v>
      </c>
      <c r="G82" s="1">
        <v>12.0</v>
      </c>
      <c r="H82" s="1">
        <v>4.0</v>
      </c>
      <c r="I82" s="1">
        <v>0.25</v>
      </c>
      <c r="J82" s="1">
        <v>2.0</v>
      </c>
      <c r="K82" s="1">
        <v>-0.675518</v>
      </c>
      <c r="L82" s="1">
        <v>100.0</v>
      </c>
      <c r="M82" s="1">
        <v>0.0</v>
      </c>
      <c r="N82" s="1">
        <v>0.0</v>
      </c>
      <c r="O82" s="1">
        <v>102.260229</v>
      </c>
    </row>
    <row r="83">
      <c r="A83" s="1" t="s">
        <v>992</v>
      </c>
      <c r="B83" s="1" t="s">
        <v>993</v>
      </c>
      <c r="C83" s="3" t="s">
        <v>95</v>
      </c>
      <c r="D83" s="3"/>
      <c r="E83" s="1" t="str">
        <f>IFERROR(__xludf.DUMMYFUNCTION("IFERROR(REGEXEXTRACT(A83, ""res(269|122)""), ""none"")"),"122")</f>
        <v>122</v>
      </c>
      <c r="F83" s="1">
        <v>-15.500702</v>
      </c>
      <c r="G83" s="1">
        <v>11.0</v>
      </c>
      <c r="H83" s="1">
        <v>4.0</v>
      </c>
      <c r="I83" s="1">
        <v>0.272727</v>
      </c>
      <c r="J83" s="1">
        <v>2.0</v>
      </c>
      <c r="K83" s="1">
        <v>-0.128303</v>
      </c>
      <c r="L83" s="1">
        <v>100.0</v>
      </c>
      <c r="M83" s="1">
        <v>0.0</v>
      </c>
      <c r="N83" s="1">
        <v>0.0</v>
      </c>
      <c r="O83" s="1">
        <v>101.643722</v>
      </c>
    </row>
    <row r="84">
      <c r="A84" s="1" t="s">
        <v>230</v>
      </c>
      <c r="B84" s="1" t="s">
        <v>231</v>
      </c>
      <c r="C84" s="3" t="s">
        <v>24</v>
      </c>
      <c r="D84" s="3"/>
      <c r="E84" s="1" t="str">
        <f>IFERROR(__xludf.DUMMYFUNCTION("IFERROR(REGEXEXTRACT(A84, ""res(269|122)""), ""none"")"),"122")</f>
        <v>122</v>
      </c>
      <c r="F84" s="1">
        <v>-16.569372</v>
      </c>
      <c r="G84" s="1">
        <v>8.0</v>
      </c>
      <c r="H84" s="1">
        <v>3.0</v>
      </c>
      <c r="I84" s="1">
        <v>0.5</v>
      </c>
      <c r="J84" s="1">
        <v>2.0</v>
      </c>
      <c r="K84" s="1">
        <v>-0.987431</v>
      </c>
      <c r="L84" s="1">
        <v>100.0</v>
      </c>
      <c r="M84" s="1">
        <v>0.0</v>
      </c>
      <c r="N84" s="1">
        <v>0.0</v>
      </c>
      <c r="O84" s="1">
        <v>95.943197</v>
      </c>
    </row>
    <row r="85">
      <c r="A85" s="1" t="s">
        <v>232</v>
      </c>
      <c r="B85" s="1" t="s">
        <v>62</v>
      </c>
      <c r="C85" s="3" t="s">
        <v>24</v>
      </c>
      <c r="D85" s="3"/>
      <c r="E85" s="1" t="str">
        <f>IFERROR(__xludf.DUMMYFUNCTION("IFERROR(REGEXEXTRACT(A85, ""res(269|122)""), ""none"")"),"122")</f>
        <v>122</v>
      </c>
      <c r="F85" s="1">
        <v>-16.448389</v>
      </c>
      <c r="G85" s="1">
        <v>9.0</v>
      </c>
      <c r="H85" s="1">
        <v>3.0</v>
      </c>
      <c r="I85" s="1">
        <v>0.333333</v>
      </c>
      <c r="J85" s="1">
        <v>2.0</v>
      </c>
      <c r="K85" s="1">
        <v>-1.562614</v>
      </c>
      <c r="L85" s="1">
        <v>100.0</v>
      </c>
      <c r="M85" s="1">
        <v>0.0</v>
      </c>
      <c r="N85" s="1">
        <v>0.0</v>
      </c>
      <c r="O85" s="1">
        <v>96.32233</v>
      </c>
    </row>
    <row r="86">
      <c r="A86" s="1" t="s">
        <v>233</v>
      </c>
      <c r="B86" s="1" t="s">
        <v>103</v>
      </c>
      <c r="C86" s="3" t="s">
        <v>24</v>
      </c>
      <c r="D86" s="3"/>
      <c r="E86" s="1" t="str">
        <f>IFERROR(__xludf.DUMMYFUNCTION("IFERROR(REGEXEXTRACT(A86, ""res(269|122)""), ""none"")"),"122")</f>
        <v>122</v>
      </c>
      <c r="F86" s="1">
        <v>-16.810235</v>
      </c>
      <c r="G86" s="1">
        <v>9.0</v>
      </c>
      <c r="H86" s="1">
        <v>3.0</v>
      </c>
      <c r="I86" s="1">
        <v>0.444444</v>
      </c>
      <c r="J86" s="1">
        <v>2.0</v>
      </c>
      <c r="K86" s="1">
        <v>-0.880047</v>
      </c>
      <c r="L86" s="1">
        <v>100.0</v>
      </c>
      <c r="M86" s="1">
        <v>0.0</v>
      </c>
      <c r="N86" s="1">
        <v>0.0</v>
      </c>
      <c r="O86" s="1">
        <v>96.754162</v>
      </c>
    </row>
    <row r="87">
      <c r="A87" s="1" t="s">
        <v>994</v>
      </c>
      <c r="B87" s="1" t="s">
        <v>995</v>
      </c>
      <c r="C87" s="3" t="s">
        <v>95</v>
      </c>
      <c r="D87" s="3"/>
      <c r="E87" s="1" t="str">
        <f>IFERROR(__xludf.DUMMYFUNCTION("IFERROR(REGEXEXTRACT(A87, ""res(269|122)""), ""none"")"),"122")</f>
        <v>122</v>
      </c>
      <c r="F87" s="1">
        <v>-15.20253</v>
      </c>
      <c r="G87" s="1">
        <v>8.0</v>
      </c>
      <c r="H87" s="1">
        <v>4.0</v>
      </c>
      <c r="I87" s="1">
        <v>0.25</v>
      </c>
      <c r="J87" s="1">
        <v>2.0</v>
      </c>
      <c r="K87" s="1">
        <v>-0.673079</v>
      </c>
      <c r="L87" s="1">
        <v>100.0</v>
      </c>
      <c r="M87" s="1">
        <v>0.0</v>
      </c>
      <c r="N87" s="1">
        <v>0.0</v>
      </c>
      <c r="O87" s="1">
        <v>98.374391</v>
      </c>
    </row>
    <row r="88">
      <c r="A88" s="1" t="s">
        <v>996</v>
      </c>
      <c r="B88" s="1" t="s">
        <v>997</v>
      </c>
      <c r="C88" s="3" t="s">
        <v>95</v>
      </c>
      <c r="D88" s="3"/>
      <c r="E88" s="1" t="str">
        <f>IFERROR(__xludf.DUMMYFUNCTION("IFERROR(REGEXEXTRACT(A88, ""res(269|122)""), ""none"")"),"122")</f>
        <v>122</v>
      </c>
      <c r="F88" s="1">
        <v>-16.387992</v>
      </c>
      <c r="G88" s="1">
        <v>8.0</v>
      </c>
      <c r="H88" s="1">
        <v>2.0</v>
      </c>
      <c r="I88" s="1">
        <v>0.25</v>
      </c>
      <c r="J88" s="1">
        <v>2.0</v>
      </c>
      <c r="K88" s="1">
        <v>-1.049027</v>
      </c>
      <c r="L88" s="1">
        <v>100.0</v>
      </c>
      <c r="M88" s="1">
        <v>0.0</v>
      </c>
      <c r="N88" s="1">
        <v>0.0</v>
      </c>
      <c r="O88" s="1">
        <v>94.812981</v>
      </c>
    </row>
    <row r="89">
      <c r="A89" s="1" t="s">
        <v>998</v>
      </c>
      <c r="B89" s="1" t="s">
        <v>999</v>
      </c>
      <c r="C89" s="3" t="s">
        <v>95</v>
      </c>
      <c r="D89" s="3"/>
      <c r="E89" s="1" t="str">
        <f>IFERROR(__xludf.DUMMYFUNCTION("IFERROR(REGEXEXTRACT(A89, ""res(269|122)""), ""none"")"),"122")</f>
        <v>122</v>
      </c>
      <c r="F89" s="1">
        <v>-15.790538</v>
      </c>
      <c r="G89" s="1">
        <v>8.0</v>
      </c>
      <c r="H89" s="1">
        <v>4.0</v>
      </c>
      <c r="I89" s="1">
        <v>0.25</v>
      </c>
      <c r="J89" s="1">
        <v>2.0</v>
      </c>
      <c r="K89" s="1">
        <v>-0.799056</v>
      </c>
      <c r="L89" s="1">
        <v>100.0</v>
      </c>
      <c r="M89" s="1">
        <v>0.0</v>
      </c>
      <c r="N89" s="1">
        <v>0.0</v>
      </c>
      <c r="O89" s="1">
        <v>97.660406</v>
      </c>
    </row>
    <row r="90">
      <c r="A90" s="1" t="s">
        <v>234</v>
      </c>
      <c r="B90" s="1" t="s">
        <v>235</v>
      </c>
      <c r="C90" s="3" t="s">
        <v>24</v>
      </c>
      <c r="D90" s="3"/>
      <c r="E90" s="1" t="str">
        <f>IFERROR(__xludf.DUMMYFUNCTION("IFERROR(REGEXEXTRACT(A90, ""res(269|122)""), ""none"")"),"122")</f>
        <v>122</v>
      </c>
      <c r="F90" s="1">
        <v>-15.466932</v>
      </c>
      <c r="G90" s="1">
        <v>7.0</v>
      </c>
      <c r="H90" s="1">
        <v>3.0</v>
      </c>
      <c r="I90" s="1">
        <v>0.285714</v>
      </c>
      <c r="J90" s="1">
        <v>2.0</v>
      </c>
      <c r="K90" s="1">
        <v>-1.068929</v>
      </c>
      <c r="L90" s="1">
        <v>100.0</v>
      </c>
      <c r="M90" s="1">
        <v>0.0</v>
      </c>
      <c r="N90" s="1">
        <v>0.0</v>
      </c>
      <c r="O90" s="1">
        <v>95.749853</v>
      </c>
    </row>
    <row r="91">
      <c r="A91" s="1" t="s">
        <v>1000</v>
      </c>
      <c r="B91" s="1" t="s">
        <v>1001</v>
      </c>
      <c r="C91" s="3" t="s">
        <v>95</v>
      </c>
      <c r="D91" s="3"/>
      <c r="E91" s="1" t="str">
        <f>IFERROR(__xludf.DUMMYFUNCTION("IFERROR(REGEXEXTRACT(A91, ""res(269|122)""), ""none"")"),"122")</f>
        <v>122</v>
      </c>
      <c r="F91" s="1">
        <v>-15.10018</v>
      </c>
      <c r="G91" s="1">
        <v>10.0</v>
      </c>
      <c r="H91" s="1">
        <v>4.0</v>
      </c>
      <c r="I91" s="1">
        <v>0.4</v>
      </c>
      <c r="J91" s="1">
        <v>2.0</v>
      </c>
      <c r="K91" s="1">
        <v>-1.324945</v>
      </c>
      <c r="L91" s="1">
        <v>100.0</v>
      </c>
      <c r="M91" s="1">
        <v>0.0</v>
      </c>
      <c r="N91" s="1">
        <v>0.0</v>
      </c>
      <c r="O91" s="1">
        <v>99.974875</v>
      </c>
    </row>
    <row r="92">
      <c r="A92" s="1" t="s">
        <v>1002</v>
      </c>
      <c r="B92" s="1" t="s">
        <v>1003</v>
      </c>
      <c r="C92" s="3" t="s">
        <v>95</v>
      </c>
      <c r="D92" s="3"/>
      <c r="E92" s="1" t="str">
        <f>IFERROR(__xludf.DUMMYFUNCTION("IFERROR(REGEXEXTRACT(A92, ""res(269|122)""), ""none"")"),"122")</f>
        <v>122</v>
      </c>
      <c r="F92" s="1">
        <v>-15.298524</v>
      </c>
      <c r="G92" s="1">
        <v>6.0</v>
      </c>
      <c r="H92" s="1">
        <v>3.0</v>
      </c>
      <c r="I92" s="1">
        <v>0.666667</v>
      </c>
      <c r="J92" s="1">
        <v>2.0</v>
      </c>
      <c r="K92" s="1">
        <v>-0.912719</v>
      </c>
      <c r="L92" s="1">
        <v>100.0</v>
      </c>
      <c r="M92" s="1">
        <v>0.0</v>
      </c>
      <c r="N92" s="1">
        <v>0.0</v>
      </c>
      <c r="O92" s="1">
        <v>95.455424</v>
      </c>
    </row>
    <row r="93">
      <c r="A93" s="1" t="s">
        <v>236</v>
      </c>
      <c r="B93" s="1" t="s">
        <v>107</v>
      </c>
      <c r="C93" s="3" t="s">
        <v>24</v>
      </c>
      <c r="D93" s="3"/>
      <c r="E93" s="1" t="str">
        <f>IFERROR(__xludf.DUMMYFUNCTION("IFERROR(REGEXEXTRACT(A93, ""res(269|122)""), ""none"")"),"122")</f>
        <v>122</v>
      </c>
      <c r="F93" s="1">
        <v>-15.035637</v>
      </c>
      <c r="G93" s="1">
        <v>8.0</v>
      </c>
      <c r="H93" s="1">
        <v>4.0</v>
      </c>
      <c r="I93" s="1">
        <v>0.25</v>
      </c>
      <c r="J93" s="1">
        <v>2.0</v>
      </c>
      <c r="K93" s="1">
        <v>-0.915905</v>
      </c>
      <c r="L93" s="1">
        <v>100.0</v>
      </c>
      <c r="M93" s="1">
        <v>0.0</v>
      </c>
      <c r="N93" s="1">
        <v>0.0</v>
      </c>
      <c r="O93" s="1">
        <v>98.298458</v>
      </c>
    </row>
    <row r="94">
      <c r="A94" s="1" t="s">
        <v>1004</v>
      </c>
      <c r="B94" s="1" t="s">
        <v>1005</v>
      </c>
      <c r="C94" s="3" t="s">
        <v>95</v>
      </c>
      <c r="D94" s="3"/>
      <c r="E94" s="1" t="str">
        <f>IFERROR(__xludf.DUMMYFUNCTION("IFERROR(REGEXEXTRACT(A94, ""res(269|122)""), ""none"")"),"122")</f>
        <v>122</v>
      </c>
      <c r="F94" s="1">
        <v>-15.449821</v>
      </c>
      <c r="G94" s="1">
        <v>8.0</v>
      </c>
      <c r="H94" s="1">
        <v>4.0</v>
      </c>
      <c r="I94" s="1">
        <v>0.25</v>
      </c>
      <c r="J94" s="1">
        <v>2.0</v>
      </c>
      <c r="K94" s="1">
        <v>-0.597896</v>
      </c>
      <c r="L94" s="1">
        <v>100.0</v>
      </c>
      <c r="M94" s="1">
        <v>0.0</v>
      </c>
      <c r="N94" s="1">
        <v>0.0</v>
      </c>
      <c r="O94" s="1">
        <v>98.202283</v>
      </c>
    </row>
    <row r="95">
      <c r="A95" s="1" t="s">
        <v>1006</v>
      </c>
      <c r="B95" s="1" t="s">
        <v>1007</v>
      </c>
      <c r="C95" s="3" t="s">
        <v>95</v>
      </c>
      <c r="D95" s="3"/>
      <c r="E95" s="1" t="str">
        <f>IFERROR(__xludf.DUMMYFUNCTION("IFERROR(REGEXEXTRACT(A95, ""res(269|122)""), ""none"")"),"122")</f>
        <v>122</v>
      </c>
      <c r="F95" s="1">
        <v>-15.287369</v>
      </c>
      <c r="G95" s="1">
        <v>8.0</v>
      </c>
      <c r="H95" s="1">
        <v>5.0</v>
      </c>
      <c r="I95" s="1">
        <v>0.375</v>
      </c>
      <c r="J95" s="1">
        <v>2.0</v>
      </c>
      <c r="K95" s="1">
        <v>-1.284821</v>
      </c>
      <c r="L95" s="1">
        <v>100.0</v>
      </c>
      <c r="M95" s="1">
        <v>0.0</v>
      </c>
      <c r="N95" s="1">
        <v>0.0</v>
      </c>
      <c r="O95" s="1">
        <v>98.80281</v>
      </c>
    </row>
    <row r="96">
      <c r="A96" s="1" t="s">
        <v>1008</v>
      </c>
      <c r="B96" s="1" t="s">
        <v>1009</v>
      </c>
      <c r="C96" s="3" t="s">
        <v>95</v>
      </c>
      <c r="D96" s="3"/>
      <c r="E96" s="1" t="str">
        <f>IFERROR(__xludf.DUMMYFUNCTION("IFERROR(REGEXEXTRACT(A96, ""res(269|122)""), ""none"")"),"122")</f>
        <v>122</v>
      </c>
      <c r="F96" s="1">
        <v>-15.020705</v>
      </c>
      <c r="G96" s="1">
        <v>8.0</v>
      </c>
      <c r="H96" s="1">
        <v>4.0</v>
      </c>
      <c r="I96" s="1">
        <v>0.375</v>
      </c>
      <c r="J96" s="1">
        <v>2.0</v>
      </c>
      <c r="K96" s="1">
        <v>-0.497393</v>
      </c>
      <c r="L96" s="1">
        <v>100.0</v>
      </c>
      <c r="M96" s="1">
        <v>0.0</v>
      </c>
      <c r="N96" s="1">
        <v>0.0</v>
      </c>
      <c r="O96" s="1">
        <v>98.856902</v>
      </c>
    </row>
    <row r="97">
      <c r="A97" s="1" t="s">
        <v>237</v>
      </c>
      <c r="B97" s="1" t="s">
        <v>238</v>
      </c>
      <c r="C97" s="3" t="s">
        <v>24</v>
      </c>
      <c r="D97" s="3"/>
      <c r="E97" s="1" t="str">
        <f>IFERROR(__xludf.DUMMYFUNCTION("IFERROR(REGEXEXTRACT(A97, ""res(269|122)""), ""none"")"),"122")</f>
        <v>122</v>
      </c>
      <c r="F97" s="1">
        <v>-16.448683</v>
      </c>
      <c r="G97" s="1">
        <v>7.0</v>
      </c>
      <c r="H97" s="1">
        <v>4.0</v>
      </c>
      <c r="I97" s="1">
        <v>0.428571</v>
      </c>
      <c r="J97" s="1">
        <v>2.0</v>
      </c>
      <c r="K97" s="1">
        <v>-1.118176</v>
      </c>
      <c r="L97" s="1">
        <v>100.0</v>
      </c>
      <c r="M97" s="1">
        <v>0.0</v>
      </c>
      <c r="N97" s="1">
        <v>0.0</v>
      </c>
      <c r="O97" s="1">
        <v>95.861712</v>
      </c>
    </row>
    <row r="98">
      <c r="A98" s="1" t="s">
        <v>239</v>
      </c>
      <c r="B98" s="1" t="s">
        <v>240</v>
      </c>
      <c r="C98" s="3" t="s">
        <v>24</v>
      </c>
      <c r="D98" s="3"/>
      <c r="E98" s="1" t="str">
        <f>IFERROR(__xludf.DUMMYFUNCTION("IFERROR(REGEXEXTRACT(A98, ""res(269|122)""), ""none"")"),"122")</f>
        <v>122</v>
      </c>
      <c r="F98" s="1">
        <v>-15.291041</v>
      </c>
      <c r="G98" s="1">
        <v>8.0</v>
      </c>
      <c r="H98" s="1">
        <v>3.0</v>
      </c>
      <c r="I98" s="1">
        <v>0.375</v>
      </c>
      <c r="J98" s="1">
        <v>2.0</v>
      </c>
      <c r="K98" s="1">
        <v>-0.739298999999999</v>
      </c>
      <c r="L98" s="1">
        <v>100.0</v>
      </c>
      <c r="M98" s="1">
        <v>0.0</v>
      </c>
      <c r="N98" s="1">
        <v>0.0</v>
      </c>
      <c r="O98" s="1">
        <v>97.34466</v>
      </c>
    </row>
    <row r="99">
      <c r="A99" s="1" t="s">
        <v>1010</v>
      </c>
      <c r="B99" s="1" t="s">
        <v>1011</v>
      </c>
      <c r="C99" s="3" t="s">
        <v>95</v>
      </c>
      <c r="D99" s="3"/>
      <c r="E99" s="1" t="str">
        <f>IFERROR(__xludf.DUMMYFUNCTION("IFERROR(REGEXEXTRACT(A99, ""res(269|122)""), ""none"")"),"122")</f>
        <v>122</v>
      </c>
      <c r="F99" s="1">
        <v>-17.523214</v>
      </c>
      <c r="G99" s="1">
        <v>11.0</v>
      </c>
      <c r="H99" s="1">
        <v>4.0</v>
      </c>
      <c r="I99" s="1">
        <v>0.363636</v>
      </c>
      <c r="J99" s="1">
        <v>2.0</v>
      </c>
      <c r="K99" s="1">
        <v>-1.221166</v>
      </c>
      <c r="L99" s="1">
        <v>100.0</v>
      </c>
      <c r="M99" s="1">
        <v>0.0</v>
      </c>
      <c r="N99" s="1">
        <v>0.0</v>
      </c>
      <c r="O99" s="1">
        <v>98.619256</v>
      </c>
    </row>
    <row r="100">
      <c r="A100" s="1" t="s">
        <v>1012</v>
      </c>
      <c r="B100" s="1" t="s">
        <v>1013</v>
      </c>
      <c r="C100" s="3" t="s">
        <v>95</v>
      </c>
      <c r="D100" s="3"/>
      <c r="E100" s="1" t="str">
        <f>IFERROR(__xludf.DUMMYFUNCTION("IFERROR(REGEXEXTRACT(A100, ""res(269|122)""), ""none"")"),"122")</f>
        <v>122</v>
      </c>
      <c r="F100" s="1">
        <v>-15.685805</v>
      </c>
      <c r="G100" s="1">
        <v>10.0</v>
      </c>
      <c r="H100" s="1">
        <v>3.0</v>
      </c>
      <c r="I100" s="1">
        <v>0.3</v>
      </c>
      <c r="J100" s="1">
        <v>2.0</v>
      </c>
      <c r="K100" s="1">
        <v>-0.997716</v>
      </c>
      <c r="L100" s="1">
        <v>100.0</v>
      </c>
      <c r="M100" s="1">
        <v>0.0</v>
      </c>
      <c r="N100" s="1">
        <v>0.0</v>
      </c>
      <c r="O100" s="1">
        <v>98.616479</v>
      </c>
    </row>
    <row r="101">
      <c r="A101" s="1" t="s">
        <v>1014</v>
      </c>
      <c r="B101" s="1" t="s">
        <v>1015</v>
      </c>
      <c r="C101" s="3" t="s">
        <v>95</v>
      </c>
      <c r="D101" s="3"/>
      <c r="E101" s="1" t="str">
        <f>IFERROR(__xludf.DUMMYFUNCTION("IFERROR(REGEXEXTRACT(A101, ""res(269|122)""), ""none"")"),"122")</f>
        <v>122</v>
      </c>
      <c r="F101" s="1">
        <v>-17.896335</v>
      </c>
      <c r="G101" s="1">
        <v>10.0</v>
      </c>
      <c r="H101" s="1">
        <v>4.0</v>
      </c>
      <c r="I101" s="1">
        <v>0.3</v>
      </c>
      <c r="J101" s="1">
        <v>2.0</v>
      </c>
      <c r="K101" s="1">
        <v>-0.787613</v>
      </c>
      <c r="L101" s="1">
        <v>100.0</v>
      </c>
      <c r="M101" s="1">
        <v>0.0</v>
      </c>
      <c r="N101" s="1">
        <v>0.0</v>
      </c>
      <c r="O101" s="1">
        <v>97.616052</v>
      </c>
    </row>
    <row r="102">
      <c r="A102" s="1" t="s">
        <v>1016</v>
      </c>
      <c r="B102" s="1" t="s">
        <v>1017</v>
      </c>
      <c r="C102" s="3" t="s">
        <v>95</v>
      </c>
      <c r="D102" s="3"/>
      <c r="E102" s="1" t="str">
        <f>IFERROR(__xludf.DUMMYFUNCTION("IFERROR(REGEXEXTRACT(A102, ""res(269|122)""), ""none"")"),"122")</f>
        <v>122</v>
      </c>
      <c r="F102" s="1">
        <v>-16.549445</v>
      </c>
      <c r="G102" s="1">
        <v>8.0</v>
      </c>
      <c r="H102" s="1">
        <v>3.0</v>
      </c>
      <c r="I102" s="1">
        <v>0.25</v>
      </c>
      <c r="J102" s="1">
        <v>3.0</v>
      </c>
      <c r="K102" s="1">
        <v>-0.9363</v>
      </c>
      <c r="L102" s="1">
        <v>100.0</v>
      </c>
      <c r="M102" s="1">
        <v>0.0</v>
      </c>
      <c r="N102" s="1">
        <v>0.0</v>
      </c>
      <c r="O102" s="1">
        <v>96.764255</v>
      </c>
    </row>
    <row r="103">
      <c r="A103" s="1" t="s">
        <v>1018</v>
      </c>
      <c r="B103" s="1" t="s">
        <v>1019</v>
      </c>
      <c r="C103" s="3" t="s">
        <v>95</v>
      </c>
      <c r="D103" s="3"/>
      <c r="E103" s="1" t="str">
        <f>IFERROR(__xludf.DUMMYFUNCTION("IFERROR(REGEXEXTRACT(A103, ""res(269|122)""), ""none"")"),"122")</f>
        <v>122</v>
      </c>
      <c r="F103" s="1">
        <v>-15.226468</v>
      </c>
      <c r="G103" s="1">
        <v>10.0</v>
      </c>
      <c r="H103" s="1">
        <v>4.0</v>
      </c>
      <c r="I103" s="1">
        <v>0.3</v>
      </c>
      <c r="J103" s="1">
        <v>2.0</v>
      </c>
      <c r="K103" s="1">
        <v>-1.532869</v>
      </c>
      <c r="L103" s="1">
        <v>100.0</v>
      </c>
      <c r="M103" s="1">
        <v>0.0</v>
      </c>
      <c r="N103" s="1">
        <v>0.0</v>
      </c>
      <c r="O103" s="1">
        <v>99.540663</v>
      </c>
    </row>
    <row r="104">
      <c r="A104" s="1" t="s">
        <v>1020</v>
      </c>
      <c r="B104" s="1" t="s">
        <v>1021</v>
      </c>
      <c r="C104" s="3" t="s">
        <v>95</v>
      </c>
      <c r="D104" s="3"/>
      <c r="E104" s="1" t="str">
        <f>IFERROR(__xludf.DUMMYFUNCTION("IFERROR(REGEXEXTRACT(A104, ""res(269|122)""), ""none"")"),"122")</f>
        <v>122</v>
      </c>
      <c r="F104" s="1">
        <v>-16.65836</v>
      </c>
      <c r="G104" s="1">
        <v>9.0</v>
      </c>
      <c r="H104" s="1">
        <v>4.0</v>
      </c>
      <c r="I104" s="1">
        <v>0.444444</v>
      </c>
      <c r="J104" s="1">
        <v>2.0</v>
      </c>
      <c r="K104" s="1">
        <v>-1.273656</v>
      </c>
      <c r="L104" s="1">
        <v>100.0</v>
      </c>
      <c r="M104" s="1">
        <v>0.0</v>
      </c>
      <c r="N104" s="1">
        <v>0.0</v>
      </c>
      <c r="O104" s="1">
        <v>97.512428</v>
      </c>
    </row>
    <row r="105">
      <c r="A105" s="1" t="s">
        <v>1022</v>
      </c>
      <c r="B105" s="1" t="s">
        <v>1023</v>
      </c>
      <c r="C105" s="3" t="s">
        <v>95</v>
      </c>
      <c r="D105" s="3"/>
      <c r="E105" s="1" t="str">
        <f>IFERROR(__xludf.DUMMYFUNCTION("IFERROR(REGEXEXTRACT(A105, ""res(269|122)""), ""none"")"),"122")</f>
        <v>122</v>
      </c>
      <c r="F105" s="1">
        <v>-15.06419</v>
      </c>
      <c r="G105" s="1">
        <v>7.0</v>
      </c>
      <c r="H105" s="1">
        <v>3.0</v>
      </c>
      <c r="I105" s="1">
        <v>0.428571</v>
      </c>
      <c r="J105" s="1">
        <v>2.0</v>
      </c>
      <c r="K105" s="1">
        <v>-1.570972</v>
      </c>
      <c r="L105" s="1">
        <v>100.0</v>
      </c>
      <c r="M105" s="1">
        <v>0.0</v>
      </c>
      <c r="N105" s="1">
        <v>0.0</v>
      </c>
      <c r="O105" s="1">
        <v>95.793409</v>
      </c>
    </row>
    <row r="106">
      <c r="A106" s="1" t="s">
        <v>241</v>
      </c>
      <c r="B106" s="1" t="s">
        <v>242</v>
      </c>
      <c r="C106" s="3" t="s">
        <v>24</v>
      </c>
      <c r="D106" s="3"/>
      <c r="E106" s="1" t="str">
        <f>IFERROR(__xludf.DUMMYFUNCTION("IFERROR(REGEXEXTRACT(A106, ""res(269|122)""), ""none"")"),"122")</f>
        <v>122</v>
      </c>
      <c r="F106" s="1">
        <v>-15.786774</v>
      </c>
      <c r="G106" s="1">
        <v>8.0</v>
      </c>
      <c r="H106" s="1">
        <v>4.0</v>
      </c>
      <c r="I106" s="1">
        <v>0.25</v>
      </c>
      <c r="J106" s="1">
        <v>3.0</v>
      </c>
      <c r="K106" s="1">
        <v>-1.312683</v>
      </c>
      <c r="L106" s="1">
        <v>100.0</v>
      </c>
      <c r="M106" s="1">
        <v>0.0</v>
      </c>
      <c r="N106" s="1">
        <v>0.0</v>
      </c>
      <c r="O106" s="1">
        <v>98.150543</v>
      </c>
    </row>
    <row r="107">
      <c r="A107" s="1" t="s">
        <v>1024</v>
      </c>
      <c r="B107" s="1" t="s">
        <v>1025</v>
      </c>
      <c r="C107" s="3" t="s">
        <v>95</v>
      </c>
      <c r="D107" s="3"/>
      <c r="E107" s="1" t="str">
        <f>IFERROR(__xludf.DUMMYFUNCTION("IFERROR(REGEXEXTRACT(A107, ""res(269|122)""), ""none"")"),"122")</f>
        <v>122</v>
      </c>
      <c r="F107" s="1">
        <v>-15.384902</v>
      </c>
      <c r="G107" s="1">
        <v>10.0</v>
      </c>
      <c r="H107" s="1">
        <v>3.0</v>
      </c>
      <c r="I107" s="1">
        <v>0.4</v>
      </c>
      <c r="J107" s="1">
        <v>2.0</v>
      </c>
      <c r="K107" s="1">
        <v>-0.667675999999999</v>
      </c>
      <c r="L107" s="1">
        <v>100.0</v>
      </c>
      <c r="M107" s="1">
        <v>0.0</v>
      </c>
      <c r="N107" s="1">
        <v>0.0</v>
      </c>
      <c r="O107" s="1">
        <v>99.347422</v>
      </c>
    </row>
    <row r="108">
      <c r="A108" s="1" t="s">
        <v>243</v>
      </c>
      <c r="B108" s="1" t="s">
        <v>244</v>
      </c>
      <c r="C108" s="3" t="s">
        <v>24</v>
      </c>
      <c r="D108" s="3"/>
      <c r="E108" s="1" t="str">
        <f>IFERROR(__xludf.DUMMYFUNCTION("IFERROR(REGEXEXTRACT(A108, ""res(269|122)""), ""none"")"),"122")</f>
        <v>122</v>
      </c>
      <c r="F108" s="1">
        <v>-15.074335</v>
      </c>
      <c r="G108" s="1">
        <v>8.0</v>
      </c>
      <c r="H108" s="1">
        <v>3.0</v>
      </c>
      <c r="I108" s="1">
        <v>0.25</v>
      </c>
      <c r="J108" s="1">
        <v>3.0</v>
      </c>
      <c r="K108" s="1">
        <v>-2.102802</v>
      </c>
      <c r="L108" s="1">
        <v>100.0</v>
      </c>
      <c r="M108" s="1">
        <v>0.0</v>
      </c>
      <c r="N108" s="1">
        <v>0.0</v>
      </c>
      <c r="O108" s="1">
        <v>97.072863</v>
      </c>
    </row>
    <row r="109">
      <c r="A109" s="1" t="s">
        <v>1026</v>
      </c>
      <c r="B109" s="1" t="s">
        <v>1027</v>
      </c>
      <c r="C109" s="3" t="s">
        <v>95</v>
      </c>
      <c r="D109" s="3"/>
      <c r="E109" s="1" t="str">
        <f>IFERROR(__xludf.DUMMYFUNCTION("IFERROR(REGEXEXTRACT(A109, ""res(269|122)""), ""none"")"),"122")</f>
        <v>122</v>
      </c>
      <c r="F109" s="1">
        <v>-15.996958</v>
      </c>
      <c r="G109" s="1">
        <v>8.0</v>
      </c>
      <c r="H109" s="1">
        <v>4.0</v>
      </c>
      <c r="I109" s="1">
        <v>0.375</v>
      </c>
      <c r="J109" s="1">
        <v>2.0</v>
      </c>
      <c r="K109" s="1">
        <v>-0.877178</v>
      </c>
      <c r="L109" s="1">
        <v>100.0</v>
      </c>
      <c r="M109" s="1">
        <v>0.0</v>
      </c>
      <c r="N109" s="1">
        <v>0.0</v>
      </c>
      <c r="O109" s="1">
        <v>97.500864</v>
      </c>
    </row>
    <row r="110">
      <c r="A110" s="1" t="s">
        <v>1028</v>
      </c>
      <c r="B110" s="1" t="s">
        <v>1029</v>
      </c>
      <c r="C110" s="3" t="s">
        <v>95</v>
      </c>
      <c r="D110" s="3"/>
      <c r="E110" s="1" t="str">
        <f>IFERROR(__xludf.DUMMYFUNCTION("IFERROR(REGEXEXTRACT(A110, ""res(269|122)""), ""none"")"),"122")</f>
        <v>122</v>
      </c>
      <c r="F110" s="1">
        <v>-18.757266</v>
      </c>
      <c r="G110" s="1">
        <v>8.0</v>
      </c>
      <c r="H110" s="1">
        <v>4.0</v>
      </c>
      <c r="I110" s="1">
        <v>0.25</v>
      </c>
      <c r="J110" s="1">
        <v>2.0</v>
      </c>
      <c r="K110" s="1">
        <v>-1.539235</v>
      </c>
      <c r="L110" s="1">
        <v>100.0</v>
      </c>
      <c r="M110" s="1">
        <v>0.0</v>
      </c>
      <c r="N110" s="1">
        <v>0.0</v>
      </c>
      <c r="O110" s="1">
        <v>93.953499</v>
      </c>
    </row>
    <row r="111">
      <c r="A111" s="1" t="s">
        <v>245</v>
      </c>
      <c r="B111" s="1" t="s">
        <v>246</v>
      </c>
      <c r="C111" s="3" t="s">
        <v>33</v>
      </c>
      <c r="D111" s="3" t="s">
        <v>405</v>
      </c>
      <c r="E111" s="1" t="str">
        <f>IFERROR(__xludf.DUMMYFUNCTION("IFERROR(REGEXEXTRACT(A111, ""res(269|122)""), ""none"")"),"122")</f>
        <v>122</v>
      </c>
      <c r="F111" s="1">
        <v>-16.056932</v>
      </c>
      <c r="G111" s="1">
        <v>7.0</v>
      </c>
      <c r="H111" s="1">
        <v>3.0</v>
      </c>
      <c r="I111" s="1">
        <v>0.571429</v>
      </c>
      <c r="J111" s="1">
        <v>2.0</v>
      </c>
      <c r="K111" s="1">
        <v>-0.884192</v>
      </c>
      <c r="L111" s="1">
        <v>100.0</v>
      </c>
      <c r="M111" s="1">
        <v>0.0</v>
      </c>
      <c r="N111" s="1">
        <v>0.0</v>
      </c>
      <c r="O111" s="1">
        <v>95.630305</v>
      </c>
    </row>
    <row r="112">
      <c r="A112" s="1" t="s">
        <v>1030</v>
      </c>
      <c r="B112" s="1" t="s">
        <v>1031</v>
      </c>
      <c r="C112" s="3" t="s">
        <v>95</v>
      </c>
      <c r="D112" s="3"/>
      <c r="E112" s="1" t="str">
        <f>IFERROR(__xludf.DUMMYFUNCTION("IFERROR(REGEXEXTRACT(A112, ""res(269|122)""), ""none"")"),"122")</f>
        <v>122</v>
      </c>
      <c r="F112" s="1">
        <v>-15.904397</v>
      </c>
      <c r="G112" s="1">
        <v>12.0</v>
      </c>
      <c r="H112" s="1">
        <v>4.0</v>
      </c>
      <c r="I112" s="1">
        <v>0.333333</v>
      </c>
      <c r="J112" s="1">
        <v>2.0</v>
      </c>
      <c r="K112" s="1">
        <v>-1.18016599999999</v>
      </c>
      <c r="L112" s="1">
        <v>100.0</v>
      </c>
      <c r="M112" s="1">
        <v>0.0</v>
      </c>
      <c r="N112" s="1">
        <v>0.0</v>
      </c>
      <c r="O112" s="1">
        <v>101.24877</v>
      </c>
    </row>
    <row r="113">
      <c r="A113" s="1" t="s">
        <v>1032</v>
      </c>
      <c r="B113" s="1" t="s">
        <v>1033</v>
      </c>
      <c r="C113" s="3" t="s">
        <v>95</v>
      </c>
      <c r="D113" s="3"/>
      <c r="E113" s="1" t="str">
        <f>IFERROR(__xludf.DUMMYFUNCTION("IFERROR(REGEXEXTRACT(A113, ""res(269|122)""), ""none"")"),"122")</f>
        <v>122</v>
      </c>
      <c r="F113" s="1">
        <v>-15.533497</v>
      </c>
      <c r="G113" s="1">
        <v>9.0</v>
      </c>
      <c r="H113" s="1">
        <v>4.0</v>
      </c>
      <c r="I113" s="1">
        <v>0.444444</v>
      </c>
      <c r="J113" s="1">
        <v>2.0</v>
      </c>
      <c r="K113" s="1">
        <v>-1.43683</v>
      </c>
      <c r="L113" s="1">
        <v>100.0</v>
      </c>
      <c r="M113" s="1">
        <v>0.0</v>
      </c>
      <c r="N113" s="1">
        <v>0.0</v>
      </c>
      <c r="O113" s="1">
        <v>98.474117</v>
      </c>
    </row>
    <row r="114">
      <c r="A114" s="1" t="s">
        <v>247</v>
      </c>
      <c r="B114" s="1" t="s">
        <v>110</v>
      </c>
      <c r="C114" s="3" t="s">
        <v>24</v>
      </c>
      <c r="D114" s="3"/>
      <c r="E114" s="1" t="str">
        <f>IFERROR(__xludf.DUMMYFUNCTION("IFERROR(REGEXEXTRACT(A114, ""res(269|122)""), ""none"")"),"122")</f>
        <v>122</v>
      </c>
      <c r="F114" s="1">
        <v>-17.375967</v>
      </c>
      <c r="G114" s="1">
        <v>8.0</v>
      </c>
      <c r="H114" s="1">
        <v>3.0</v>
      </c>
      <c r="I114" s="1">
        <v>0.25</v>
      </c>
      <c r="J114" s="1">
        <v>2.0</v>
      </c>
      <c r="K114" s="1">
        <v>-1.320226</v>
      </c>
      <c r="L114" s="1">
        <v>100.0</v>
      </c>
      <c r="M114" s="1">
        <v>0.0</v>
      </c>
      <c r="N114" s="1">
        <v>0.0</v>
      </c>
      <c r="O114" s="1">
        <v>94.553807</v>
      </c>
    </row>
    <row r="115">
      <c r="A115" s="1" t="s">
        <v>1034</v>
      </c>
      <c r="B115" s="1" t="s">
        <v>1035</v>
      </c>
      <c r="C115" s="3" t="s">
        <v>95</v>
      </c>
      <c r="D115" s="3"/>
      <c r="E115" s="1" t="str">
        <f>IFERROR(__xludf.DUMMYFUNCTION("IFERROR(REGEXEXTRACT(A115, ""res(269|122)""), ""none"")"),"122")</f>
        <v>122</v>
      </c>
      <c r="F115" s="1">
        <v>-15.652489</v>
      </c>
      <c r="G115" s="1">
        <v>7.0</v>
      </c>
      <c r="H115" s="1">
        <v>3.0</v>
      </c>
      <c r="I115" s="1">
        <v>0.285714</v>
      </c>
      <c r="J115" s="1">
        <v>2.0</v>
      </c>
      <c r="K115" s="1">
        <v>-1.224364</v>
      </c>
      <c r="L115" s="1">
        <v>100.0</v>
      </c>
      <c r="M115" s="1">
        <v>0.0</v>
      </c>
      <c r="N115" s="1">
        <v>0.0</v>
      </c>
      <c r="O115" s="1">
        <v>95.408861</v>
      </c>
    </row>
    <row r="116">
      <c r="A116" s="1" t="s">
        <v>1036</v>
      </c>
      <c r="B116" s="1" t="s">
        <v>1037</v>
      </c>
      <c r="C116" s="3" t="s">
        <v>95</v>
      </c>
      <c r="D116" s="3"/>
      <c r="E116" s="1" t="str">
        <f>IFERROR(__xludf.DUMMYFUNCTION("IFERROR(REGEXEXTRACT(A116, ""res(269|122)""), ""none"")"),"122")</f>
        <v>122</v>
      </c>
      <c r="F116" s="1">
        <v>-15.041809</v>
      </c>
      <c r="G116" s="1">
        <v>8.0</v>
      </c>
      <c r="H116" s="1">
        <v>3.0</v>
      </c>
      <c r="I116" s="1">
        <v>0.375</v>
      </c>
      <c r="J116" s="1">
        <v>2.0</v>
      </c>
      <c r="K116" s="1">
        <v>-1.245626</v>
      </c>
      <c r="L116" s="1">
        <v>100.0</v>
      </c>
      <c r="M116" s="1">
        <v>0.0</v>
      </c>
      <c r="N116" s="1">
        <v>0.0</v>
      </c>
      <c r="O116" s="1">
        <v>97.087565</v>
      </c>
    </row>
    <row r="117">
      <c r="A117" s="1" t="s">
        <v>1038</v>
      </c>
      <c r="B117" s="1" t="s">
        <v>1039</v>
      </c>
      <c r="C117" s="3" t="s">
        <v>95</v>
      </c>
      <c r="D117" s="3"/>
      <c r="E117" s="1" t="str">
        <f>IFERROR(__xludf.DUMMYFUNCTION("IFERROR(REGEXEXTRACT(A117, ""res(269|122)""), ""none"")"),"122")</f>
        <v>122</v>
      </c>
      <c r="F117" s="1">
        <v>-19.051158</v>
      </c>
      <c r="G117" s="1">
        <v>12.0</v>
      </c>
      <c r="H117" s="1">
        <v>3.0</v>
      </c>
      <c r="I117" s="1">
        <v>0.416667</v>
      </c>
      <c r="J117" s="1">
        <v>2.0</v>
      </c>
      <c r="K117" s="1">
        <v>-1.48236</v>
      </c>
      <c r="L117" s="1">
        <v>100.0</v>
      </c>
      <c r="M117" s="1">
        <v>0.0</v>
      </c>
      <c r="N117" s="1">
        <v>0.0</v>
      </c>
      <c r="O117" s="1">
        <v>96.883149</v>
      </c>
    </row>
    <row r="118">
      <c r="A118" s="1" t="s">
        <v>1040</v>
      </c>
      <c r="B118" s="1" t="s">
        <v>1041</v>
      </c>
      <c r="C118" s="3" t="s">
        <v>95</v>
      </c>
      <c r="D118" s="3"/>
      <c r="E118" s="1" t="str">
        <f>IFERROR(__xludf.DUMMYFUNCTION("IFERROR(REGEXEXTRACT(A118, ""res(269|122)""), ""none"")"),"122")</f>
        <v>122</v>
      </c>
      <c r="F118" s="1">
        <v>-15.417922</v>
      </c>
      <c r="G118" s="1">
        <v>10.0</v>
      </c>
      <c r="H118" s="1">
        <v>4.0</v>
      </c>
      <c r="I118" s="1">
        <v>0.3</v>
      </c>
      <c r="J118" s="1">
        <v>2.0</v>
      </c>
      <c r="K118" s="1">
        <v>-1.29702</v>
      </c>
      <c r="L118" s="1">
        <v>100.0</v>
      </c>
      <c r="M118" s="1">
        <v>0.0</v>
      </c>
      <c r="N118" s="1">
        <v>0.0</v>
      </c>
      <c r="O118" s="1">
        <v>99.585058</v>
      </c>
    </row>
    <row r="119">
      <c r="A119" s="1" t="s">
        <v>248</v>
      </c>
      <c r="B119" s="1" t="s">
        <v>249</v>
      </c>
      <c r="C119" s="3" t="s">
        <v>24</v>
      </c>
      <c r="D119" s="3"/>
      <c r="E119" s="1" t="str">
        <f>IFERROR(__xludf.DUMMYFUNCTION("IFERROR(REGEXEXTRACT(A119, ""res(269|122)""), ""none"")"),"122")</f>
        <v>122</v>
      </c>
      <c r="F119" s="1">
        <v>-17.093997</v>
      </c>
      <c r="G119" s="1">
        <v>10.0</v>
      </c>
      <c r="H119" s="1">
        <v>3.0</v>
      </c>
      <c r="I119" s="1">
        <v>0.3</v>
      </c>
      <c r="J119" s="1">
        <v>2.0</v>
      </c>
      <c r="K119" s="1">
        <v>-0.77841</v>
      </c>
      <c r="L119" s="1">
        <v>100.0</v>
      </c>
      <c r="M119" s="1">
        <v>0.0</v>
      </c>
      <c r="N119" s="1">
        <v>0.0</v>
      </c>
      <c r="O119" s="1">
        <v>97.427593</v>
      </c>
    </row>
    <row r="120">
      <c r="A120" s="1" t="s">
        <v>1042</v>
      </c>
      <c r="B120" s="1" t="s">
        <v>1043</v>
      </c>
      <c r="C120" s="3" t="s">
        <v>95</v>
      </c>
      <c r="D120" s="3"/>
      <c r="E120" s="1" t="str">
        <f>IFERROR(__xludf.DUMMYFUNCTION("IFERROR(REGEXEXTRACT(A120, ""res(269|122)""), ""none"")"),"122")</f>
        <v>122</v>
      </c>
      <c r="F120" s="1">
        <v>-15.379389</v>
      </c>
      <c r="G120" s="1">
        <v>8.0</v>
      </c>
      <c r="H120" s="1">
        <v>3.0</v>
      </c>
      <c r="I120" s="1">
        <v>0.375</v>
      </c>
      <c r="J120" s="1">
        <v>2.0</v>
      </c>
      <c r="K120" s="1">
        <v>-1.234147</v>
      </c>
      <c r="L120" s="1">
        <v>100.0</v>
      </c>
      <c r="M120" s="1">
        <v>0.0</v>
      </c>
      <c r="N120" s="1">
        <v>0.0</v>
      </c>
      <c r="O120" s="1">
        <v>96.761464</v>
      </c>
    </row>
    <row r="121">
      <c r="A121" s="1" t="s">
        <v>250</v>
      </c>
      <c r="B121" s="1" t="s">
        <v>65</v>
      </c>
      <c r="C121" s="3" t="s">
        <v>26</v>
      </c>
      <c r="D121" s="3" t="s">
        <v>1052</v>
      </c>
      <c r="E121" s="1" t="str">
        <f>IFERROR(__xludf.DUMMYFUNCTION("IFERROR(REGEXEXTRACT(A121, ""res(269|122)""), ""none"")"),"122")</f>
        <v>122</v>
      </c>
      <c r="F121" s="1">
        <v>-17.086206</v>
      </c>
      <c r="G121" s="1">
        <v>7.0</v>
      </c>
      <c r="H121" s="1">
        <v>4.0</v>
      </c>
      <c r="I121" s="1">
        <v>0.285714</v>
      </c>
      <c r="J121" s="1">
        <v>3.0</v>
      </c>
      <c r="K121" s="1">
        <v>-1.038701</v>
      </c>
      <c r="L121" s="1">
        <v>100.0</v>
      </c>
      <c r="M121" s="1">
        <v>0.0</v>
      </c>
      <c r="N121" s="1">
        <v>0.0</v>
      </c>
      <c r="O121" s="1">
        <v>96.160807</v>
      </c>
    </row>
    <row r="122">
      <c r="A122" s="1" t="s">
        <v>251</v>
      </c>
      <c r="B122" s="1" t="s">
        <v>69</v>
      </c>
      <c r="C122" s="3" t="s">
        <v>33</v>
      </c>
      <c r="D122" s="3"/>
      <c r="E122" s="1" t="str">
        <f>IFERROR(__xludf.DUMMYFUNCTION("IFERROR(REGEXEXTRACT(A122, ""res(269|122)""), ""none"")"),"122")</f>
        <v>122</v>
      </c>
      <c r="F122" s="1">
        <v>-15.386234</v>
      </c>
      <c r="G122" s="1">
        <v>11.0</v>
      </c>
      <c r="H122" s="1">
        <v>4.0</v>
      </c>
      <c r="I122" s="1">
        <v>0.454545</v>
      </c>
      <c r="J122" s="1">
        <v>2.0</v>
      </c>
      <c r="K122" s="1">
        <v>-0.508212</v>
      </c>
      <c r="L122" s="1">
        <v>100.0</v>
      </c>
      <c r="M122" s="1">
        <v>0.0</v>
      </c>
      <c r="N122" s="1">
        <v>0.0</v>
      </c>
      <c r="O122" s="1">
        <v>101.560099</v>
      </c>
    </row>
    <row r="123">
      <c r="A123" s="1" t="s">
        <v>252</v>
      </c>
      <c r="B123" s="1" t="s">
        <v>114</v>
      </c>
      <c r="C123" s="3" t="s">
        <v>33</v>
      </c>
      <c r="D123" s="3"/>
      <c r="E123" s="1" t="str">
        <f>IFERROR(__xludf.DUMMYFUNCTION("IFERROR(REGEXEXTRACT(A123, ""res(269|122)""), ""none"")"),"122")</f>
        <v>122</v>
      </c>
      <c r="F123" s="1">
        <v>-16.231911</v>
      </c>
      <c r="G123" s="1">
        <v>12.0</v>
      </c>
      <c r="H123" s="1">
        <v>2.0</v>
      </c>
      <c r="I123" s="1">
        <v>0.25</v>
      </c>
      <c r="J123" s="1">
        <v>2.0</v>
      </c>
      <c r="K123" s="1">
        <v>-0.38947</v>
      </c>
      <c r="L123" s="1">
        <v>100.0</v>
      </c>
      <c r="M123" s="1">
        <v>0.0</v>
      </c>
      <c r="N123" s="1">
        <v>0.0</v>
      </c>
      <c r="O123" s="1">
        <v>99.628619</v>
      </c>
    </row>
    <row r="124">
      <c r="A124" s="1" t="s">
        <v>253</v>
      </c>
      <c r="B124" s="1" t="s">
        <v>254</v>
      </c>
      <c r="C124" s="3" t="s">
        <v>24</v>
      </c>
      <c r="D124" s="3" t="s">
        <v>406</v>
      </c>
      <c r="E124" s="1" t="str">
        <f>IFERROR(__xludf.DUMMYFUNCTION("IFERROR(REGEXEXTRACT(A124, ""res(269|122)""), ""none"")"),"122")</f>
        <v>122</v>
      </c>
      <c r="F124" s="1">
        <v>-15.527357</v>
      </c>
      <c r="G124" s="1">
        <v>8.0</v>
      </c>
      <c r="H124" s="1">
        <v>3.0</v>
      </c>
      <c r="I124" s="1">
        <v>0.25</v>
      </c>
      <c r="J124" s="1">
        <v>2.0</v>
      </c>
      <c r="K124" s="1">
        <v>-0.966032</v>
      </c>
      <c r="L124" s="1">
        <v>100.0</v>
      </c>
      <c r="M124" s="1">
        <v>0.0</v>
      </c>
      <c r="N124" s="1">
        <v>0.0</v>
      </c>
      <c r="O124" s="1">
        <v>96.756611</v>
      </c>
    </row>
    <row r="125">
      <c r="A125" s="1" t="s">
        <v>1044</v>
      </c>
      <c r="B125" s="1" t="s">
        <v>1045</v>
      </c>
      <c r="C125" s="3" t="s">
        <v>95</v>
      </c>
      <c r="D125" s="3"/>
      <c r="E125" s="1" t="str">
        <f>IFERROR(__xludf.DUMMYFUNCTION("IFERROR(REGEXEXTRACT(A125, ""res(269|122)""), ""none"")"),"122")</f>
        <v>122</v>
      </c>
      <c r="F125" s="1">
        <v>-15.952925</v>
      </c>
      <c r="G125" s="1">
        <v>11.0</v>
      </c>
      <c r="H125" s="1">
        <v>4.0</v>
      </c>
      <c r="I125" s="1">
        <v>0.272727</v>
      </c>
      <c r="J125" s="1">
        <v>3.0</v>
      </c>
      <c r="K125" s="1">
        <v>-1.559703</v>
      </c>
      <c r="L125" s="1">
        <v>100.0</v>
      </c>
      <c r="M125" s="1">
        <v>0.0</v>
      </c>
      <c r="N125" s="1">
        <v>0.0</v>
      </c>
      <c r="O125" s="1">
        <v>100.760099</v>
      </c>
    </row>
    <row r="126">
      <c r="A126" s="1" t="s">
        <v>1046</v>
      </c>
      <c r="B126" s="1" t="s">
        <v>1047</v>
      </c>
      <c r="C126" s="3" t="s">
        <v>95</v>
      </c>
      <c r="D126" s="3"/>
      <c r="E126" s="1" t="str">
        <f>IFERROR(__xludf.DUMMYFUNCTION("IFERROR(REGEXEXTRACT(A126, ""res(269|122)""), ""none"")"),"122")</f>
        <v>122</v>
      </c>
      <c r="F126" s="1">
        <v>-16.345306</v>
      </c>
      <c r="G126" s="1">
        <v>6.0</v>
      </c>
      <c r="H126" s="1">
        <v>2.0</v>
      </c>
      <c r="I126" s="1">
        <v>0.333333</v>
      </c>
      <c r="J126" s="1">
        <v>2.0</v>
      </c>
      <c r="K126" s="1">
        <v>-1.398216</v>
      </c>
      <c r="L126" s="1">
        <v>100.0</v>
      </c>
      <c r="M126" s="1">
        <v>0.0</v>
      </c>
      <c r="N126" s="1">
        <v>0.0</v>
      </c>
      <c r="O126" s="1">
        <v>92.589811</v>
      </c>
    </row>
    <row r="127">
      <c r="A127" s="1" t="s">
        <v>1048</v>
      </c>
      <c r="B127" s="1" t="s">
        <v>1049</v>
      </c>
      <c r="C127" s="3" t="s">
        <v>95</v>
      </c>
      <c r="D127" s="3"/>
      <c r="E127" s="1" t="str">
        <f>IFERROR(__xludf.DUMMYFUNCTION("IFERROR(REGEXEXTRACT(A127, ""res(269|122)""), ""none"")"),"122")</f>
        <v>122</v>
      </c>
      <c r="F127" s="1">
        <v>-15.497532</v>
      </c>
      <c r="G127" s="1">
        <v>11.0</v>
      </c>
      <c r="H127" s="1">
        <v>4.0</v>
      </c>
      <c r="I127" s="1">
        <v>0.363636</v>
      </c>
      <c r="J127" s="1">
        <v>2.0</v>
      </c>
      <c r="K127" s="1">
        <v>-1.243276</v>
      </c>
      <c r="L127" s="1">
        <v>100.0</v>
      </c>
      <c r="M127" s="1">
        <v>0.0</v>
      </c>
      <c r="N127" s="1">
        <v>0.0</v>
      </c>
      <c r="O127" s="1">
        <v>100.622828</v>
      </c>
    </row>
    <row r="128">
      <c r="A128" s="1" t="s">
        <v>255</v>
      </c>
      <c r="B128" s="1" t="s">
        <v>256</v>
      </c>
      <c r="C128" s="3" t="s">
        <v>24</v>
      </c>
      <c r="D128" s="3"/>
      <c r="E128" s="1" t="str">
        <f>IFERROR(__xludf.DUMMYFUNCTION("IFERROR(REGEXEXTRACT(A128, ""res(269|122)""), ""none"")"),"122")</f>
        <v>122</v>
      </c>
      <c r="F128" s="1">
        <v>-15.777823</v>
      </c>
      <c r="G128" s="1">
        <v>9.0</v>
      </c>
      <c r="H128" s="1">
        <v>4.0</v>
      </c>
      <c r="I128" s="1">
        <v>0.333333</v>
      </c>
      <c r="J128" s="1">
        <v>2.0</v>
      </c>
      <c r="K128" s="1">
        <v>-1.671146</v>
      </c>
      <c r="L128" s="1">
        <v>100.0</v>
      </c>
      <c r="M128" s="1">
        <v>0.0</v>
      </c>
      <c r="N128" s="1">
        <v>0.0</v>
      </c>
      <c r="O128" s="1">
        <v>97.884364</v>
      </c>
    </row>
    <row r="129">
      <c r="A129" s="1" t="s">
        <v>1050</v>
      </c>
      <c r="B129" s="1" t="s">
        <v>1051</v>
      </c>
      <c r="C129" s="3" t="s">
        <v>95</v>
      </c>
      <c r="D129" s="3"/>
      <c r="E129" s="1" t="str">
        <f>IFERROR(__xludf.DUMMYFUNCTION("IFERROR(REGEXEXTRACT(A129, ""res(269|122)""), ""none"")"),"122")</f>
        <v>122</v>
      </c>
      <c r="F129" s="1">
        <v>-15.111201</v>
      </c>
      <c r="G129" s="1">
        <v>9.0</v>
      </c>
      <c r="H129" s="1">
        <v>4.0</v>
      </c>
      <c r="I129" s="1">
        <v>0.444444</v>
      </c>
      <c r="J129" s="1">
        <v>2.0</v>
      </c>
      <c r="K129" s="1">
        <v>-0.653188999999999</v>
      </c>
      <c r="L129" s="1">
        <v>100.0</v>
      </c>
      <c r="M129" s="1">
        <v>0.0</v>
      </c>
      <c r="N129" s="1">
        <v>0.0</v>
      </c>
      <c r="O129" s="1">
        <v>99.680054</v>
      </c>
    </row>
    <row r="130">
      <c r="C130" s="5"/>
      <c r="D130" s="5"/>
    </row>
    <row r="131">
      <c r="C131" s="5"/>
      <c r="D131" s="5"/>
    </row>
    <row r="132">
      <c r="B132" s="4">
        <f>128 - COUNTIF(C:C,"no")</f>
        <v>43</v>
      </c>
      <c r="C132" s="5"/>
      <c r="D132" s="5"/>
    </row>
    <row r="133">
      <c r="C133" s="5"/>
      <c r="D133" s="5"/>
    </row>
    <row r="134">
      <c r="C134" s="5"/>
      <c r="D134" s="5"/>
    </row>
    <row r="135">
      <c r="C135" s="5"/>
      <c r="D135" s="5"/>
    </row>
    <row r="136">
      <c r="C136" s="5"/>
      <c r="D136" s="5"/>
    </row>
    <row r="137">
      <c r="C137" s="5"/>
      <c r="D137" s="5"/>
    </row>
    <row r="138">
      <c r="C138" s="5"/>
      <c r="D138" s="5"/>
    </row>
    <row r="139">
      <c r="C139" s="5"/>
      <c r="D139" s="5"/>
    </row>
    <row r="140">
      <c r="C140" s="5"/>
      <c r="D140" s="5"/>
    </row>
    <row r="141">
      <c r="C141" s="5"/>
      <c r="D141" s="5"/>
    </row>
    <row r="142">
      <c r="C142" s="5"/>
      <c r="D142" s="5"/>
    </row>
    <row r="143">
      <c r="C143" s="5"/>
      <c r="D143" s="5"/>
    </row>
    <row r="144">
      <c r="C144" s="5"/>
      <c r="D144" s="5"/>
    </row>
    <row r="145">
      <c r="C145" s="5"/>
      <c r="D145" s="5"/>
    </row>
    <row r="146">
      <c r="C146" s="5"/>
      <c r="D146" s="5"/>
    </row>
    <row r="147">
      <c r="C147" s="5"/>
      <c r="D147" s="5"/>
    </row>
    <row r="148">
      <c r="C148" s="5"/>
      <c r="D148" s="5"/>
    </row>
    <row r="149">
      <c r="C149" s="5"/>
      <c r="D149" s="5"/>
    </row>
    <row r="150">
      <c r="C150" s="5"/>
      <c r="D150" s="5"/>
    </row>
    <row r="151">
      <c r="C151" s="5"/>
      <c r="D151" s="5"/>
    </row>
    <row r="152">
      <c r="C152" s="5"/>
      <c r="D152" s="5"/>
    </row>
    <row r="153">
      <c r="C153" s="5"/>
      <c r="D153" s="5"/>
    </row>
    <row r="154">
      <c r="C154" s="5"/>
      <c r="D154" s="5"/>
    </row>
    <row r="155">
      <c r="C155" s="5"/>
      <c r="D155" s="5"/>
    </row>
    <row r="156">
      <c r="C156" s="5"/>
      <c r="D156" s="5"/>
    </row>
    <row r="157">
      <c r="C157" s="5"/>
      <c r="D157" s="5"/>
    </row>
    <row r="158">
      <c r="C158" s="5"/>
      <c r="D158" s="5"/>
    </row>
    <row r="159">
      <c r="C159" s="5"/>
      <c r="D159" s="5"/>
    </row>
    <row r="160">
      <c r="C160" s="5"/>
      <c r="D160" s="5"/>
    </row>
    <row r="161">
      <c r="C161" s="5"/>
      <c r="D161" s="5"/>
    </row>
    <row r="162">
      <c r="C162" s="5"/>
      <c r="D162" s="5"/>
    </row>
    <row r="163">
      <c r="C163" s="5"/>
      <c r="D163" s="5"/>
    </row>
    <row r="164">
      <c r="C164" s="5"/>
      <c r="D164" s="5"/>
    </row>
    <row r="165">
      <c r="C165" s="5"/>
      <c r="D165" s="5"/>
    </row>
    <row r="166">
      <c r="C166" s="5"/>
      <c r="D166" s="5"/>
    </row>
    <row r="167">
      <c r="C167" s="5"/>
      <c r="D167" s="5"/>
    </row>
    <row r="168">
      <c r="C168" s="5"/>
      <c r="D168" s="5"/>
    </row>
    <row r="169">
      <c r="C169" s="5"/>
      <c r="D169" s="5"/>
    </row>
    <row r="170">
      <c r="C170" s="5"/>
      <c r="D170" s="5"/>
    </row>
    <row r="171">
      <c r="C171" s="5"/>
      <c r="D171" s="5"/>
    </row>
    <row r="172">
      <c r="C172" s="5"/>
      <c r="D172" s="5"/>
    </row>
    <row r="173">
      <c r="C173" s="5"/>
      <c r="D173" s="5"/>
    </row>
    <row r="174">
      <c r="C174" s="5"/>
      <c r="D174" s="5"/>
    </row>
    <row r="175">
      <c r="C175" s="5"/>
      <c r="D175" s="5"/>
    </row>
    <row r="176">
      <c r="C176" s="5"/>
      <c r="D176" s="5"/>
    </row>
    <row r="177">
      <c r="C177" s="5"/>
      <c r="D177" s="5"/>
    </row>
    <row r="178">
      <c r="C178" s="5"/>
      <c r="D178" s="5"/>
    </row>
    <row r="179">
      <c r="C179" s="5"/>
      <c r="D179" s="5"/>
    </row>
    <row r="180">
      <c r="C180" s="5"/>
      <c r="D180" s="5"/>
    </row>
    <row r="181">
      <c r="C181" s="5"/>
      <c r="D181" s="5"/>
    </row>
    <row r="182">
      <c r="C182" s="5"/>
      <c r="D182" s="5"/>
    </row>
    <row r="183">
      <c r="C183" s="5"/>
      <c r="D183" s="5"/>
    </row>
    <row r="184">
      <c r="C184" s="5"/>
      <c r="D184" s="5"/>
    </row>
    <row r="185">
      <c r="C185" s="5"/>
      <c r="D185" s="5"/>
    </row>
    <row r="186">
      <c r="C186" s="5"/>
      <c r="D186" s="5"/>
    </row>
    <row r="187">
      <c r="C187" s="5"/>
      <c r="D187" s="5"/>
    </row>
    <row r="188">
      <c r="C188" s="5"/>
      <c r="D188" s="5"/>
    </row>
    <row r="189">
      <c r="C189" s="5"/>
      <c r="D189" s="5"/>
    </row>
    <row r="190">
      <c r="C190" s="5"/>
      <c r="D190" s="5"/>
    </row>
    <row r="191">
      <c r="C191" s="5"/>
      <c r="D191" s="5"/>
    </row>
    <row r="192">
      <c r="C192" s="5"/>
      <c r="D192" s="5"/>
    </row>
    <row r="193">
      <c r="C193" s="5"/>
      <c r="D193" s="5"/>
    </row>
    <row r="194">
      <c r="C194" s="5"/>
      <c r="D194" s="5"/>
    </row>
    <row r="195">
      <c r="C195" s="5"/>
      <c r="D195" s="5"/>
    </row>
    <row r="196">
      <c r="C196" s="5"/>
      <c r="D196" s="5"/>
    </row>
    <row r="197">
      <c r="C197" s="5"/>
      <c r="D197" s="5"/>
    </row>
    <row r="198">
      <c r="C198" s="5"/>
      <c r="D198" s="5"/>
    </row>
    <row r="199">
      <c r="C199" s="5"/>
      <c r="D199" s="5"/>
    </row>
    <row r="200">
      <c r="C200" s="5"/>
      <c r="D200" s="5"/>
    </row>
    <row r="201">
      <c r="C201" s="5"/>
      <c r="D201" s="5"/>
    </row>
    <row r="202">
      <c r="C202" s="5"/>
      <c r="D202" s="5"/>
    </row>
    <row r="203">
      <c r="C203" s="5"/>
      <c r="D203" s="5"/>
    </row>
    <row r="204">
      <c r="C204" s="5"/>
      <c r="D204" s="5"/>
    </row>
    <row r="205">
      <c r="C205" s="5"/>
      <c r="D205" s="5"/>
    </row>
    <row r="206">
      <c r="C206" s="5"/>
      <c r="D206" s="5"/>
    </row>
    <row r="207">
      <c r="C207" s="5"/>
      <c r="D207" s="5"/>
    </row>
    <row r="208">
      <c r="C208" s="5"/>
      <c r="D208" s="5"/>
    </row>
    <row r="209">
      <c r="C209" s="5"/>
      <c r="D209" s="5"/>
    </row>
    <row r="210">
      <c r="C210" s="5"/>
      <c r="D210" s="5"/>
    </row>
    <row r="211">
      <c r="C211" s="5"/>
      <c r="D211" s="5"/>
    </row>
    <row r="212">
      <c r="C212" s="5"/>
      <c r="D212" s="5"/>
    </row>
    <row r="213">
      <c r="C213" s="5"/>
      <c r="D213" s="5"/>
    </row>
    <row r="214">
      <c r="C214" s="5"/>
      <c r="D214" s="5"/>
    </row>
    <row r="215">
      <c r="C215" s="5"/>
      <c r="D215" s="5"/>
    </row>
    <row r="216">
      <c r="C216" s="5"/>
      <c r="D216" s="5"/>
    </row>
    <row r="217">
      <c r="C217" s="5"/>
      <c r="D217" s="5"/>
    </row>
    <row r="218">
      <c r="C218" s="5"/>
      <c r="D218" s="5"/>
    </row>
    <row r="219">
      <c r="C219" s="5"/>
      <c r="D219" s="5"/>
    </row>
    <row r="220">
      <c r="C220" s="5"/>
      <c r="D220" s="5"/>
    </row>
    <row r="221">
      <c r="C221" s="5"/>
      <c r="D221" s="5"/>
    </row>
    <row r="222">
      <c r="C222" s="5"/>
      <c r="D222" s="5"/>
    </row>
    <row r="223">
      <c r="C223" s="5"/>
      <c r="D223" s="5"/>
    </row>
    <row r="224">
      <c r="C224" s="5"/>
      <c r="D224" s="5"/>
    </row>
    <row r="225">
      <c r="C225" s="5"/>
      <c r="D225" s="5"/>
    </row>
    <row r="226">
      <c r="C226" s="5"/>
      <c r="D226" s="5"/>
    </row>
    <row r="227">
      <c r="C227" s="5"/>
      <c r="D227" s="5"/>
    </row>
    <row r="228">
      <c r="C228" s="5"/>
      <c r="D228" s="5"/>
    </row>
    <row r="229">
      <c r="C229" s="5"/>
      <c r="D229" s="5"/>
    </row>
    <row r="230">
      <c r="C230" s="5"/>
      <c r="D230" s="5"/>
    </row>
    <row r="231">
      <c r="C231" s="5"/>
      <c r="D231" s="5"/>
    </row>
    <row r="232">
      <c r="C232" s="5"/>
      <c r="D232" s="5"/>
    </row>
    <row r="233">
      <c r="C233" s="5"/>
      <c r="D233" s="5"/>
    </row>
    <row r="234">
      <c r="C234" s="5"/>
      <c r="D234" s="5"/>
    </row>
    <row r="235">
      <c r="C235" s="5"/>
      <c r="D235" s="5"/>
    </row>
    <row r="236">
      <c r="C236" s="5"/>
      <c r="D236" s="5"/>
    </row>
    <row r="237">
      <c r="C237" s="5"/>
      <c r="D237" s="5"/>
    </row>
    <row r="238">
      <c r="C238" s="5"/>
      <c r="D238" s="5"/>
    </row>
    <row r="239">
      <c r="C239" s="5"/>
      <c r="D239" s="5"/>
    </row>
    <row r="240">
      <c r="C240" s="5"/>
      <c r="D240" s="5"/>
    </row>
    <row r="241">
      <c r="C241" s="5"/>
      <c r="D241" s="5"/>
    </row>
    <row r="242">
      <c r="C242" s="5"/>
      <c r="D242" s="5"/>
    </row>
    <row r="243">
      <c r="C243" s="5"/>
      <c r="D243" s="5"/>
    </row>
    <row r="244">
      <c r="C244" s="5"/>
      <c r="D244" s="5"/>
    </row>
    <row r="245">
      <c r="C245" s="5"/>
      <c r="D245" s="5"/>
    </row>
    <row r="246">
      <c r="C246" s="5"/>
      <c r="D246" s="5"/>
    </row>
    <row r="247">
      <c r="C247" s="5"/>
      <c r="D247" s="5"/>
    </row>
    <row r="248">
      <c r="C248" s="5"/>
      <c r="D248" s="5"/>
    </row>
    <row r="249">
      <c r="C249" s="5"/>
      <c r="D249" s="5"/>
    </row>
    <row r="250">
      <c r="C250" s="5"/>
      <c r="D250" s="5"/>
    </row>
    <row r="251">
      <c r="C251" s="5"/>
      <c r="D251" s="5"/>
    </row>
    <row r="252">
      <c r="C252" s="5"/>
      <c r="D252" s="5"/>
    </row>
    <row r="253">
      <c r="C253" s="5"/>
      <c r="D253" s="5"/>
    </row>
    <row r="254">
      <c r="C254" s="5"/>
      <c r="D254" s="5"/>
    </row>
    <row r="255">
      <c r="C255" s="5"/>
      <c r="D255" s="5"/>
    </row>
    <row r="256">
      <c r="C256" s="5"/>
      <c r="D256" s="5"/>
    </row>
    <row r="257">
      <c r="C257" s="5"/>
      <c r="D257" s="5"/>
    </row>
    <row r="258">
      <c r="C258" s="5"/>
      <c r="D258" s="5"/>
    </row>
    <row r="259">
      <c r="C259" s="5"/>
      <c r="D259" s="5"/>
    </row>
    <row r="260">
      <c r="C260" s="5"/>
      <c r="D260" s="5"/>
    </row>
    <row r="261">
      <c r="C261" s="5"/>
      <c r="D261" s="5"/>
    </row>
    <row r="262">
      <c r="C262" s="5"/>
      <c r="D262" s="5"/>
    </row>
    <row r="263">
      <c r="C263" s="5"/>
      <c r="D263" s="5"/>
    </row>
    <row r="264">
      <c r="C264" s="5"/>
      <c r="D264" s="5"/>
    </row>
    <row r="265">
      <c r="C265" s="5"/>
      <c r="D265" s="5"/>
    </row>
    <row r="266">
      <c r="C266" s="5"/>
      <c r="D266" s="5"/>
    </row>
    <row r="267">
      <c r="C267" s="5"/>
      <c r="D267" s="5"/>
    </row>
    <row r="268">
      <c r="C268" s="5"/>
      <c r="D268" s="5"/>
    </row>
    <row r="269">
      <c r="C269" s="5"/>
      <c r="D269" s="5"/>
    </row>
    <row r="270">
      <c r="C270" s="5"/>
      <c r="D270" s="5"/>
    </row>
    <row r="271">
      <c r="C271" s="5"/>
      <c r="D271" s="5"/>
    </row>
    <row r="272">
      <c r="C272" s="5"/>
      <c r="D272" s="5"/>
    </row>
    <row r="273">
      <c r="C273" s="5"/>
      <c r="D273" s="5"/>
    </row>
    <row r="274">
      <c r="C274" s="5"/>
      <c r="D274" s="5"/>
    </row>
    <row r="275">
      <c r="C275" s="5"/>
      <c r="D275" s="5"/>
    </row>
    <row r="276">
      <c r="C276" s="5"/>
      <c r="D276" s="5"/>
    </row>
    <row r="277">
      <c r="C277" s="5"/>
      <c r="D277" s="5"/>
    </row>
    <row r="278">
      <c r="C278" s="5"/>
      <c r="D278" s="5"/>
    </row>
    <row r="279">
      <c r="C279" s="5"/>
      <c r="D279" s="5"/>
    </row>
    <row r="280">
      <c r="C280" s="5"/>
      <c r="D280" s="5"/>
    </row>
    <row r="281">
      <c r="C281" s="5"/>
      <c r="D281" s="5"/>
    </row>
    <row r="282">
      <c r="C282" s="5"/>
      <c r="D282" s="5"/>
    </row>
    <row r="283">
      <c r="C283" s="5"/>
      <c r="D283" s="5"/>
    </row>
    <row r="284">
      <c r="C284" s="5"/>
      <c r="D284" s="5"/>
    </row>
    <row r="285">
      <c r="C285" s="5"/>
      <c r="D285" s="5"/>
    </row>
    <row r="286">
      <c r="C286" s="5"/>
      <c r="D286" s="5"/>
    </row>
    <row r="287">
      <c r="C287" s="5"/>
      <c r="D287" s="5"/>
    </row>
    <row r="288">
      <c r="C288" s="5"/>
      <c r="D288" s="5"/>
    </row>
    <row r="289">
      <c r="C289" s="5"/>
      <c r="D289" s="5"/>
    </row>
    <row r="290">
      <c r="C290" s="5"/>
      <c r="D290" s="5"/>
    </row>
    <row r="291">
      <c r="C291" s="5"/>
      <c r="D291" s="5"/>
    </row>
    <row r="292">
      <c r="C292" s="5"/>
      <c r="D292" s="5"/>
    </row>
    <row r="293">
      <c r="C293" s="5"/>
      <c r="D293" s="5"/>
    </row>
    <row r="294">
      <c r="C294" s="5"/>
      <c r="D294" s="5"/>
    </row>
    <row r="295">
      <c r="C295" s="5"/>
      <c r="D295" s="5"/>
    </row>
    <row r="296">
      <c r="C296" s="5"/>
      <c r="D296" s="5"/>
    </row>
    <row r="297">
      <c r="C297" s="5"/>
      <c r="D297" s="5"/>
    </row>
    <row r="298">
      <c r="C298" s="5"/>
      <c r="D298" s="5"/>
    </row>
    <row r="299">
      <c r="C299" s="5"/>
      <c r="D299" s="5"/>
    </row>
    <row r="300">
      <c r="C300" s="5"/>
      <c r="D300" s="5"/>
    </row>
    <row r="301">
      <c r="C301" s="5"/>
      <c r="D301" s="5"/>
    </row>
    <row r="302">
      <c r="C302" s="5"/>
      <c r="D302" s="5"/>
    </row>
    <row r="303">
      <c r="C303" s="5"/>
      <c r="D303" s="5"/>
    </row>
    <row r="304">
      <c r="C304" s="5"/>
      <c r="D304" s="5"/>
    </row>
    <row r="305">
      <c r="C305" s="5"/>
      <c r="D305" s="5"/>
    </row>
    <row r="306">
      <c r="C306" s="5"/>
      <c r="D306" s="5"/>
    </row>
    <row r="307">
      <c r="C307" s="5"/>
      <c r="D307" s="5"/>
    </row>
    <row r="308">
      <c r="C308" s="5"/>
      <c r="D308" s="5"/>
    </row>
    <row r="309">
      <c r="C309" s="5"/>
      <c r="D309" s="5"/>
    </row>
    <row r="310">
      <c r="C310" s="5"/>
      <c r="D310" s="5"/>
    </row>
    <row r="311">
      <c r="C311" s="5"/>
      <c r="D311" s="5"/>
    </row>
    <row r="312">
      <c r="C312" s="5"/>
      <c r="D312" s="5"/>
    </row>
    <row r="313">
      <c r="C313" s="5"/>
      <c r="D313" s="5"/>
    </row>
    <row r="314">
      <c r="C314" s="5"/>
      <c r="D314" s="5"/>
    </row>
    <row r="315">
      <c r="C315" s="5"/>
      <c r="D315" s="5"/>
    </row>
    <row r="316">
      <c r="C316" s="5"/>
      <c r="D316" s="5"/>
    </row>
    <row r="317">
      <c r="C317" s="5"/>
      <c r="D317" s="5"/>
    </row>
    <row r="318">
      <c r="C318" s="5"/>
      <c r="D318" s="5"/>
    </row>
    <row r="319">
      <c r="C319" s="5"/>
      <c r="D319" s="5"/>
    </row>
    <row r="320">
      <c r="C320" s="5"/>
      <c r="D320" s="5"/>
    </row>
    <row r="321">
      <c r="C321" s="5"/>
      <c r="D321" s="5"/>
    </row>
    <row r="322">
      <c r="C322" s="5"/>
      <c r="D322" s="5"/>
    </row>
    <row r="323">
      <c r="C323" s="5"/>
      <c r="D323" s="5"/>
    </row>
    <row r="324">
      <c r="C324" s="5"/>
      <c r="D324" s="5"/>
    </row>
    <row r="325">
      <c r="C325" s="5"/>
      <c r="D325" s="5"/>
    </row>
    <row r="326">
      <c r="C326" s="5"/>
      <c r="D326" s="5"/>
    </row>
    <row r="327">
      <c r="C327" s="5"/>
      <c r="D327" s="5"/>
    </row>
    <row r="328">
      <c r="C328" s="5"/>
      <c r="D328" s="5"/>
    </row>
    <row r="329">
      <c r="C329" s="5"/>
      <c r="D329" s="5"/>
    </row>
    <row r="330">
      <c r="C330" s="5"/>
      <c r="D330" s="5"/>
    </row>
    <row r="331">
      <c r="C331" s="5"/>
      <c r="D331" s="5"/>
    </row>
    <row r="332">
      <c r="C332" s="5"/>
      <c r="D332" s="5"/>
    </row>
    <row r="333">
      <c r="C333" s="5"/>
      <c r="D333" s="5"/>
    </row>
    <row r="334">
      <c r="C334" s="5"/>
      <c r="D334" s="5"/>
    </row>
    <row r="335">
      <c r="C335" s="5"/>
      <c r="D335" s="5"/>
    </row>
    <row r="336">
      <c r="C336" s="5"/>
      <c r="D336" s="5"/>
    </row>
    <row r="337">
      <c r="C337" s="5"/>
      <c r="D337" s="5"/>
    </row>
    <row r="338">
      <c r="C338" s="5"/>
      <c r="D338" s="5"/>
    </row>
    <row r="339">
      <c r="C339" s="5"/>
      <c r="D339" s="5"/>
    </row>
    <row r="340">
      <c r="C340" s="5"/>
      <c r="D340" s="5"/>
    </row>
    <row r="341">
      <c r="C341" s="5"/>
      <c r="D341" s="5"/>
    </row>
    <row r="342">
      <c r="C342" s="5"/>
      <c r="D342" s="5"/>
    </row>
    <row r="343">
      <c r="C343" s="5"/>
      <c r="D343" s="5"/>
    </row>
    <row r="344">
      <c r="C344" s="5"/>
      <c r="D344" s="5"/>
    </row>
    <row r="345">
      <c r="C345" s="5"/>
      <c r="D345" s="5"/>
    </row>
    <row r="346">
      <c r="C346" s="5"/>
      <c r="D346" s="5"/>
    </row>
    <row r="347">
      <c r="C347" s="5"/>
      <c r="D347" s="5"/>
    </row>
    <row r="348">
      <c r="C348" s="5"/>
      <c r="D348" s="5"/>
    </row>
    <row r="349">
      <c r="C349" s="5"/>
      <c r="D349" s="5"/>
    </row>
    <row r="350">
      <c r="C350" s="5"/>
      <c r="D350" s="5"/>
    </row>
    <row r="351">
      <c r="C351" s="5"/>
      <c r="D351" s="5"/>
    </row>
    <row r="352">
      <c r="C352" s="5"/>
      <c r="D352" s="5"/>
    </row>
    <row r="353">
      <c r="C353" s="5"/>
      <c r="D353" s="5"/>
    </row>
    <row r="354">
      <c r="C354" s="5"/>
      <c r="D354" s="5"/>
    </row>
    <row r="355">
      <c r="C355" s="5"/>
      <c r="D355" s="5"/>
    </row>
    <row r="356">
      <c r="C356" s="5"/>
      <c r="D356" s="5"/>
    </row>
    <row r="357">
      <c r="C357" s="5"/>
      <c r="D357" s="5"/>
    </row>
    <row r="358">
      <c r="C358" s="5"/>
      <c r="D358" s="5"/>
    </row>
    <row r="359">
      <c r="C359" s="5"/>
      <c r="D359" s="5"/>
    </row>
    <row r="360">
      <c r="C360" s="5"/>
      <c r="D360" s="5"/>
    </row>
    <row r="361">
      <c r="C361" s="5"/>
      <c r="D361" s="5"/>
    </row>
    <row r="362">
      <c r="C362" s="5"/>
      <c r="D362" s="5"/>
    </row>
    <row r="363">
      <c r="C363" s="5"/>
      <c r="D363" s="5"/>
    </row>
    <row r="364">
      <c r="C364" s="5"/>
      <c r="D364" s="5"/>
    </row>
    <row r="365">
      <c r="C365" s="5"/>
      <c r="D365" s="5"/>
    </row>
    <row r="366">
      <c r="C366" s="5"/>
      <c r="D366" s="5"/>
    </row>
    <row r="367">
      <c r="C367" s="5"/>
      <c r="D367" s="5"/>
    </row>
    <row r="368">
      <c r="C368" s="5"/>
      <c r="D368" s="5"/>
    </row>
    <row r="369">
      <c r="C369" s="5"/>
      <c r="D369" s="5"/>
    </row>
    <row r="370">
      <c r="C370" s="5"/>
      <c r="D370" s="5"/>
    </row>
    <row r="371">
      <c r="C371" s="5"/>
      <c r="D371" s="5"/>
    </row>
    <row r="372">
      <c r="C372" s="5"/>
      <c r="D372" s="5"/>
    </row>
    <row r="373">
      <c r="C373" s="5"/>
      <c r="D373" s="5"/>
    </row>
    <row r="374">
      <c r="C374" s="5"/>
      <c r="D374" s="5"/>
    </row>
    <row r="375">
      <c r="C375" s="5"/>
      <c r="D375" s="5"/>
    </row>
    <row r="376">
      <c r="C376" s="5"/>
      <c r="D376" s="5"/>
    </row>
    <row r="377">
      <c r="C377" s="5"/>
      <c r="D377" s="5"/>
    </row>
    <row r="378">
      <c r="C378" s="5"/>
      <c r="D378" s="5"/>
    </row>
    <row r="379">
      <c r="C379" s="5"/>
      <c r="D379" s="5"/>
    </row>
    <row r="380">
      <c r="C380" s="5"/>
      <c r="D380" s="5"/>
    </row>
    <row r="381">
      <c r="C381" s="5"/>
      <c r="D381" s="5"/>
    </row>
    <row r="382">
      <c r="C382" s="5"/>
      <c r="D382" s="5"/>
    </row>
    <row r="383">
      <c r="C383" s="5"/>
      <c r="D383" s="5"/>
    </row>
    <row r="384">
      <c r="C384" s="5"/>
      <c r="D384" s="5"/>
    </row>
    <row r="385">
      <c r="C385" s="5"/>
      <c r="D385" s="5"/>
    </row>
    <row r="386">
      <c r="C386" s="5"/>
      <c r="D386" s="5"/>
    </row>
    <row r="387">
      <c r="C387" s="5"/>
      <c r="D387" s="5"/>
    </row>
    <row r="388">
      <c r="C388" s="5"/>
      <c r="D388" s="5"/>
    </row>
    <row r="389">
      <c r="C389" s="5"/>
      <c r="D389" s="5"/>
    </row>
    <row r="390">
      <c r="C390" s="5"/>
      <c r="D390" s="5"/>
    </row>
    <row r="391">
      <c r="C391" s="5"/>
      <c r="D391" s="5"/>
    </row>
    <row r="392">
      <c r="C392" s="5"/>
      <c r="D392" s="5"/>
    </row>
    <row r="393">
      <c r="C393" s="5"/>
      <c r="D393" s="5"/>
    </row>
    <row r="394">
      <c r="C394" s="5"/>
      <c r="D394" s="5"/>
    </row>
    <row r="395">
      <c r="C395" s="5"/>
      <c r="D395" s="5"/>
    </row>
    <row r="396">
      <c r="C396" s="5"/>
      <c r="D396" s="5"/>
    </row>
    <row r="397">
      <c r="C397" s="5"/>
      <c r="D397" s="5"/>
    </row>
    <row r="398">
      <c r="C398" s="5"/>
      <c r="D398" s="5"/>
    </row>
    <row r="399">
      <c r="C399" s="5"/>
      <c r="D399" s="5"/>
    </row>
    <row r="400">
      <c r="C400" s="5"/>
      <c r="D400" s="5"/>
    </row>
    <row r="401">
      <c r="C401" s="5"/>
      <c r="D401" s="5"/>
    </row>
    <row r="402">
      <c r="C402" s="5"/>
      <c r="D402" s="5"/>
    </row>
    <row r="403">
      <c r="C403" s="5"/>
      <c r="D403" s="5"/>
    </row>
    <row r="404">
      <c r="C404" s="5"/>
      <c r="D404" s="5"/>
    </row>
    <row r="405">
      <c r="C405" s="5"/>
      <c r="D405" s="5"/>
    </row>
    <row r="406">
      <c r="C406" s="5"/>
      <c r="D406" s="5"/>
    </row>
    <row r="407">
      <c r="C407" s="5"/>
      <c r="D407" s="5"/>
    </row>
    <row r="408">
      <c r="C408" s="5"/>
      <c r="D408" s="5"/>
    </row>
    <row r="409">
      <c r="C409" s="5"/>
      <c r="D409" s="5"/>
    </row>
    <row r="410">
      <c r="C410" s="5"/>
      <c r="D410" s="5"/>
    </row>
    <row r="411">
      <c r="C411" s="5"/>
      <c r="D411" s="5"/>
    </row>
    <row r="412">
      <c r="C412" s="5"/>
      <c r="D412" s="5"/>
    </row>
    <row r="413">
      <c r="C413" s="5"/>
      <c r="D413" s="5"/>
    </row>
    <row r="414">
      <c r="C414" s="5"/>
      <c r="D414" s="5"/>
    </row>
    <row r="415">
      <c r="C415" s="5"/>
      <c r="D415" s="5"/>
    </row>
    <row r="416">
      <c r="C416" s="5"/>
      <c r="D416" s="5"/>
    </row>
    <row r="417">
      <c r="C417" s="5"/>
      <c r="D417" s="5"/>
    </row>
    <row r="418">
      <c r="C418" s="5"/>
      <c r="D418" s="5"/>
    </row>
    <row r="419">
      <c r="C419" s="5"/>
      <c r="D419" s="5"/>
    </row>
    <row r="420">
      <c r="C420" s="5"/>
      <c r="D420" s="5"/>
    </row>
    <row r="421">
      <c r="C421" s="5"/>
      <c r="D421" s="5"/>
    </row>
    <row r="422">
      <c r="C422" s="5"/>
      <c r="D422" s="5"/>
    </row>
    <row r="423">
      <c r="C423" s="5"/>
      <c r="D423" s="5"/>
    </row>
    <row r="424">
      <c r="C424" s="5"/>
      <c r="D424" s="5"/>
    </row>
    <row r="425">
      <c r="C425" s="5"/>
      <c r="D425" s="5"/>
    </row>
    <row r="426">
      <c r="C426" s="5"/>
      <c r="D426" s="5"/>
    </row>
    <row r="427">
      <c r="C427" s="5"/>
      <c r="D427" s="5"/>
    </row>
    <row r="428">
      <c r="C428" s="5"/>
      <c r="D428" s="5"/>
    </row>
    <row r="429">
      <c r="C429" s="5"/>
      <c r="D429" s="5"/>
    </row>
    <row r="430">
      <c r="C430" s="5"/>
      <c r="D430" s="5"/>
    </row>
    <row r="431">
      <c r="C431" s="5"/>
      <c r="D431" s="5"/>
    </row>
    <row r="432">
      <c r="C432" s="5"/>
      <c r="D432" s="5"/>
    </row>
    <row r="433">
      <c r="C433" s="5"/>
      <c r="D433" s="5"/>
    </row>
    <row r="434">
      <c r="C434" s="5"/>
      <c r="D434" s="5"/>
    </row>
    <row r="435">
      <c r="C435" s="5"/>
      <c r="D435" s="5"/>
    </row>
    <row r="436">
      <c r="C436" s="5"/>
      <c r="D436" s="5"/>
    </row>
    <row r="437">
      <c r="C437" s="5"/>
      <c r="D437" s="5"/>
    </row>
    <row r="438">
      <c r="C438" s="5"/>
      <c r="D438" s="5"/>
    </row>
    <row r="439">
      <c r="C439" s="5"/>
      <c r="D439" s="5"/>
    </row>
    <row r="440">
      <c r="C440" s="5"/>
      <c r="D440" s="5"/>
    </row>
    <row r="441">
      <c r="C441" s="5"/>
      <c r="D441" s="5"/>
    </row>
    <row r="442">
      <c r="C442" s="5"/>
      <c r="D442" s="5"/>
    </row>
    <row r="443">
      <c r="C443" s="5"/>
      <c r="D443" s="5"/>
    </row>
    <row r="444">
      <c r="C444" s="5"/>
      <c r="D444" s="5"/>
    </row>
    <row r="445">
      <c r="C445" s="5"/>
      <c r="D445" s="5"/>
    </row>
    <row r="446">
      <c r="C446" s="5"/>
      <c r="D446" s="5"/>
    </row>
    <row r="447">
      <c r="C447" s="5"/>
      <c r="D447" s="5"/>
    </row>
    <row r="448">
      <c r="C448" s="5"/>
      <c r="D448" s="5"/>
    </row>
    <row r="449">
      <c r="C449" s="5"/>
      <c r="D449" s="5"/>
    </row>
    <row r="450">
      <c r="C450" s="5"/>
      <c r="D450" s="5"/>
    </row>
    <row r="451">
      <c r="C451" s="5"/>
      <c r="D451" s="5"/>
    </row>
    <row r="452">
      <c r="C452" s="5"/>
      <c r="D452" s="5"/>
    </row>
    <row r="453">
      <c r="C453" s="5"/>
      <c r="D453" s="5"/>
    </row>
    <row r="454">
      <c r="C454" s="5"/>
      <c r="D454" s="5"/>
    </row>
    <row r="455">
      <c r="C455" s="5"/>
      <c r="D455" s="5"/>
    </row>
    <row r="456">
      <c r="C456" s="5"/>
      <c r="D456" s="5"/>
    </row>
    <row r="457">
      <c r="C457" s="5"/>
      <c r="D457" s="5"/>
    </row>
    <row r="458">
      <c r="C458" s="5"/>
      <c r="D458" s="5"/>
    </row>
    <row r="459">
      <c r="C459" s="5"/>
      <c r="D459" s="5"/>
    </row>
    <row r="460">
      <c r="C460" s="5"/>
      <c r="D460" s="5"/>
    </row>
    <row r="461">
      <c r="C461" s="5"/>
      <c r="D461" s="5"/>
    </row>
    <row r="462">
      <c r="C462" s="5"/>
      <c r="D462" s="5"/>
    </row>
    <row r="463">
      <c r="C463" s="5"/>
      <c r="D463" s="5"/>
    </row>
    <row r="464">
      <c r="C464" s="5"/>
      <c r="D464" s="5"/>
    </row>
    <row r="465">
      <c r="C465" s="5"/>
      <c r="D465" s="5"/>
    </row>
    <row r="466">
      <c r="C466" s="5"/>
      <c r="D466" s="5"/>
    </row>
    <row r="467">
      <c r="C467" s="5"/>
      <c r="D467" s="5"/>
    </row>
    <row r="468">
      <c r="C468" s="5"/>
      <c r="D468" s="5"/>
    </row>
    <row r="469">
      <c r="C469" s="5"/>
      <c r="D469" s="5"/>
    </row>
    <row r="470">
      <c r="C470" s="5"/>
      <c r="D470" s="5"/>
    </row>
    <row r="471">
      <c r="C471" s="5"/>
      <c r="D471" s="5"/>
    </row>
    <row r="472">
      <c r="C472" s="5"/>
      <c r="D472" s="5"/>
    </row>
    <row r="473">
      <c r="C473" s="5"/>
      <c r="D473" s="5"/>
    </row>
    <row r="474">
      <c r="C474" s="5"/>
      <c r="D474" s="5"/>
    </row>
    <row r="475">
      <c r="C475" s="5"/>
      <c r="D475" s="5"/>
    </row>
    <row r="476">
      <c r="C476" s="5"/>
      <c r="D476" s="5"/>
    </row>
    <row r="477">
      <c r="C477" s="5"/>
      <c r="D477" s="5"/>
    </row>
    <row r="478">
      <c r="C478" s="5"/>
      <c r="D478" s="5"/>
    </row>
    <row r="479">
      <c r="C479" s="5"/>
      <c r="D479" s="5"/>
    </row>
    <row r="480">
      <c r="C480" s="5"/>
      <c r="D480" s="5"/>
    </row>
    <row r="481">
      <c r="C481" s="5"/>
      <c r="D481" s="5"/>
    </row>
    <row r="482">
      <c r="C482" s="5"/>
      <c r="D482" s="5"/>
    </row>
    <row r="483">
      <c r="C483" s="5"/>
      <c r="D483" s="5"/>
    </row>
    <row r="484">
      <c r="C484" s="5"/>
      <c r="D484" s="5"/>
    </row>
    <row r="485">
      <c r="C485" s="5"/>
      <c r="D485" s="5"/>
    </row>
    <row r="486">
      <c r="C486" s="5"/>
      <c r="D486" s="5"/>
    </row>
    <row r="487">
      <c r="C487" s="5"/>
      <c r="D487" s="5"/>
    </row>
    <row r="488">
      <c r="C488" s="5"/>
      <c r="D488" s="5"/>
    </row>
    <row r="489">
      <c r="C489" s="5"/>
      <c r="D489" s="5"/>
    </row>
    <row r="490">
      <c r="C490" s="5"/>
      <c r="D490" s="5"/>
    </row>
    <row r="491">
      <c r="C491" s="5"/>
      <c r="D491" s="5"/>
    </row>
    <row r="492">
      <c r="C492" s="5"/>
      <c r="D492" s="5"/>
    </row>
    <row r="493">
      <c r="C493" s="5"/>
      <c r="D493" s="5"/>
    </row>
    <row r="494">
      <c r="C494" s="5"/>
      <c r="D494" s="5"/>
    </row>
    <row r="495">
      <c r="C495" s="5"/>
      <c r="D495" s="5"/>
    </row>
    <row r="496">
      <c r="C496" s="5"/>
      <c r="D496" s="5"/>
    </row>
    <row r="497">
      <c r="C497" s="5"/>
      <c r="D497" s="5"/>
    </row>
    <row r="498">
      <c r="C498" s="5"/>
      <c r="D498" s="5"/>
    </row>
    <row r="499">
      <c r="C499" s="5"/>
      <c r="D499" s="5"/>
    </row>
    <row r="500">
      <c r="C500" s="5"/>
      <c r="D500" s="5"/>
    </row>
    <row r="501">
      <c r="C501" s="5"/>
      <c r="D501" s="5"/>
    </row>
    <row r="502">
      <c r="C502" s="5"/>
      <c r="D502" s="5"/>
    </row>
    <row r="503">
      <c r="C503" s="5"/>
      <c r="D503" s="5"/>
    </row>
    <row r="504">
      <c r="C504" s="5"/>
      <c r="D504" s="5"/>
    </row>
    <row r="505">
      <c r="C505" s="5"/>
      <c r="D505" s="5"/>
    </row>
    <row r="506">
      <c r="C506" s="5"/>
      <c r="D506" s="5"/>
    </row>
    <row r="507">
      <c r="C507" s="5"/>
      <c r="D507" s="5"/>
    </row>
    <row r="508">
      <c r="C508" s="5"/>
      <c r="D508" s="5"/>
    </row>
    <row r="509">
      <c r="C509" s="5"/>
      <c r="D509" s="5"/>
    </row>
    <row r="510">
      <c r="C510" s="5"/>
      <c r="D510" s="5"/>
    </row>
    <row r="511">
      <c r="C511" s="5"/>
      <c r="D511" s="5"/>
    </row>
    <row r="512">
      <c r="C512" s="5"/>
      <c r="D512" s="5"/>
    </row>
    <row r="513">
      <c r="C513" s="5"/>
      <c r="D513" s="5"/>
    </row>
    <row r="514">
      <c r="C514" s="5"/>
      <c r="D514" s="5"/>
    </row>
    <row r="515">
      <c r="C515" s="5"/>
      <c r="D515" s="5"/>
    </row>
    <row r="516">
      <c r="C516" s="5"/>
      <c r="D516" s="5"/>
    </row>
    <row r="517">
      <c r="C517" s="5"/>
      <c r="D517" s="5"/>
    </row>
    <row r="518">
      <c r="C518" s="5"/>
      <c r="D518" s="5"/>
    </row>
    <row r="519">
      <c r="C519" s="5"/>
      <c r="D519" s="5"/>
    </row>
    <row r="520">
      <c r="C520" s="5"/>
      <c r="D520" s="5"/>
    </row>
    <row r="521">
      <c r="C521" s="5"/>
      <c r="D521" s="5"/>
    </row>
    <row r="522">
      <c r="C522" s="5"/>
      <c r="D522" s="5"/>
    </row>
    <row r="523">
      <c r="C523" s="5"/>
      <c r="D523" s="5"/>
    </row>
    <row r="524">
      <c r="C524" s="5"/>
      <c r="D524" s="5"/>
    </row>
    <row r="525">
      <c r="C525" s="5"/>
      <c r="D525" s="5"/>
    </row>
    <row r="526">
      <c r="C526" s="5"/>
      <c r="D526" s="5"/>
    </row>
    <row r="527">
      <c r="C527" s="5"/>
      <c r="D527" s="5"/>
    </row>
    <row r="528">
      <c r="C528" s="5"/>
      <c r="D528" s="5"/>
    </row>
    <row r="529">
      <c r="C529" s="5"/>
      <c r="D529" s="5"/>
    </row>
    <row r="530">
      <c r="C530" s="5"/>
      <c r="D530" s="5"/>
    </row>
    <row r="531">
      <c r="C531" s="5"/>
      <c r="D531" s="5"/>
    </row>
    <row r="532">
      <c r="C532" s="5"/>
      <c r="D532" s="5"/>
    </row>
    <row r="533">
      <c r="C533" s="5"/>
      <c r="D533" s="5"/>
    </row>
    <row r="534">
      <c r="C534" s="5"/>
      <c r="D534" s="5"/>
    </row>
    <row r="535">
      <c r="C535" s="5"/>
      <c r="D535" s="5"/>
    </row>
    <row r="536">
      <c r="C536" s="5"/>
      <c r="D536" s="5"/>
    </row>
    <row r="537">
      <c r="C537" s="5"/>
      <c r="D537" s="5"/>
    </row>
    <row r="538">
      <c r="C538" s="5"/>
      <c r="D538" s="5"/>
    </row>
    <row r="539">
      <c r="C539" s="5"/>
      <c r="D539" s="5"/>
    </row>
    <row r="540">
      <c r="C540" s="5"/>
      <c r="D540" s="5"/>
    </row>
    <row r="541">
      <c r="C541" s="5"/>
      <c r="D541" s="5"/>
    </row>
    <row r="542">
      <c r="C542" s="5"/>
      <c r="D542" s="5"/>
    </row>
    <row r="543">
      <c r="C543" s="5"/>
      <c r="D543" s="5"/>
    </row>
    <row r="544">
      <c r="C544" s="5"/>
      <c r="D544" s="5"/>
    </row>
    <row r="545">
      <c r="C545" s="5"/>
      <c r="D545" s="5"/>
    </row>
    <row r="546">
      <c r="C546" s="5"/>
      <c r="D546" s="5"/>
    </row>
    <row r="547">
      <c r="C547" s="5"/>
      <c r="D547" s="5"/>
    </row>
    <row r="548">
      <c r="C548" s="5"/>
      <c r="D548" s="5"/>
    </row>
    <row r="549">
      <c r="C549" s="5"/>
      <c r="D549" s="5"/>
    </row>
    <row r="550">
      <c r="C550" s="5"/>
      <c r="D550" s="5"/>
    </row>
    <row r="551">
      <c r="C551" s="5"/>
      <c r="D551" s="5"/>
    </row>
    <row r="552">
      <c r="C552" s="5"/>
      <c r="D552" s="5"/>
    </row>
    <row r="553">
      <c r="C553" s="5"/>
      <c r="D553" s="5"/>
    </row>
    <row r="554">
      <c r="C554" s="5"/>
      <c r="D554" s="5"/>
    </row>
    <row r="555">
      <c r="C555" s="5"/>
      <c r="D555" s="5"/>
    </row>
    <row r="556">
      <c r="C556" s="5"/>
      <c r="D556" s="5"/>
    </row>
    <row r="557">
      <c r="C557" s="5"/>
      <c r="D557" s="5"/>
    </row>
    <row r="558">
      <c r="C558" s="5"/>
      <c r="D558" s="5"/>
    </row>
    <row r="559">
      <c r="C559" s="5"/>
      <c r="D559" s="5"/>
    </row>
    <row r="560">
      <c r="C560" s="5"/>
      <c r="D560" s="5"/>
    </row>
    <row r="561">
      <c r="C561" s="5"/>
      <c r="D561" s="5"/>
    </row>
    <row r="562">
      <c r="C562" s="5"/>
      <c r="D562" s="5"/>
    </row>
    <row r="563">
      <c r="C563" s="5"/>
      <c r="D563" s="5"/>
    </row>
    <row r="564">
      <c r="C564" s="5"/>
      <c r="D564" s="5"/>
    </row>
    <row r="565">
      <c r="C565" s="5"/>
      <c r="D565" s="5"/>
    </row>
    <row r="566">
      <c r="C566" s="5"/>
      <c r="D566" s="5"/>
    </row>
    <row r="567">
      <c r="C567" s="5"/>
      <c r="D567" s="5"/>
    </row>
    <row r="568">
      <c r="C568" s="5"/>
      <c r="D568" s="5"/>
    </row>
    <row r="569">
      <c r="C569" s="5"/>
      <c r="D569" s="5"/>
    </row>
    <row r="570">
      <c r="C570" s="5"/>
      <c r="D570" s="5"/>
    </row>
    <row r="571">
      <c r="C571" s="5"/>
      <c r="D571" s="5"/>
    </row>
    <row r="572">
      <c r="C572" s="5"/>
      <c r="D572" s="5"/>
    </row>
    <row r="573">
      <c r="C573" s="5"/>
      <c r="D573" s="5"/>
    </row>
    <row r="574">
      <c r="C574" s="5"/>
      <c r="D574" s="5"/>
    </row>
    <row r="575">
      <c r="C575" s="5"/>
      <c r="D575" s="5"/>
    </row>
    <row r="576">
      <c r="C576" s="5"/>
      <c r="D576" s="5"/>
    </row>
    <row r="577">
      <c r="C577" s="5"/>
      <c r="D577" s="5"/>
    </row>
    <row r="578">
      <c r="C578" s="5"/>
      <c r="D578" s="5"/>
    </row>
    <row r="579">
      <c r="C579" s="5"/>
      <c r="D579" s="5"/>
    </row>
    <row r="580">
      <c r="C580" s="5"/>
      <c r="D580" s="5"/>
    </row>
    <row r="581">
      <c r="C581" s="5"/>
      <c r="D581" s="5"/>
    </row>
    <row r="582">
      <c r="C582" s="5"/>
      <c r="D582" s="5"/>
    </row>
    <row r="583">
      <c r="C583" s="5"/>
      <c r="D583" s="5"/>
    </row>
    <row r="584">
      <c r="C584" s="5"/>
      <c r="D584" s="5"/>
    </row>
    <row r="585">
      <c r="C585" s="5"/>
      <c r="D585" s="5"/>
    </row>
    <row r="586">
      <c r="C586" s="5"/>
      <c r="D586" s="5"/>
    </row>
    <row r="587">
      <c r="C587" s="5"/>
      <c r="D587" s="5"/>
    </row>
    <row r="588">
      <c r="C588" s="5"/>
      <c r="D588" s="5"/>
    </row>
    <row r="589">
      <c r="C589" s="5"/>
      <c r="D589" s="5"/>
    </row>
    <row r="590">
      <c r="C590" s="5"/>
      <c r="D590" s="5"/>
    </row>
    <row r="591">
      <c r="C591" s="5"/>
      <c r="D591" s="5"/>
    </row>
    <row r="592">
      <c r="C592" s="5"/>
      <c r="D592" s="5"/>
    </row>
    <row r="593">
      <c r="C593" s="5"/>
      <c r="D593" s="5"/>
    </row>
    <row r="594">
      <c r="C594" s="5"/>
      <c r="D594" s="5"/>
    </row>
    <row r="595">
      <c r="C595" s="5"/>
      <c r="D595" s="5"/>
    </row>
    <row r="596">
      <c r="C596" s="5"/>
      <c r="D596" s="5"/>
    </row>
    <row r="597">
      <c r="C597" s="5"/>
      <c r="D597" s="5"/>
    </row>
    <row r="598">
      <c r="C598" s="5"/>
      <c r="D598" s="5"/>
    </row>
    <row r="599">
      <c r="C599" s="5"/>
      <c r="D599" s="5"/>
    </row>
    <row r="600">
      <c r="C600" s="5"/>
      <c r="D600" s="5"/>
    </row>
    <row r="601">
      <c r="C601" s="5"/>
      <c r="D601" s="5"/>
    </row>
    <row r="602">
      <c r="C602" s="5"/>
      <c r="D602" s="5"/>
    </row>
    <row r="603">
      <c r="C603" s="5"/>
      <c r="D603" s="5"/>
    </row>
    <row r="604">
      <c r="C604" s="5"/>
      <c r="D604" s="5"/>
    </row>
    <row r="605">
      <c r="C605" s="5"/>
      <c r="D605" s="5"/>
    </row>
    <row r="606">
      <c r="C606" s="5"/>
      <c r="D606" s="5"/>
    </row>
    <row r="607">
      <c r="C607" s="5"/>
      <c r="D607" s="5"/>
    </row>
    <row r="608">
      <c r="C608" s="5"/>
      <c r="D608" s="5"/>
    </row>
    <row r="609">
      <c r="C609" s="5"/>
      <c r="D609" s="5"/>
    </row>
    <row r="610">
      <c r="C610" s="5"/>
      <c r="D610" s="5"/>
    </row>
    <row r="611">
      <c r="C611" s="5"/>
      <c r="D611" s="5"/>
    </row>
    <row r="612">
      <c r="C612" s="5"/>
      <c r="D612" s="5"/>
    </row>
    <row r="613">
      <c r="C613" s="5"/>
      <c r="D613" s="5"/>
    </row>
    <row r="614">
      <c r="C614" s="5"/>
      <c r="D614" s="5"/>
    </row>
    <row r="615">
      <c r="C615" s="5"/>
      <c r="D615" s="5"/>
    </row>
    <row r="616">
      <c r="C616" s="5"/>
      <c r="D616" s="5"/>
    </row>
    <row r="617">
      <c r="C617" s="5"/>
      <c r="D617" s="5"/>
    </row>
    <row r="618">
      <c r="C618" s="5"/>
      <c r="D618" s="5"/>
    </row>
    <row r="619">
      <c r="C619" s="5"/>
      <c r="D619" s="5"/>
    </row>
    <row r="620">
      <c r="C620" s="5"/>
      <c r="D620" s="5"/>
    </row>
    <row r="621">
      <c r="C621" s="5"/>
      <c r="D621" s="5"/>
    </row>
    <row r="622">
      <c r="C622" s="5"/>
      <c r="D622" s="5"/>
    </row>
    <row r="623">
      <c r="C623" s="5"/>
      <c r="D623" s="5"/>
    </row>
    <row r="624">
      <c r="C624" s="5"/>
      <c r="D624" s="5"/>
    </row>
    <row r="625">
      <c r="C625" s="5"/>
      <c r="D625" s="5"/>
    </row>
    <row r="626">
      <c r="C626" s="5"/>
      <c r="D626" s="5"/>
    </row>
    <row r="627">
      <c r="C627" s="5"/>
      <c r="D627" s="5"/>
    </row>
    <row r="628">
      <c r="C628" s="5"/>
      <c r="D628" s="5"/>
    </row>
    <row r="629">
      <c r="C629" s="5"/>
      <c r="D629" s="5"/>
    </row>
    <row r="630">
      <c r="C630" s="5"/>
      <c r="D630" s="5"/>
    </row>
    <row r="631">
      <c r="C631" s="5"/>
      <c r="D631" s="5"/>
    </row>
    <row r="632">
      <c r="C632" s="5"/>
      <c r="D632" s="5"/>
    </row>
    <row r="633">
      <c r="C633" s="5"/>
      <c r="D633" s="5"/>
    </row>
    <row r="634">
      <c r="C634" s="5"/>
      <c r="D634" s="5"/>
    </row>
    <row r="635">
      <c r="C635" s="5"/>
      <c r="D635" s="5"/>
    </row>
    <row r="636">
      <c r="C636" s="5"/>
      <c r="D636" s="5"/>
    </row>
    <row r="637">
      <c r="C637" s="5"/>
      <c r="D637" s="5"/>
    </row>
    <row r="638">
      <c r="C638" s="5"/>
      <c r="D638" s="5"/>
    </row>
    <row r="639">
      <c r="C639" s="5"/>
      <c r="D639" s="5"/>
    </row>
    <row r="640">
      <c r="C640" s="5"/>
      <c r="D640" s="5"/>
    </row>
    <row r="641">
      <c r="C641" s="5"/>
      <c r="D641" s="5"/>
    </row>
    <row r="642">
      <c r="C642" s="5"/>
      <c r="D642" s="5"/>
    </row>
    <row r="643">
      <c r="C643" s="5"/>
      <c r="D643" s="5"/>
    </row>
    <row r="644">
      <c r="C644" s="5"/>
      <c r="D644" s="5"/>
    </row>
    <row r="645">
      <c r="C645" s="5"/>
      <c r="D645" s="5"/>
    </row>
    <row r="646">
      <c r="C646" s="5"/>
      <c r="D646" s="5"/>
    </row>
    <row r="647">
      <c r="C647" s="5"/>
      <c r="D647" s="5"/>
    </row>
    <row r="648">
      <c r="C648" s="5"/>
      <c r="D648" s="5"/>
    </row>
    <row r="649">
      <c r="C649" s="5"/>
      <c r="D649" s="5"/>
    </row>
    <row r="650">
      <c r="C650" s="5"/>
      <c r="D650" s="5"/>
    </row>
    <row r="651">
      <c r="C651" s="5"/>
      <c r="D651" s="5"/>
    </row>
    <row r="652">
      <c r="C652" s="5"/>
      <c r="D652" s="5"/>
    </row>
    <row r="653">
      <c r="C653" s="5"/>
      <c r="D653" s="5"/>
    </row>
    <row r="654">
      <c r="C654" s="5"/>
      <c r="D654" s="5"/>
    </row>
    <row r="655">
      <c r="C655" s="5"/>
      <c r="D655" s="5"/>
    </row>
    <row r="656">
      <c r="C656" s="5"/>
      <c r="D656" s="5"/>
    </row>
    <row r="657">
      <c r="C657" s="5"/>
      <c r="D657" s="5"/>
    </row>
    <row r="658">
      <c r="C658" s="5"/>
      <c r="D658" s="5"/>
    </row>
    <row r="659">
      <c r="C659" s="5"/>
      <c r="D659" s="5"/>
    </row>
    <row r="660">
      <c r="C660" s="5"/>
      <c r="D660" s="5"/>
    </row>
    <row r="661">
      <c r="C661" s="5"/>
      <c r="D661" s="5"/>
    </row>
    <row r="662">
      <c r="C662" s="5"/>
      <c r="D662" s="5"/>
    </row>
    <row r="663">
      <c r="C663" s="5"/>
      <c r="D663" s="5"/>
    </row>
    <row r="664">
      <c r="C664" s="5"/>
      <c r="D664" s="5"/>
    </row>
    <row r="665">
      <c r="C665" s="5"/>
      <c r="D665" s="5"/>
    </row>
    <row r="666">
      <c r="C666" s="5"/>
      <c r="D666" s="5"/>
    </row>
    <row r="667">
      <c r="C667" s="5"/>
      <c r="D667" s="5"/>
    </row>
    <row r="668">
      <c r="C668" s="5"/>
      <c r="D668" s="5"/>
    </row>
    <row r="669">
      <c r="C669" s="5"/>
      <c r="D669" s="5"/>
    </row>
    <row r="670">
      <c r="C670" s="5"/>
      <c r="D670" s="5"/>
    </row>
    <row r="671">
      <c r="C671" s="5"/>
      <c r="D671" s="5"/>
    </row>
    <row r="672">
      <c r="C672" s="5"/>
      <c r="D672" s="5"/>
    </row>
    <row r="673">
      <c r="C673" s="5"/>
      <c r="D673" s="5"/>
    </row>
    <row r="674">
      <c r="C674" s="5"/>
      <c r="D674" s="5"/>
    </row>
    <row r="675">
      <c r="C675" s="5"/>
      <c r="D675" s="5"/>
    </row>
    <row r="676">
      <c r="C676" s="5"/>
      <c r="D676" s="5"/>
    </row>
    <row r="677">
      <c r="C677" s="5"/>
      <c r="D677" s="5"/>
    </row>
    <row r="678">
      <c r="C678" s="5"/>
      <c r="D678" s="5"/>
    </row>
    <row r="679">
      <c r="C679" s="5"/>
      <c r="D679" s="5"/>
    </row>
    <row r="680">
      <c r="C680" s="5"/>
      <c r="D680" s="5"/>
    </row>
    <row r="681">
      <c r="C681" s="5"/>
      <c r="D681" s="5"/>
    </row>
    <row r="682">
      <c r="C682" s="5"/>
      <c r="D682" s="5"/>
    </row>
    <row r="683">
      <c r="C683" s="5"/>
      <c r="D683" s="5"/>
    </row>
    <row r="684">
      <c r="C684" s="5"/>
      <c r="D684" s="5"/>
    </row>
    <row r="685">
      <c r="C685" s="5"/>
      <c r="D685" s="5"/>
    </row>
    <row r="686">
      <c r="C686" s="5"/>
      <c r="D686" s="5"/>
    </row>
    <row r="687">
      <c r="C687" s="5"/>
      <c r="D687" s="5"/>
    </row>
    <row r="688">
      <c r="C688" s="5"/>
      <c r="D688" s="5"/>
    </row>
    <row r="689">
      <c r="C689" s="5"/>
      <c r="D689" s="5"/>
    </row>
    <row r="690">
      <c r="C690" s="5"/>
      <c r="D690" s="5"/>
    </row>
  </sheetData>
  <conditionalFormatting sqref="C1:C690">
    <cfRule type="containsText" dxfId="0" priority="1" operator="containsText" text="yes">
      <formula>NOT(ISERROR(SEARCH(("yes"),(C1))))</formula>
    </cfRule>
  </conditionalFormatting>
  <conditionalFormatting sqref="C1:C690">
    <cfRule type="containsText" dxfId="1" priority="2" operator="containsText" text="decent">
      <formula>NOT(ISERROR(SEARCH(("decent"),(C1))))</formula>
    </cfRule>
  </conditionalFormatting>
  <conditionalFormatting sqref="C1:C690">
    <cfRule type="containsText" dxfId="2" priority="3" operator="containsText" text="maybe">
      <formula>NOT(ISERROR(SEARCH(("maybe"),(C1))))</formula>
    </cfRule>
  </conditionalFormatting>
  <conditionalFormatting sqref="C1:C690">
    <cfRule type="containsText" dxfId="3" priority="4" operator="containsText" text="no">
      <formula>NOT(ISERROR(SEARCH(("no"),(C1))))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2" max="2" width="17.25"/>
    <col customWidth="1" min="3" max="4" width="20.88"/>
  </cols>
  <sheetData>
    <row r="1">
      <c r="A1" s="1" t="s">
        <v>0</v>
      </c>
      <c r="B1" s="1" t="s">
        <v>1</v>
      </c>
      <c r="C1" s="3" t="s">
        <v>3</v>
      </c>
      <c r="D1" s="3" t="s">
        <v>4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</row>
    <row r="2">
      <c r="A2" s="1" t="s">
        <v>430</v>
      </c>
      <c r="B2" s="1" t="s">
        <v>431</v>
      </c>
      <c r="C2" s="3" t="s">
        <v>95</v>
      </c>
      <c r="D2" s="3"/>
      <c r="E2" s="1" t="str">
        <f>IFERROR(__xludf.DUMMYFUNCTION("IFERROR(REGEXEXTRACT(A2, ""res(269|122)""), ""none"")"),"269")</f>
        <v>269</v>
      </c>
      <c r="F2" s="1">
        <v>-15.73021</v>
      </c>
      <c r="G2" s="1">
        <v>8.0</v>
      </c>
      <c r="H2" s="1">
        <v>2.0</v>
      </c>
      <c r="I2" s="1">
        <v>0.25</v>
      </c>
      <c r="J2" s="1">
        <v>2.0</v>
      </c>
      <c r="K2" s="1">
        <v>-0.653344</v>
      </c>
      <c r="L2" s="1">
        <v>100.0</v>
      </c>
      <c r="M2" s="1">
        <v>0.0</v>
      </c>
      <c r="N2" s="1">
        <v>0.0</v>
      </c>
      <c r="O2" s="1">
        <v>95.866446</v>
      </c>
    </row>
    <row r="3">
      <c r="A3" s="1" t="s">
        <v>257</v>
      </c>
      <c r="B3" s="1" t="s">
        <v>117</v>
      </c>
      <c r="C3" s="3" t="s">
        <v>24</v>
      </c>
      <c r="D3" s="3"/>
      <c r="E3" s="1" t="str">
        <f>IFERROR(__xludf.DUMMYFUNCTION("IFERROR(REGEXEXTRACT(A3, ""res(269|122)""), ""none"")"),"269")</f>
        <v>269</v>
      </c>
      <c r="F3" s="1">
        <v>-16.620105</v>
      </c>
      <c r="G3" s="1">
        <v>12.0</v>
      </c>
      <c r="H3" s="1">
        <v>3.0</v>
      </c>
      <c r="I3" s="1">
        <v>0.416667</v>
      </c>
      <c r="J3" s="1">
        <v>2.0</v>
      </c>
      <c r="K3" s="1">
        <v>-0.664324</v>
      </c>
      <c r="L3" s="1">
        <v>100.0</v>
      </c>
      <c r="M3" s="1">
        <v>0.0</v>
      </c>
      <c r="N3" s="1">
        <v>0.0</v>
      </c>
      <c r="O3" s="1">
        <v>100.132238</v>
      </c>
    </row>
    <row r="4">
      <c r="A4" s="1" t="s">
        <v>258</v>
      </c>
      <c r="B4" s="1" t="s">
        <v>259</v>
      </c>
      <c r="C4" s="3" t="s">
        <v>24</v>
      </c>
      <c r="D4" s="3" t="s">
        <v>407</v>
      </c>
      <c r="E4" s="1" t="str">
        <f>IFERROR(__xludf.DUMMYFUNCTION("IFERROR(REGEXEXTRACT(A4, ""res(269|122)""), ""none"")"),"269")</f>
        <v>269</v>
      </c>
      <c r="F4" s="1">
        <v>-16.020646</v>
      </c>
      <c r="G4" s="1">
        <v>9.0</v>
      </c>
      <c r="H4" s="1">
        <v>1.0</v>
      </c>
      <c r="I4" s="1">
        <v>0.333333</v>
      </c>
      <c r="J4" s="1">
        <v>3.0</v>
      </c>
      <c r="K4" s="1">
        <v>-2.057194</v>
      </c>
      <c r="L4" s="1">
        <v>100.0</v>
      </c>
      <c r="M4" s="1">
        <v>0.0</v>
      </c>
      <c r="N4" s="1">
        <v>0.0</v>
      </c>
      <c r="O4" s="1">
        <v>95.255493</v>
      </c>
    </row>
    <row r="5">
      <c r="A5" s="1" t="s">
        <v>260</v>
      </c>
      <c r="B5" s="1" t="s">
        <v>261</v>
      </c>
      <c r="C5" s="3" t="s">
        <v>24</v>
      </c>
      <c r="D5" s="3" t="s">
        <v>408</v>
      </c>
      <c r="E5" s="1" t="str">
        <f>IFERROR(__xludf.DUMMYFUNCTION("IFERROR(REGEXEXTRACT(A5, ""res(269|122)""), ""none"")"),"269")</f>
        <v>269</v>
      </c>
      <c r="F5" s="1">
        <v>-16.416697</v>
      </c>
      <c r="G5" s="1">
        <v>9.0</v>
      </c>
      <c r="H5" s="1">
        <v>1.0</v>
      </c>
      <c r="I5" s="1">
        <v>0.333333</v>
      </c>
      <c r="J5" s="1">
        <v>3.0</v>
      </c>
      <c r="K5" s="1">
        <v>-2.107731</v>
      </c>
      <c r="L5" s="1">
        <v>100.0</v>
      </c>
      <c r="M5" s="1">
        <v>0.0</v>
      </c>
      <c r="N5" s="1">
        <v>0.0</v>
      </c>
      <c r="O5" s="1">
        <v>94.808905</v>
      </c>
    </row>
    <row r="6">
      <c r="A6" s="1" t="s">
        <v>432</v>
      </c>
      <c r="B6" s="1" t="s">
        <v>433</v>
      </c>
      <c r="C6" s="3" t="s">
        <v>95</v>
      </c>
      <c r="D6" s="3"/>
      <c r="E6" s="1" t="str">
        <f>IFERROR(__xludf.DUMMYFUNCTION("IFERROR(REGEXEXTRACT(A6, ""res(269|122)""), ""none"")"),"269")</f>
        <v>269</v>
      </c>
      <c r="F6" s="1">
        <v>-15.147452</v>
      </c>
      <c r="G6" s="1">
        <v>8.0</v>
      </c>
      <c r="H6" s="1">
        <v>1.0</v>
      </c>
      <c r="I6" s="1">
        <v>0.25</v>
      </c>
      <c r="J6" s="1">
        <v>2.0</v>
      </c>
      <c r="K6" s="1">
        <v>-0.294954999999999</v>
      </c>
      <c r="L6" s="1">
        <v>100.0</v>
      </c>
      <c r="M6" s="1">
        <v>0.0</v>
      </c>
      <c r="N6" s="1">
        <v>0.0</v>
      </c>
      <c r="O6" s="1">
        <v>95.807593</v>
      </c>
    </row>
    <row r="7">
      <c r="A7" s="1" t="s">
        <v>434</v>
      </c>
      <c r="B7" s="1" t="s">
        <v>435</v>
      </c>
      <c r="C7" s="3" t="s">
        <v>95</v>
      </c>
      <c r="D7" s="3"/>
      <c r="E7" s="1" t="str">
        <f>IFERROR(__xludf.DUMMYFUNCTION("IFERROR(REGEXEXTRACT(A7, ""res(269|122)""), ""none"")"),"269")</f>
        <v>269</v>
      </c>
      <c r="F7" s="1">
        <v>-15.389501</v>
      </c>
      <c r="G7" s="1">
        <v>6.0</v>
      </c>
      <c r="H7" s="1">
        <v>2.0</v>
      </c>
      <c r="I7" s="1">
        <v>0.333333</v>
      </c>
      <c r="J7" s="1">
        <v>2.0</v>
      </c>
      <c r="K7" s="1">
        <v>-0.471907</v>
      </c>
      <c r="L7" s="1">
        <v>100.0</v>
      </c>
      <c r="M7" s="1">
        <v>0.0</v>
      </c>
      <c r="N7" s="1">
        <v>0.0</v>
      </c>
      <c r="O7" s="1">
        <v>94.471925</v>
      </c>
    </row>
    <row r="8">
      <c r="A8" s="1" t="s">
        <v>262</v>
      </c>
      <c r="B8" s="1" t="s">
        <v>74</v>
      </c>
      <c r="C8" s="3" t="s">
        <v>33</v>
      </c>
      <c r="D8" s="3"/>
      <c r="E8" s="1" t="str">
        <f>IFERROR(__xludf.DUMMYFUNCTION("IFERROR(REGEXEXTRACT(A8, ""res(269|122)""), ""none"")"),"269")</f>
        <v>269</v>
      </c>
      <c r="F8" s="1">
        <v>-15.124595</v>
      </c>
      <c r="G8" s="1">
        <v>8.0</v>
      </c>
      <c r="H8" s="1">
        <v>5.0</v>
      </c>
      <c r="I8" s="1">
        <v>0.375</v>
      </c>
      <c r="J8" s="1">
        <v>2.0</v>
      </c>
      <c r="K8" s="1">
        <v>-0.84012</v>
      </c>
      <c r="L8" s="1">
        <v>100.0</v>
      </c>
      <c r="M8" s="1">
        <v>0.0</v>
      </c>
      <c r="N8" s="1">
        <v>0.0</v>
      </c>
      <c r="O8" s="1">
        <v>99.410285</v>
      </c>
    </row>
    <row r="9">
      <c r="A9" s="1" t="s">
        <v>436</v>
      </c>
      <c r="B9" s="1" t="s">
        <v>437</v>
      </c>
      <c r="C9" s="3" t="s">
        <v>95</v>
      </c>
      <c r="D9" s="3"/>
      <c r="E9" s="1" t="str">
        <f>IFERROR(__xludf.DUMMYFUNCTION("IFERROR(REGEXEXTRACT(A9, ""res(269|122)""), ""none"")"),"269")</f>
        <v>269</v>
      </c>
      <c r="F9" s="1">
        <v>-15.107329</v>
      </c>
      <c r="G9" s="1">
        <v>8.0</v>
      </c>
      <c r="H9" s="1">
        <v>3.0</v>
      </c>
      <c r="I9" s="1">
        <v>0.25</v>
      </c>
      <c r="J9" s="1">
        <v>2.0</v>
      </c>
      <c r="K9" s="1">
        <v>-0.715002</v>
      </c>
      <c r="L9" s="1">
        <v>100.0</v>
      </c>
      <c r="M9" s="1">
        <v>0.0</v>
      </c>
      <c r="N9" s="1">
        <v>0.0</v>
      </c>
      <c r="O9" s="1">
        <v>97.427669</v>
      </c>
    </row>
    <row r="10">
      <c r="A10" s="1" t="s">
        <v>438</v>
      </c>
      <c r="B10" s="1" t="s">
        <v>439</v>
      </c>
      <c r="C10" s="3" t="s">
        <v>95</v>
      </c>
      <c r="D10" s="3"/>
      <c r="E10" s="1" t="str">
        <f>IFERROR(__xludf.DUMMYFUNCTION("IFERROR(REGEXEXTRACT(A10, ""res(269|122)""), ""none"")"),"269")</f>
        <v>269</v>
      </c>
      <c r="F10" s="1">
        <v>-16.347377</v>
      </c>
      <c r="G10" s="1">
        <v>7.0</v>
      </c>
      <c r="H10" s="1">
        <v>3.0</v>
      </c>
      <c r="I10" s="1">
        <v>0.428571</v>
      </c>
      <c r="J10" s="1">
        <v>2.0</v>
      </c>
      <c r="K10" s="1">
        <v>-1.047751</v>
      </c>
      <c r="L10" s="1">
        <v>100.0</v>
      </c>
      <c r="M10" s="1">
        <v>0.0</v>
      </c>
      <c r="N10" s="1">
        <v>0.0</v>
      </c>
      <c r="O10" s="1">
        <v>95.033443</v>
      </c>
    </row>
    <row r="11">
      <c r="A11" s="1" t="s">
        <v>440</v>
      </c>
      <c r="B11" s="1" t="s">
        <v>441</v>
      </c>
      <c r="C11" s="3" t="s">
        <v>95</v>
      </c>
      <c r="D11" s="3"/>
      <c r="E11" s="1" t="str">
        <f>IFERROR(__xludf.DUMMYFUNCTION("IFERROR(REGEXEXTRACT(A11, ""res(269|122)""), ""none"")"),"269")</f>
        <v>269</v>
      </c>
      <c r="F11" s="1">
        <v>-15.526661</v>
      </c>
      <c r="G11" s="1">
        <v>6.0</v>
      </c>
      <c r="H11" s="1">
        <v>4.0</v>
      </c>
      <c r="I11" s="1">
        <v>0.333333</v>
      </c>
      <c r="J11" s="1">
        <v>2.0</v>
      </c>
      <c r="K11" s="1">
        <v>-0.878894</v>
      </c>
      <c r="L11" s="1">
        <v>100.0</v>
      </c>
      <c r="M11" s="1">
        <v>0.0</v>
      </c>
      <c r="N11" s="1">
        <v>0.0</v>
      </c>
      <c r="O11" s="1">
        <v>95.927778</v>
      </c>
    </row>
    <row r="12">
      <c r="A12" s="1" t="s">
        <v>263</v>
      </c>
      <c r="B12" s="1" t="s">
        <v>264</v>
      </c>
      <c r="C12" s="3" t="s">
        <v>24</v>
      </c>
      <c r="D12" s="3"/>
      <c r="E12" s="1" t="str">
        <f>IFERROR(__xludf.DUMMYFUNCTION("IFERROR(REGEXEXTRACT(A12, ""res(269|122)""), ""none"")"),"269")</f>
        <v>269</v>
      </c>
      <c r="F12" s="1">
        <v>-15.247766</v>
      </c>
      <c r="G12" s="1">
        <v>6.0</v>
      </c>
      <c r="H12" s="1">
        <v>2.0</v>
      </c>
      <c r="I12" s="1">
        <v>0.333333</v>
      </c>
      <c r="J12" s="1">
        <v>3.0</v>
      </c>
      <c r="K12" s="1">
        <v>-1.003179</v>
      </c>
      <c r="L12" s="1">
        <v>100.0</v>
      </c>
      <c r="M12" s="1">
        <v>0.0</v>
      </c>
      <c r="N12" s="1">
        <v>0.0</v>
      </c>
      <c r="O12" s="1">
        <v>95.082388</v>
      </c>
    </row>
    <row r="13">
      <c r="A13" s="1" t="s">
        <v>265</v>
      </c>
      <c r="B13" s="1" t="s">
        <v>120</v>
      </c>
      <c r="C13" s="3" t="s">
        <v>24</v>
      </c>
      <c r="D13" s="3"/>
      <c r="E13" s="1" t="str">
        <f>IFERROR(__xludf.DUMMYFUNCTION("IFERROR(REGEXEXTRACT(A13, ""res(269|122)""), ""none"")"),"269")</f>
        <v>269</v>
      </c>
      <c r="F13" s="1">
        <v>-15.234041</v>
      </c>
      <c r="G13" s="1">
        <v>8.0</v>
      </c>
      <c r="H13" s="1">
        <v>3.0</v>
      </c>
      <c r="I13" s="1">
        <v>0.25</v>
      </c>
      <c r="J13" s="1">
        <v>3.0</v>
      </c>
      <c r="K13" s="1">
        <v>-0.552818</v>
      </c>
      <c r="L13" s="1">
        <v>100.0</v>
      </c>
      <c r="M13" s="1">
        <v>0.0</v>
      </c>
      <c r="N13" s="1">
        <v>0.0</v>
      </c>
      <c r="O13" s="1">
        <v>98.463141</v>
      </c>
    </row>
    <row r="14">
      <c r="A14" s="1" t="s">
        <v>266</v>
      </c>
      <c r="B14" s="1" t="s">
        <v>77</v>
      </c>
      <c r="C14" s="3" t="s">
        <v>33</v>
      </c>
      <c r="D14" s="3"/>
      <c r="E14" s="1" t="str">
        <f>IFERROR(__xludf.DUMMYFUNCTION("IFERROR(REGEXEXTRACT(A14, ""res(269|122)""), ""none"")"),"269")</f>
        <v>269</v>
      </c>
      <c r="F14" s="1">
        <v>-15.196061</v>
      </c>
      <c r="G14" s="1">
        <v>7.0</v>
      </c>
      <c r="H14" s="1">
        <v>2.0</v>
      </c>
      <c r="I14" s="1">
        <v>0.285714</v>
      </c>
      <c r="J14" s="1">
        <v>2.0</v>
      </c>
      <c r="K14" s="1">
        <v>-1.471521</v>
      </c>
      <c r="L14" s="1">
        <v>100.0</v>
      </c>
      <c r="M14" s="1">
        <v>0.0</v>
      </c>
      <c r="N14" s="1">
        <v>0.0</v>
      </c>
      <c r="O14" s="1">
        <v>94.618132</v>
      </c>
    </row>
    <row r="15">
      <c r="A15" s="1" t="s">
        <v>442</v>
      </c>
      <c r="B15" s="1" t="s">
        <v>443</v>
      </c>
      <c r="C15" s="3" t="s">
        <v>95</v>
      </c>
      <c r="D15" s="3"/>
      <c r="E15" s="1" t="str">
        <f>IFERROR(__xludf.DUMMYFUNCTION("IFERROR(REGEXEXTRACT(A15, ""res(269|122)""), ""none"")"),"269")</f>
        <v>269</v>
      </c>
      <c r="F15" s="1">
        <v>-15.140799</v>
      </c>
      <c r="G15" s="1">
        <v>6.0</v>
      </c>
      <c r="H15" s="1">
        <v>2.0</v>
      </c>
      <c r="I15" s="1">
        <v>0.333333</v>
      </c>
      <c r="J15" s="1">
        <v>2.0</v>
      </c>
      <c r="K15" s="1">
        <v>-0.893388</v>
      </c>
      <c r="L15" s="1">
        <v>100.0</v>
      </c>
      <c r="M15" s="1">
        <v>0.0</v>
      </c>
      <c r="N15" s="1">
        <v>0.0</v>
      </c>
      <c r="O15" s="1">
        <v>94.299146</v>
      </c>
    </row>
    <row r="16">
      <c r="A16" s="1" t="s">
        <v>444</v>
      </c>
      <c r="B16" s="1" t="s">
        <v>445</v>
      </c>
      <c r="C16" s="3" t="s">
        <v>95</v>
      </c>
      <c r="D16" s="3"/>
      <c r="E16" s="1" t="str">
        <f>IFERROR(__xludf.DUMMYFUNCTION("IFERROR(REGEXEXTRACT(A16, ""res(269|122)""), ""none"")"),"269")</f>
        <v>269</v>
      </c>
      <c r="F16" s="1">
        <v>-15.673892</v>
      </c>
      <c r="G16" s="1">
        <v>6.0</v>
      </c>
      <c r="H16" s="1">
        <v>4.0</v>
      </c>
      <c r="I16" s="1">
        <v>0.5</v>
      </c>
      <c r="J16" s="1">
        <v>2.0</v>
      </c>
      <c r="K16" s="1">
        <v>-0.675629</v>
      </c>
      <c r="L16" s="1">
        <v>100.0</v>
      </c>
      <c r="M16" s="1">
        <v>0.0</v>
      </c>
      <c r="N16" s="1">
        <v>0.0</v>
      </c>
      <c r="O16" s="1">
        <v>96.150479</v>
      </c>
    </row>
    <row r="17">
      <c r="A17" s="1" t="s">
        <v>267</v>
      </c>
      <c r="B17" s="1" t="s">
        <v>268</v>
      </c>
      <c r="C17" s="3" t="s">
        <v>24</v>
      </c>
      <c r="D17" s="3"/>
      <c r="E17" s="1" t="str">
        <f>IFERROR(__xludf.DUMMYFUNCTION("IFERROR(REGEXEXTRACT(A17, ""res(269|122)""), ""none"")"),"269")</f>
        <v>269</v>
      </c>
      <c r="F17" s="1">
        <v>-15.475748</v>
      </c>
      <c r="G17" s="1">
        <v>11.0</v>
      </c>
      <c r="H17" s="1">
        <v>1.0</v>
      </c>
      <c r="I17" s="1">
        <v>0.272727</v>
      </c>
      <c r="J17" s="1">
        <v>2.0</v>
      </c>
      <c r="K17" s="1">
        <v>-0.318571</v>
      </c>
      <c r="L17" s="1">
        <v>100.0</v>
      </c>
      <c r="M17" s="1">
        <v>0.0</v>
      </c>
      <c r="N17" s="1">
        <v>0.0</v>
      </c>
      <c r="O17" s="1">
        <v>98.478408</v>
      </c>
    </row>
    <row r="18">
      <c r="A18" s="1" t="s">
        <v>446</v>
      </c>
      <c r="B18" s="1" t="s">
        <v>447</v>
      </c>
      <c r="C18" s="3" t="s">
        <v>95</v>
      </c>
      <c r="D18" s="3"/>
      <c r="E18" s="1" t="str">
        <f>IFERROR(__xludf.DUMMYFUNCTION("IFERROR(REGEXEXTRACT(A18, ""res(269|122)""), ""none"")"),"269")</f>
        <v>269</v>
      </c>
      <c r="F18" s="1">
        <v>-15.850201</v>
      </c>
      <c r="G18" s="1">
        <v>7.0</v>
      </c>
      <c r="H18" s="1">
        <v>2.0</v>
      </c>
      <c r="I18" s="1">
        <v>0.285714</v>
      </c>
      <c r="J18" s="1">
        <v>2.0</v>
      </c>
      <c r="K18" s="1">
        <v>-0.774898</v>
      </c>
      <c r="L18" s="1">
        <v>100.0</v>
      </c>
      <c r="M18" s="1">
        <v>0.0</v>
      </c>
      <c r="N18" s="1">
        <v>0.0</v>
      </c>
      <c r="O18" s="1">
        <v>94.660615</v>
      </c>
    </row>
    <row r="19">
      <c r="A19" s="1" t="s">
        <v>269</v>
      </c>
      <c r="B19" s="1" t="s">
        <v>270</v>
      </c>
      <c r="C19" s="3" t="s">
        <v>24</v>
      </c>
      <c r="D19" s="3"/>
      <c r="E19" s="1" t="str">
        <f>IFERROR(__xludf.DUMMYFUNCTION("IFERROR(REGEXEXTRACT(A19, ""res(269|122)""), ""none"")"),"269")</f>
        <v>269</v>
      </c>
      <c r="F19" s="1">
        <v>-15.217109</v>
      </c>
      <c r="G19" s="1">
        <v>8.0</v>
      </c>
      <c r="H19" s="1">
        <v>2.0</v>
      </c>
      <c r="I19" s="1">
        <v>0.25</v>
      </c>
      <c r="J19" s="1">
        <v>3.0</v>
      </c>
      <c r="K19" s="1">
        <v>-1.096035</v>
      </c>
      <c r="L19" s="1">
        <v>100.0</v>
      </c>
      <c r="M19" s="1">
        <v>0.0</v>
      </c>
      <c r="N19" s="1">
        <v>0.0</v>
      </c>
      <c r="O19" s="1">
        <v>96.936856</v>
      </c>
    </row>
    <row r="20">
      <c r="A20" s="1" t="s">
        <v>448</v>
      </c>
      <c r="B20" s="1" t="s">
        <v>449</v>
      </c>
      <c r="C20" s="3" t="s">
        <v>95</v>
      </c>
      <c r="D20" s="3" t="s">
        <v>1053</v>
      </c>
      <c r="E20" s="1" t="str">
        <f>IFERROR(__xludf.DUMMYFUNCTION("IFERROR(REGEXEXTRACT(A20, ""res(269|122)""), ""none"")"),"269")</f>
        <v>269</v>
      </c>
      <c r="F20" s="1">
        <v>-18.627045</v>
      </c>
      <c r="G20" s="1">
        <v>9.0</v>
      </c>
      <c r="H20" s="1">
        <v>2.0</v>
      </c>
      <c r="I20" s="1">
        <v>0.333333</v>
      </c>
      <c r="J20" s="1">
        <v>2.0</v>
      </c>
      <c r="K20" s="1">
        <v>-1.464442</v>
      </c>
      <c r="L20" s="1">
        <v>100.0</v>
      </c>
      <c r="M20" s="1">
        <v>0.0</v>
      </c>
      <c r="N20" s="1">
        <v>0.0</v>
      </c>
      <c r="O20" s="1">
        <v>93.241846</v>
      </c>
    </row>
    <row r="21">
      <c r="A21" s="1" t="s">
        <v>450</v>
      </c>
      <c r="B21" s="1" t="s">
        <v>451</v>
      </c>
      <c r="C21" s="3" t="s">
        <v>95</v>
      </c>
      <c r="D21" s="3" t="s">
        <v>1054</v>
      </c>
      <c r="E21" s="1" t="str">
        <f>IFERROR(__xludf.DUMMYFUNCTION("IFERROR(REGEXEXTRACT(A21, ""res(269|122)""), ""none"")"),"269")</f>
        <v>269</v>
      </c>
      <c r="F21" s="1">
        <v>-18.627045</v>
      </c>
      <c r="G21" s="1">
        <v>9.0</v>
      </c>
      <c r="H21" s="1">
        <v>2.0</v>
      </c>
      <c r="I21" s="1">
        <v>0.333333</v>
      </c>
      <c r="J21" s="1">
        <v>2.0</v>
      </c>
      <c r="K21" s="1">
        <v>-1.464442</v>
      </c>
      <c r="L21" s="1">
        <v>100.0</v>
      </c>
      <c r="M21" s="1">
        <v>0.0</v>
      </c>
      <c r="N21" s="1">
        <v>0.0</v>
      </c>
      <c r="O21" s="1">
        <v>93.241846</v>
      </c>
    </row>
    <row r="22">
      <c r="A22" s="1" t="s">
        <v>452</v>
      </c>
      <c r="B22" s="1" t="s">
        <v>453</v>
      </c>
      <c r="C22" s="3" t="s">
        <v>95</v>
      </c>
      <c r="D22" s="3"/>
      <c r="E22" s="1" t="str">
        <f>IFERROR(__xludf.DUMMYFUNCTION("IFERROR(REGEXEXTRACT(A22, ""res(269|122)""), ""none"")"),"269")</f>
        <v>269</v>
      </c>
      <c r="F22" s="1">
        <v>-15.471061</v>
      </c>
      <c r="G22" s="1">
        <v>11.0</v>
      </c>
      <c r="H22" s="1">
        <v>5.0</v>
      </c>
      <c r="I22" s="1">
        <v>0.272727</v>
      </c>
      <c r="J22" s="1">
        <v>3.0</v>
      </c>
      <c r="K22" s="1">
        <v>-1.955025</v>
      </c>
      <c r="L22" s="1">
        <v>100.0</v>
      </c>
      <c r="M22" s="1">
        <v>0.0</v>
      </c>
      <c r="N22" s="1">
        <v>0.0</v>
      </c>
      <c r="O22" s="1">
        <v>101.846641</v>
      </c>
    </row>
    <row r="23">
      <c r="A23" s="1" t="s">
        <v>271</v>
      </c>
      <c r="B23" s="1" t="s">
        <v>272</v>
      </c>
      <c r="C23" s="3" t="s">
        <v>24</v>
      </c>
      <c r="D23" s="3" t="s">
        <v>409</v>
      </c>
      <c r="E23" s="1" t="str">
        <f>IFERROR(__xludf.DUMMYFUNCTION("IFERROR(REGEXEXTRACT(A23, ""res(269|122)""), ""none"")"),"269")</f>
        <v>269</v>
      </c>
      <c r="F23" s="1">
        <v>-16.067978</v>
      </c>
      <c r="G23" s="1">
        <v>10.0</v>
      </c>
      <c r="H23" s="1">
        <v>3.0</v>
      </c>
      <c r="I23" s="1">
        <v>0.4</v>
      </c>
      <c r="J23" s="1">
        <v>4.0</v>
      </c>
      <c r="K23" s="1">
        <v>-1.686262</v>
      </c>
      <c r="L23" s="1">
        <v>100.0</v>
      </c>
      <c r="M23" s="1">
        <v>0.0</v>
      </c>
      <c r="N23" s="1">
        <v>0.0</v>
      </c>
      <c r="O23" s="1">
        <v>99.64576</v>
      </c>
    </row>
    <row r="24">
      <c r="A24" s="1" t="s">
        <v>273</v>
      </c>
      <c r="B24" s="1" t="s">
        <v>274</v>
      </c>
      <c r="C24" s="3" t="s">
        <v>24</v>
      </c>
      <c r="D24" s="3" t="s">
        <v>410</v>
      </c>
      <c r="E24" s="1" t="str">
        <f>IFERROR(__xludf.DUMMYFUNCTION("IFERROR(REGEXEXTRACT(A24, ""res(269|122)""), ""none"")"),"269")</f>
        <v>269</v>
      </c>
      <c r="F24" s="1">
        <v>-16.067978</v>
      </c>
      <c r="G24" s="1">
        <v>10.0</v>
      </c>
      <c r="H24" s="1">
        <v>3.0</v>
      </c>
      <c r="I24" s="1">
        <v>0.4</v>
      </c>
      <c r="J24" s="1">
        <v>4.0</v>
      </c>
      <c r="K24" s="1">
        <v>-1.686262</v>
      </c>
      <c r="L24" s="1">
        <v>100.0</v>
      </c>
      <c r="M24" s="1">
        <v>0.0</v>
      </c>
      <c r="N24" s="1">
        <v>0.0</v>
      </c>
      <c r="O24" s="1">
        <v>99.64576</v>
      </c>
    </row>
    <row r="25">
      <c r="A25" s="1" t="s">
        <v>275</v>
      </c>
      <c r="B25" s="1" t="s">
        <v>276</v>
      </c>
      <c r="C25" s="3" t="s">
        <v>24</v>
      </c>
      <c r="D25" s="3"/>
      <c r="E25" s="1" t="str">
        <f>IFERROR(__xludf.DUMMYFUNCTION("IFERROR(REGEXEXTRACT(A25, ""res(269|122)""), ""none"")"),"269")</f>
        <v>269</v>
      </c>
      <c r="F25" s="1">
        <v>-15.296307</v>
      </c>
      <c r="G25" s="1">
        <v>7.0</v>
      </c>
      <c r="H25" s="1">
        <v>3.0</v>
      </c>
      <c r="I25" s="1">
        <v>0.285714</v>
      </c>
      <c r="J25" s="1">
        <v>2.0</v>
      </c>
      <c r="K25" s="1">
        <v>-1.992376</v>
      </c>
      <c r="L25" s="1">
        <v>100.0</v>
      </c>
      <c r="M25" s="1">
        <v>0.0</v>
      </c>
      <c r="N25" s="1">
        <v>0.0</v>
      </c>
      <c r="O25" s="1">
        <v>94.997031</v>
      </c>
    </row>
    <row r="26">
      <c r="A26" s="1" t="s">
        <v>454</v>
      </c>
      <c r="B26" s="1" t="s">
        <v>455</v>
      </c>
      <c r="C26" s="3" t="s">
        <v>95</v>
      </c>
      <c r="D26" s="3"/>
      <c r="E26" s="1" t="str">
        <f>IFERROR(__xludf.DUMMYFUNCTION("IFERROR(REGEXEXTRACT(A26, ""res(269|122)""), ""none"")"),"269")</f>
        <v>269</v>
      </c>
      <c r="F26" s="1">
        <v>-16.253596</v>
      </c>
      <c r="G26" s="1">
        <v>10.0</v>
      </c>
      <c r="H26" s="1">
        <v>3.0</v>
      </c>
      <c r="I26" s="1">
        <v>0.3</v>
      </c>
      <c r="J26" s="1">
        <v>2.0</v>
      </c>
      <c r="K26" s="1">
        <v>-0.741444</v>
      </c>
      <c r="L26" s="1">
        <v>100.0</v>
      </c>
      <c r="M26" s="1">
        <v>0.0</v>
      </c>
      <c r="N26" s="1">
        <v>0.0</v>
      </c>
      <c r="O26" s="1">
        <v>98.30496</v>
      </c>
    </row>
    <row r="27">
      <c r="A27" s="1" t="s">
        <v>456</v>
      </c>
      <c r="B27" s="1" t="s">
        <v>457</v>
      </c>
      <c r="C27" s="3" t="s">
        <v>95</v>
      </c>
      <c r="D27" s="3"/>
      <c r="E27" s="1" t="str">
        <f>IFERROR(__xludf.DUMMYFUNCTION("IFERROR(REGEXEXTRACT(A27, ""res(269|122)""), ""none"")"),"269")</f>
        <v>269</v>
      </c>
      <c r="F27" s="1">
        <v>-15.009468</v>
      </c>
      <c r="G27" s="1">
        <v>12.0</v>
      </c>
      <c r="H27" s="1">
        <v>3.0</v>
      </c>
      <c r="I27" s="1">
        <v>0.25</v>
      </c>
      <c r="J27" s="1">
        <v>2.0</v>
      </c>
      <c r="K27" s="1">
        <v>-0.890163</v>
      </c>
      <c r="L27" s="1">
        <v>100.0</v>
      </c>
      <c r="M27" s="1">
        <v>0.0</v>
      </c>
      <c r="N27" s="1">
        <v>0.0</v>
      </c>
      <c r="O27" s="1">
        <v>101.350369</v>
      </c>
    </row>
    <row r="28">
      <c r="A28" s="1" t="s">
        <v>277</v>
      </c>
      <c r="B28" s="1" t="s">
        <v>278</v>
      </c>
      <c r="C28" s="3" t="s">
        <v>24</v>
      </c>
      <c r="D28" s="3"/>
      <c r="E28" s="1" t="str">
        <f>IFERROR(__xludf.DUMMYFUNCTION("IFERROR(REGEXEXTRACT(A28, ""res(269|122)""), ""none"")"),"269")</f>
        <v>269</v>
      </c>
      <c r="F28" s="1">
        <v>-15.325992</v>
      </c>
      <c r="G28" s="1">
        <v>8.0</v>
      </c>
      <c r="H28" s="1">
        <v>2.0</v>
      </c>
      <c r="I28" s="1">
        <v>0.25</v>
      </c>
      <c r="J28" s="1">
        <v>2.0</v>
      </c>
      <c r="K28" s="1">
        <v>-0.597145</v>
      </c>
      <c r="L28" s="1">
        <v>100.0</v>
      </c>
      <c r="M28" s="1">
        <v>0.0</v>
      </c>
      <c r="N28" s="1">
        <v>0.0</v>
      </c>
      <c r="O28" s="1">
        <v>96.326863</v>
      </c>
    </row>
    <row r="29">
      <c r="A29" s="1" t="s">
        <v>458</v>
      </c>
      <c r="B29" s="1" t="s">
        <v>459</v>
      </c>
      <c r="C29" s="3" t="s">
        <v>95</v>
      </c>
      <c r="D29" s="3"/>
      <c r="E29" s="1" t="str">
        <f>IFERROR(__xludf.DUMMYFUNCTION("IFERROR(REGEXEXTRACT(A29, ""res(269|122)""), ""none"")"),"269")</f>
        <v>269</v>
      </c>
      <c r="F29" s="1">
        <v>-15.102863</v>
      </c>
      <c r="G29" s="1">
        <v>7.0</v>
      </c>
      <c r="H29" s="1">
        <v>4.0</v>
      </c>
      <c r="I29" s="1">
        <v>0.285714</v>
      </c>
      <c r="J29" s="1">
        <v>2.0</v>
      </c>
      <c r="K29" s="1">
        <v>-0.739385</v>
      </c>
      <c r="L29" s="1">
        <v>100.0</v>
      </c>
      <c r="M29" s="1">
        <v>0.0</v>
      </c>
      <c r="N29" s="1">
        <v>0.0</v>
      </c>
      <c r="O29" s="1">
        <v>97.443466</v>
      </c>
    </row>
    <row r="30">
      <c r="A30" s="1" t="s">
        <v>460</v>
      </c>
      <c r="B30" s="1" t="s">
        <v>461</v>
      </c>
      <c r="C30" s="3" t="s">
        <v>95</v>
      </c>
      <c r="D30" s="3"/>
      <c r="E30" s="1" t="str">
        <f>IFERROR(__xludf.DUMMYFUNCTION("IFERROR(REGEXEXTRACT(A30, ""res(269|122)""), ""none"")"),"269")</f>
        <v>269</v>
      </c>
      <c r="F30" s="1">
        <v>-16.336018</v>
      </c>
      <c r="G30" s="1">
        <v>7.0</v>
      </c>
      <c r="H30" s="1">
        <v>2.0</v>
      </c>
      <c r="I30" s="1">
        <v>0.428571</v>
      </c>
      <c r="J30" s="1">
        <v>2.0</v>
      </c>
      <c r="K30" s="1">
        <v>-1.549677</v>
      </c>
      <c r="L30" s="1">
        <v>100.0</v>
      </c>
      <c r="M30" s="1">
        <v>0.0</v>
      </c>
      <c r="N30" s="1">
        <v>0.0</v>
      </c>
      <c r="O30" s="1">
        <v>93.542876</v>
      </c>
    </row>
    <row r="31">
      <c r="A31" s="1" t="s">
        <v>279</v>
      </c>
      <c r="B31" s="1" t="s">
        <v>123</v>
      </c>
      <c r="C31" s="3" t="s">
        <v>33</v>
      </c>
      <c r="D31" s="3"/>
      <c r="E31" s="1" t="str">
        <f>IFERROR(__xludf.DUMMYFUNCTION("IFERROR(REGEXEXTRACT(A31, ""res(269|122)""), ""none"")"),"269")</f>
        <v>269</v>
      </c>
      <c r="F31" s="1">
        <v>-15.778424</v>
      </c>
      <c r="G31" s="1">
        <v>10.0</v>
      </c>
      <c r="H31" s="1">
        <v>4.0</v>
      </c>
      <c r="I31" s="1">
        <v>0.3</v>
      </c>
      <c r="J31" s="1">
        <v>2.0</v>
      </c>
      <c r="K31" s="1">
        <v>-0.444144</v>
      </c>
      <c r="L31" s="1">
        <v>100.0</v>
      </c>
      <c r="M31" s="1">
        <v>0.0</v>
      </c>
      <c r="N31" s="1">
        <v>0.0</v>
      </c>
      <c r="O31" s="1">
        <v>100.077432</v>
      </c>
    </row>
    <row r="32">
      <c r="A32" s="1" t="s">
        <v>462</v>
      </c>
      <c r="B32" s="1" t="s">
        <v>463</v>
      </c>
      <c r="C32" s="3" t="s">
        <v>95</v>
      </c>
      <c r="D32" s="3"/>
      <c r="E32" s="1" t="str">
        <f>IFERROR(__xludf.DUMMYFUNCTION("IFERROR(REGEXEXTRACT(A32, ""res(269|122)""), ""none"")"),"269")</f>
        <v>269</v>
      </c>
      <c r="F32" s="1">
        <v>-15.125422</v>
      </c>
      <c r="G32" s="1">
        <v>8.0</v>
      </c>
      <c r="H32" s="1">
        <v>2.0</v>
      </c>
      <c r="I32" s="1">
        <v>0.25</v>
      </c>
      <c r="J32" s="1">
        <v>2.0</v>
      </c>
      <c r="K32" s="1">
        <v>-0.988743</v>
      </c>
      <c r="L32" s="1">
        <v>100.0</v>
      </c>
      <c r="M32" s="1">
        <v>0.0</v>
      </c>
      <c r="N32" s="1">
        <v>0.0</v>
      </c>
      <c r="O32" s="1">
        <v>96.135835</v>
      </c>
    </row>
    <row r="33">
      <c r="A33" s="1" t="s">
        <v>464</v>
      </c>
      <c r="B33" s="1" t="s">
        <v>465</v>
      </c>
      <c r="C33" s="3" t="s">
        <v>95</v>
      </c>
      <c r="D33" s="3"/>
      <c r="E33" s="1" t="str">
        <f>IFERROR(__xludf.DUMMYFUNCTION("IFERROR(REGEXEXTRACT(A33, ""res(269|122)""), ""none"")"),"269")</f>
        <v>269</v>
      </c>
      <c r="F33" s="1">
        <v>-16.19124</v>
      </c>
      <c r="G33" s="1">
        <v>11.0</v>
      </c>
      <c r="H33" s="1">
        <v>2.0</v>
      </c>
      <c r="I33" s="1">
        <v>0.272727</v>
      </c>
      <c r="J33" s="1">
        <v>2.0</v>
      </c>
      <c r="K33" s="1">
        <v>-0.467883</v>
      </c>
      <c r="L33" s="1">
        <v>100.0</v>
      </c>
      <c r="M33" s="1">
        <v>0.0</v>
      </c>
      <c r="N33" s="1">
        <v>0.0</v>
      </c>
      <c r="O33" s="1">
        <v>98.613604</v>
      </c>
    </row>
    <row r="34">
      <c r="A34" s="1" t="s">
        <v>466</v>
      </c>
      <c r="B34" s="1" t="s">
        <v>467</v>
      </c>
      <c r="C34" s="3" t="s">
        <v>95</v>
      </c>
      <c r="D34" s="3"/>
      <c r="E34" s="1" t="str">
        <f>IFERROR(__xludf.DUMMYFUNCTION("IFERROR(REGEXEXTRACT(A34, ""res(269|122)""), ""none"")"),"269")</f>
        <v>269</v>
      </c>
      <c r="F34" s="1">
        <v>-16.072605</v>
      </c>
      <c r="G34" s="1">
        <v>7.0</v>
      </c>
      <c r="H34" s="1">
        <v>3.0</v>
      </c>
      <c r="I34" s="1">
        <v>0.285714</v>
      </c>
      <c r="J34" s="1">
        <v>3.0</v>
      </c>
      <c r="K34" s="1">
        <v>-1.341939</v>
      </c>
      <c r="L34" s="1">
        <v>100.0</v>
      </c>
      <c r="M34" s="1">
        <v>0.0</v>
      </c>
      <c r="N34" s="1">
        <v>0.0</v>
      </c>
      <c r="O34" s="1">
        <v>95.87117</v>
      </c>
    </row>
    <row r="35">
      <c r="A35" s="1" t="s">
        <v>468</v>
      </c>
      <c r="B35" s="1" t="s">
        <v>469</v>
      </c>
      <c r="C35" s="3" t="s">
        <v>95</v>
      </c>
      <c r="D35" s="3"/>
      <c r="E35" s="1" t="str">
        <f>IFERROR(__xludf.DUMMYFUNCTION("IFERROR(REGEXEXTRACT(A35, ""res(269|122)""), ""none"")"),"269")</f>
        <v>269</v>
      </c>
      <c r="F35" s="1">
        <v>-15.019141</v>
      </c>
      <c r="G35" s="1">
        <v>7.0</v>
      </c>
      <c r="H35" s="1">
        <v>2.0</v>
      </c>
      <c r="I35" s="1">
        <v>0.285714</v>
      </c>
      <c r="J35" s="1">
        <v>2.0</v>
      </c>
      <c r="K35" s="1">
        <v>-1.307925</v>
      </c>
      <c r="L35" s="1">
        <v>100.0</v>
      </c>
      <c r="M35" s="1">
        <v>0.0</v>
      </c>
      <c r="N35" s="1">
        <v>0.0</v>
      </c>
      <c r="O35" s="1">
        <v>94.958648</v>
      </c>
    </row>
    <row r="36">
      <c r="A36" s="1" t="s">
        <v>470</v>
      </c>
      <c r="B36" s="1" t="s">
        <v>471</v>
      </c>
      <c r="C36" s="3" t="s">
        <v>95</v>
      </c>
      <c r="D36" s="3"/>
      <c r="E36" s="1" t="str">
        <f>IFERROR(__xludf.DUMMYFUNCTION("IFERROR(REGEXEXTRACT(A36, ""res(269|122)""), ""none"")"),"269")</f>
        <v>269</v>
      </c>
      <c r="F36" s="1">
        <v>-15.694478</v>
      </c>
      <c r="G36" s="1">
        <v>9.0</v>
      </c>
      <c r="H36" s="1">
        <v>2.0</v>
      </c>
      <c r="I36" s="1">
        <v>0.333333</v>
      </c>
      <c r="J36" s="1">
        <v>3.0</v>
      </c>
      <c r="K36" s="1">
        <v>-0.857403999999999</v>
      </c>
      <c r="L36" s="1">
        <v>100.0</v>
      </c>
      <c r="M36" s="1">
        <v>0.0</v>
      </c>
      <c r="N36" s="1">
        <v>0.0</v>
      </c>
      <c r="O36" s="1">
        <v>97.781451</v>
      </c>
    </row>
    <row r="37">
      <c r="A37" s="1" t="s">
        <v>280</v>
      </c>
      <c r="B37" s="1" t="s">
        <v>126</v>
      </c>
      <c r="C37" s="3" t="s">
        <v>24</v>
      </c>
      <c r="D37" s="3"/>
      <c r="E37" s="1" t="str">
        <f>IFERROR(__xludf.DUMMYFUNCTION("IFERROR(REGEXEXTRACT(A37, ""res(269|122)""), ""none"")"),"269")</f>
        <v>269</v>
      </c>
      <c r="F37" s="1">
        <v>-16.377062</v>
      </c>
      <c r="G37" s="1">
        <v>9.0</v>
      </c>
      <c r="H37" s="1">
        <v>1.0</v>
      </c>
      <c r="I37" s="1">
        <v>0.333333</v>
      </c>
      <c r="J37" s="1">
        <v>2.0</v>
      </c>
      <c r="K37" s="1">
        <v>-1.84415</v>
      </c>
      <c r="L37" s="1">
        <v>100.0</v>
      </c>
      <c r="M37" s="1">
        <v>0.0</v>
      </c>
      <c r="N37" s="1">
        <v>0.0</v>
      </c>
      <c r="O37" s="1">
        <v>94.112121</v>
      </c>
    </row>
    <row r="38">
      <c r="A38" s="1" t="s">
        <v>472</v>
      </c>
      <c r="B38" s="1" t="s">
        <v>473</v>
      </c>
      <c r="C38" s="3" t="s">
        <v>95</v>
      </c>
      <c r="D38" s="3"/>
      <c r="E38" s="1" t="str">
        <f>IFERROR(__xludf.DUMMYFUNCTION("IFERROR(REGEXEXTRACT(A38, ""res(269|122)""), ""none"")"),"269")</f>
        <v>269</v>
      </c>
      <c r="F38" s="1">
        <v>-15.903081</v>
      </c>
      <c r="G38" s="1">
        <v>7.0</v>
      </c>
      <c r="H38" s="1">
        <v>3.0</v>
      </c>
      <c r="I38" s="1">
        <v>0.285714</v>
      </c>
      <c r="J38" s="1">
        <v>2.0</v>
      </c>
      <c r="K38" s="1">
        <v>-0.636751</v>
      </c>
      <c r="L38" s="1">
        <v>100.0</v>
      </c>
      <c r="M38" s="1">
        <v>0.0</v>
      </c>
      <c r="N38" s="1">
        <v>0.0</v>
      </c>
      <c r="O38" s="1">
        <v>95.745882</v>
      </c>
    </row>
    <row r="39">
      <c r="A39" s="1" t="s">
        <v>474</v>
      </c>
      <c r="B39" s="1" t="s">
        <v>475</v>
      </c>
      <c r="C39" s="3" t="s">
        <v>95</v>
      </c>
      <c r="D39" s="3"/>
      <c r="E39" s="1" t="str">
        <f>IFERROR(__xludf.DUMMYFUNCTION("IFERROR(REGEXEXTRACT(A39, ""res(269|122)""), ""none"")"),"269")</f>
        <v>269</v>
      </c>
      <c r="F39" s="1">
        <v>-15.522765</v>
      </c>
      <c r="G39" s="1">
        <v>7.0</v>
      </c>
      <c r="H39" s="1">
        <v>3.0</v>
      </c>
      <c r="I39" s="1">
        <v>0.285714</v>
      </c>
      <c r="J39" s="1">
        <v>2.0</v>
      </c>
      <c r="K39" s="1">
        <v>-0.647722999999999</v>
      </c>
      <c r="L39" s="1">
        <v>100.0</v>
      </c>
      <c r="M39" s="1">
        <v>0.0</v>
      </c>
      <c r="N39" s="1">
        <v>0.0</v>
      </c>
      <c r="O39" s="1">
        <v>96.115226</v>
      </c>
    </row>
    <row r="40">
      <c r="A40" s="1" t="s">
        <v>281</v>
      </c>
      <c r="B40" s="1" t="s">
        <v>282</v>
      </c>
      <c r="C40" s="3" t="s">
        <v>24</v>
      </c>
      <c r="D40" s="3"/>
      <c r="E40" s="1" t="str">
        <f>IFERROR(__xludf.DUMMYFUNCTION("IFERROR(REGEXEXTRACT(A40, ""res(269|122)""), ""none"")"),"269")</f>
        <v>269</v>
      </c>
      <c r="F40" s="1">
        <v>-15.737774</v>
      </c>
      <c r="G40" s="1">
        <v>8.0</v>
      </c>
      <c r="H40" s="1">
        <v>4.0</v>
      </c>
      <c r="I40" s="1">
        <v>0.375</v>
      </c>
      <c r="J40" s="1">
        <v>2.0</v>
      </c>
      <c r="K40" s="1">
        <v>-0.922352</v>
      </c>
      <c r="L40" s="1">
        <v>100.0</v>
      </c>
      <c r="M40" s="1">
        <v>0.0</v>
      </c>
      <c r="N40" s="1">
        <v>0.0</v>
      </c>
      <c r="O40" s="1">
        <v>97.714874</v>
      </c>
    </row>
    <row r="41">
      <c r="A41" s="1" t="s">
        <v>283</v>
      </c>
      <c r="B41" s="1" t="s">
        <v>129</v>
      </c>
      <c r="C41" s="3" t="s">
        <v>33</v>
      </c>
      <c r="D41" s="3"/>
      <c r="E41" s="1" t="str">
        <f>IFERROR(__xludf.DUMMYFUNCTION("IFERROR(REGEXEXTRACT(A41, ""res(269|122)""), ""none"")"),"269")</f>
        <v>269</v>
      </c>
      <c r="F41" s="1">
        <v>-16.004339</v>
      </c>
      <c r="G41" s="1">
        <v>7.0</v>
      </c>
      <c r="H41" s="1">
        <v>1.0</v>
      </c>
      <c r="I41" s="1">
        <v>0.285714</v>
      </c>
      <c r="J41" s="1">
        <v>2.0</v>
      </c>
      <c r="K41" s="1">
        <v>-0.643672</v>
      </c>
      <c r="L41" s="1">
        <v>100.0</v>
      </c>
      <c r="M41" s="1">
        <v>0.0</v>
      </c>
      <c r="N41" s="1">
        <v>0.0</v>
      </c>
      <c r="O41" s="1">
        <v>93.637703</v>
      </c>
    </row>
    <row r="42">
      <c r="A42" s="1" t="s">
        <v>476</v>
      </c>
      <c r="B42" s="1" t="s">
        <v>477</v>
      </c>
      <c r="C42" s="3" t="s">
        <v>95</v>
      </c>
      <c r="D42" s="3"/>
      <c r="E42" s="1" t="str">
        <f>IFERROR(__xludf.DUMMYFUNCTION("IFERROR(REGEXEXTRACT(A42, ""res(269|122)""), ""none"")"),"269")</f>
        <v>269</v>
      </c>
      <c r="F42" s="1">
        <v>-15.728531</v>
      </c>
      <c r="G42" s="1">
        <v>8.0</v>
      </c>
      <c r="H42" s="1">
        <v>3.0</v>
      </c>
      <c r="I42" s="1">
        <v>0.25</v>
      </c>
      <c r="J42" s="1">
        <v>2.0</v>
      </c>
      <c r="K42" s="1">
        <v>-1.51629</v>
      </c>
      <c r="L42" s="1">
        <v>100.0</v>
      </c>
      <c r="M42" s="1">
        <v>0.0</v>
      </c>
      <c r="N42" s="1">
        <v>0.0</v>
      </c>
      <c r="O42" s="1">
        <v>96.005179</v>
      </c>
    </row>
    <row r="43">
      <c r="A43" s="1" t="s">
        <v>478</v>
      </c>
      <c r="B43" s="1" t="s">
        <v>479</v>
      </c>
      <c r="C43" s="3" t="s">
        <v>95</v>
      </c>
      <c r="D43" s="3"/>
      <c r="E43" s="1" t="str">
        <f>IFERROR(__xludf.DUMMYFUNCTION("IFERROR(REGEXEXTRACT(A43, ""res(269|122)""), ""none"")"),"269")</f>
        <v>269</v>
      </c>
      <c r="F43" s="1">
        <v>-15.352353</v>
      </c>
      <c r="G43" s="1">
        <v>8.0</v>
      </c>
      <c r="H43" s="1">
        <v>1.0</v>
      </c>
      <c r="I43" s="1">
        <v>0.25</v>
      </c>
      <c r="J43" s="1">
        <v>2.0</v>
      </c>
      <c r="K43" s="1">
        <v>-0.518455</v>
      </c>
      <c r="L43" s="1">
        <v>100.0</v>
      </c>
      <c r="M43" s="1">
        <v>0.0</v>
      </c>
      <c r="N43" s="1">
        <v>0.0</v>
      </c>
      <c r="O43" s="1">
        <v>95.379192</v>
      </c>
    </row>
    <row r="44">
      <c r="A44" s="1" t="s">
        <v>480</v>
      </c>
      <c r="B44" s="1" t="s">
        <v>481</v>
      </c>
      <c r="C44" s="3" t="s">
        <v>95</v>
      </c>
      <c r="D44" s="3"/>
      <c r="E44" s="1" t="str">
        <f>IFERROR(__xludf.DUMMYFUNCTION("IFERROR(REGEXEXTRACT(A44, ""res(269|122)""), ""none"")"),"269")</f>
        <v>269</v>
      </c>
      <c r="F44" s="1">
        <v>-15.596951</v>
      </c>
      <c r="G44" s="1">
        <v>10.0</v>
      </c>
      <c r="H44" s="1">
        <v>3.0</v>
      </c>
      <c r="I44" s="1">
        <v>0.3</v>
      </c>
      <c r="J44" s="1">
        <v>2.0</v>
      </c>
      <c r="K44" s="1">
        <v>-0.973844</v>
      </c>
      <c r="L44" s="1">
        <v>100.0</v>
      </c>
      <c r="M44" s="1">
        <v>0.0</v>
      </c>
      <c r="N44" s="1">
        <v>0.0</v>
      </c>
      <c r="O44" s="1">
        <v>98.729205</v>
      </c>
    </row>
    <row r="45">
      <c r="A45" s="1" t="s">
        <v>284</v>
      </c>
      <c r="B45" s="1" t="s">
        <v>285</v>
      </c>
      <c r="C45" s="3" t="s">
        <v>24</v>
      </c>
      <c r="D45" s="3" t="s">
        <v>411</v>
      </c>
      <c r="E45" s="1" t="str">
        <f>IFERROR(__xludf.DUMMYFUNCTION("IFERROR(REGEXEXTRACT(A45, ""res(269|122)""), ""none"")"),"269")</f>
        <v>269</v>
      </c>
      <c r="F45" s="1">
        <v>-15.399039</v>
      </c>
      <c r="G45" s="1">
        <v>6.0</v>
      </c>
      <c r="H45" s="1">
        <v>3.0</v>
      </c>
      <c r="I45" s="1">
        <v>0.333333</v>
      </c>
      <c r="J45" s="1">
        <v>2.0</v>
      </c>
      <c r="K45" s="1">
        <v>-0.254448</v>
      </c>
      <c r="L45" s="1">
        <v>100.0</v>
      </c>
      <c r="M45" s="1">
        <v>0.0</v>
      </c>
      <c r="N45" s="1">
        <v>0.0</v>
      </c>
      <c r="O45" s="1">
        <v>95.679846</v>
      </c>
    </row>
    <row r="46">
      <c r="A46" s="1" t="s">
        <v>286</v>
      </c>
      <c r="B46" s="1" t="s">
        <v>287</v>
      </c>
      <c r="C46" s="3" t="s">
        <v>24</v>
      </c>
      <c r="D46" s="3"/>
      <c r="E46" s="1" t="str">
        <f>IFERROR(__xludf.DUMMYFUNCTION("IFERROR(REGEXEXTRACT(A46, ""res(269|122)""), ""none"")"),"269")</f>
        <v>269</v>
      </c>
      <c r="F46" s="1">
        <v>-15.848908</v>
      </c>
      <c r="G46" s="1">
        <v>8.0</v>
      </c>
      <c r="H46" s="1">
        <v>3.0</v>
      </c>
      <c r="I46" s="1">
        <v>0.375</v>
      </c>
      <c r="J46" s="1">
        <v>2.0</v>
      </c>
      <c r="K46" s="1">
        <v>-0.923644</v>
      </c>
      <c r="L46" s="1">
        <v>100.0</v>
      </c>
      <c r="M46" s="1">
        <v>0.0</v>
      </c>
      <c r="N46" s="1">
        <v>0.0</v>
      </c>
      <c r="O46" s="1">
        <v>96.602448</v>
      </c>
    </row>
    <row r="47">
      <c r="A47" s="1" t="s">
        <v>482</v>
      </c>
      <c r="B47" s="1" t="s">
        <v>483</v>
      </c>
      <c r="C47" s="3" t="s">
        <v>95</v>
      </c>
      <c r="D47" s="3"/>
      <c r="E47" s="1" t="str">
        <f>IFERROR(__xludf.DUMMYFUNCTION("IFERROR(REGEXEXTRACT(A47, ""res(269|122)""), ""none"")"),"269")</f>
        <v>269</v>
      </c>
      <c r="F47" s="1">
        <v>-15.495405</v>
      </c>
      <c r="G47" s="1">
        <v>9.0</v>
      </c>
      <c r="H47" s="1">
        <v>4.0</v>
      </c>
      <c r="I47" s="1">
        <v>0.333333</v>
      </c>
      <c r="J47" s="1">
        <v>2.0</v>
      </c>
      <c r="K47" s="1">
        <v>-0.620458</v>
      </c>
      <c r="L47" s="1">
        <v>100.0</v>
      </c>
      <c r="M47" s="1">
        <v>0.0</v>
      </c>
      <c r="N47" s="1">
        <v>0.0</v>
      </c>
      <c r="O47" s="1">
        <v>99.21747</v>
      </c>
    </row>
    <row r="48">
      <c r="A48" s="1" t="s">
        <v>484</v>
      </c>
      <c r="B48" s="1" t="s">
        <v>485</v>
      </c>
      <c r="C48" s="3" t="s">
        <v>95</v>
      </c>
      <c r="D48" s="3"/>
      <c r="E48" s="1" t="str">
        <f>IFERROR(__xludf.DUMMYFUNCTION("IFERROR(REGEXEXTRACT(A48, ""res(269|122)""), ""none"")"),"269")</f>
        <v>269</v>
      </c>
      <c r="F48" s="1">
        <v>-15.100581</v>
      </c>
      <c r="G48" s="1">
        <v>10.0</v>
      </c>
      <c r="H48" s="1">
        <v>3.0</v>
      </c>
      <c r="I48" s="1">
        <v>0.3</v>
      </c>
      <c r="J48" s="1">
        <v>2.0</v>
      </c>
      <c r="K48" s="1">
        <v>-0.870712</v>
      </c>
      <c r="L48" s="1">
        <v>100.0</v>
      </c>
      <c r="M48" s="1">
        <v>0.0</v>
      </c>
      <c r="N48" s="1">
        <v>0.0</v>
      </c>
      <c r="O48" s="1">
        <v>99.328707</v>
      </c>
    </row>
    <row r="49">
      <c r="A49" s="1" t="s">
        <v>486</v>
      </c>
      <c r="B49" s="1" t="s">
        <v>487</v>
      </c>
      <c r="C49" s="3" t="s">
        <v>95</v>
      </c>
      <c r="D49" s="3"/>
      <c r="E49" s="1" t="str">
        <f>IFERROR(__xludf.DUMMYFUNCTION("IFERROR(REGEXEXTRACT(A49, ""res(269|122)""), ""none"")"),"269")</f>
        <v>269</v>
      </c>
      <c r="F49" s="1">
        <v>-15.478127</v>
      </c>
      <c r="G49" s="1">
        <v>8.0</v>
      </c>
      <c r="H49" s="1">
        <v>3.0</v>
      </c>
      <c r="I49" s="1">
        <v>0.25</v>
      </c>
      <c r="J49" s="1">
        <v>3.0</v>
      </c>
      <c r="K49" s="1">
        <v>-1.86879</v>
      </c>
      <c r="L49" s="1">
        <v>100.0</v>
      </c>
      <c r="M49" s="1">
        <v>0.0</v>
      </c>
      <c r="N49" s="1">
        <v>0.0</v>
      </c>
      <c r="O49" s="1">
        <v>96.903083</v>
      </c>
    </row>
    <row r="50">
      <c r="A50" s="1" t="s">
        <v>488</v>
      </c>
      <c r="B50" s="1" t="s">
        <v>489</v>
      </c>
      <c r="C50" s="3" t="s">
        <v>95</v>
      </c>
      <c r="D50" s="3"/>
      <c r="E50" s="1" t="str">
        <f>IFERROR(__xludf.DUMMYFUNCTION("IFERROR(REGEXEXTRACT(A50, ""res(269|122)""), ""none"")"),"269")</f>
        <v>269</v>
      </c>
      <c r="F50" s="1">
        <v>-15.530742</v>
      </c>
      <c r="G50" s="1">
        <v>9.0</v>
      </c>
      <c r="H50" s="1">
        <v>2.0</v>
      </c>
      <c r="I50" s="1">
        <v>0.333333</v>
      </c>
      <c r="J50" s="1">
        <v>2.0</v>
      </c>
      <c r="K50" s="1">
        <v>-1.463579</v>
      </c>
      <c r="L50" s="1">
        <v>100.0</v>
      </c>
      <c r="M50" s="1">
        <v>0.0</v>
      </c>
      <c r="N50" s="1">
        <v>0.0</v>
      </c>
      <c r="O50" s="1">
        <v>96.339012</v>
      </c>
    </row>
    <row r="51">
      <c r="A51" s="1" t="s">
        <v>490</v>
      </c>
      <c r="B51" s="1" t="s">
        <v>491</v>
      </c>
      <c r="C51" s="3" t="s">
        <v>95</v>
      </c>
      <c r="D51" s="3" t="s">
        <v>1055</v>
      </c>
      <c r="E51" s="1" t="str">
        <f>IFERROR(__xludf.DUMMYFUNCTION("IFERROR(REGEXEXTRACT(A51, ""res(269|122)""), ""none"")"),"269")</f>
        <v>269</v>
      </c>
      <c r="F51" s="1">
        <v>-15.026162</v>
      </c>
      <c r="G51" s="1">
        <v>8.0</v>
      </c>
      <c r="H51" s="1">
        <v>2.0</v>
      </c>
      <c r="I51" s="1">
        <v>0.5</v>
      </c>
      <c r="J51" s="1">
        <v>2.0</v>
      </c>
      <c r="K51" s="1">
        <v>-1.219584</v>
      </c>
      <c r="L51" s="1">
        <v>100.0</v>
      </c>
      <c r="M51" s="1">
        <v>0.0</v>
      </c>
      <c r="N51" s="1">
        <v>0.0</v>
      </c>
      <c r="O51" s="1">
        <v>96.254254</v>
      </c>
    </row>
    <row r="52">
      <c r="A52" s="1" t="s">
        <v>492</v>
      </c>
      <c r="B52" s="1" t="s">
        <v>493</v>
      </c>
      <c r="C52" s="3" t="s">
        <v>95</v>
      </c>
      <c r="D52" s="3" t="s">
        <v>1056</v>
      </c>
      <c r="E52" s="1" t="str">
        <f>IFERROR(__xludf.DUMMYFUNCTION("IFERROR(REGEXEXTRACT(A52, ""res(269|122)""), ""none"")"),"269")</f>
        <v>269</v>
      </c>
      <c r="F52" s="1">
        <v>-15.026162</v>
      </c>
      <c r="G52" s="1">
        <v>8.0</v>
      </c>
      <c r="H52" s="1">
        <v>2.0</v>
      </c>
      <c r="I52" s="1">
        <v>0.5</v>
      </c>
      <c r="J52" s="1">
        <v>2.0</v>
      </c>
      <c r="K52" s="1">
        <v>-1.219584</v>
      </c>
      <c r="L52" s="1">
        <v>100.0</v>
      </c>
      <c r="M52" s="1">
        <v>0.0</v>
      </c>
      <c r="N52" s="1">
        <v>0.0</v>
      </c>
      <c r="O52" s="1">
        <v>96.254254</v>
      </c>
    </row>
    <row r="53">
      <c r="A53" s="1" t="s">
        <v>494</v>
      </c>
      <c r="B53" s="1" t="s">
        <v>495</v>
      </c>
      <c r="C53" s="3" t="s">
        <v>95</v>
      </c>
      <c r="D53" s="3"/>
      <c r="E53" s="1" t="str">
        <f>IFERROR(__xludf.DUMMYFUNCTION("IFERROR(REGEXEXTRACT(A53, ""res(269|122)""), ""none"")"),"269")</f>
        <v>269</v>
      </c>
      <c r="F53" s="1">
        <v>-15.558252</v>
      </c>
      <c r="G53" s="1">
        <v>8.0</v>
      </c>
      <c r="H53" s="1">
        <v>5.0</v>
      </c>
      <c r="I53" s="1">
        <v>0.25</v>
      </c>
      <c r="J53" s="1">
        <v>2.0</v>
      </c>
      <c r="K53" s="1">
        <v>-0.605641</v>
      </c>
      <c r="L53" s="1">
        <v>100.0</v>
      </c>
      <c r="M53" s="1">
        <v>0.0</v>
      </c>
      <c r="N53" s="1">
        <v>0.0</v>
      </c>
      <c r="O53" s="1">
        <v>99.086107</v>
      </c>
    </row>
    <row r="54">
      <c r="A54" s="1" t="s">
        <v>496</v>
      </c>
      <c r="B54" s="1" t="s">
        <v>497</v>
      </c>
      <c r="C54" s="3" t="s">
        <v>95</v>
      </c>
      <c r="D54" s="3"/>
      <c r="E54" s="1" t="str">
        <f>IFERROR(__xludf.DUMMYFUNCTION("IFERROR(REGEXEXTRACT(A54, ""res(269|122)""), ""none"")"),"269")</f>
        <v>269</v>
      </c>
      <c r="F54" s="1">
        <v>-15.806081</v>
      </c>
      <c r="G54" s="1">
        <v>8.0</v>
      </c>
      <c r="H54" s="1">
        <v>2.0</v>
      </c>
      <c r="I54" s="1">
        <v>0.25</v>
      </c>
      <c r="J54" s="1">
        <v>2.0</v>
      </c>
      <c r="K54" s="1">
        <v>-1.085431</v>
      </c>
      <c r="L54" s="1">
        <v>100.0</v>
      </c>
      <c r="M54" s="1">
        <v>0.0</v>
      </c>
      <c r="N54" s="1">
        <v>0.0</v>
      </c>
      <c r="O54" s="1">
        <v>95.358488</v>
      </c>
    </row>
    <row r="55">
      <c r="A55" s="1" t="s">
        <v>288</v>
      </c>
      <c r="B55" s="1" t="s">
        <v>80</v>
      </c>
      <c r="C55" s="3" t="s">
        <v>33</v>
      </c>
      <c r="D55" s="3" t="s">
        <v>82</v>
      </c>
      <c r="E55" s="1" t="str">
        <f>IFERROR(__xludf.DUMMYFUNCTION("IFERROR(REGEXEXTRACT(A55, ""res(269|122)""), ""none"")"),"269")</f>
        <v>269</v>
      </c>
      <c r="F55" s="1">
        <v>-15.111049</v>
      </c>
      <c r="G55" s="1">
        <v>8.0</v>
      </c>
      <c r="H55" s="1">
        <v>4.0</v>
      </c>
      <c r="I55" s="1">
        <v>0.5</v>
      </c>
      <c r="J55" s="1">
        <v>3.0</v>
      </c>
      <c r="K55" s="1">
        <v>-1.48802099999999</v>
      </c>
      <c r="L55" s="1">
        <v>100.0</v>
      </c>
      <c r="M55" s="1">
        <v>0.0</v>
      </c>
      <c r="N55" s="1">
        <v>0.0</v>
      </c>
      <c r="O55" s="1">
        <v>98.90093</v>
      </c>
    </row>
    <row r="56">
      <c r="A56" s="1" t="s">
        <v>498</v>
      </c>
      <c r="B56" s="1" t="s">
        <v>499</v>
      </c>
      <c r="C56" s="3" t="s">
        <v>95</v>
      </c>
      <c r="D56" s="3"/>
      <c r="E56" s="1" t="str">
        <f>IFERROR(__xludf.DUMMYFUNCTION("IFERROR(REGEXEXTRACT(A56, ""res(269|122)""), ""none"")"),"269")</f>
        <v>269</v>
      </c>
      <c r="F56" s="1">
        <v>-15.229256</v>
      </c>
      <c r="G56" s="1">
        <v>7.0</v>
      </c>
      <c r="H56" s="1">
        <v>3.0</v>
      </c>
      <c r="I56" s="1">
        <v>0.428571</v>
      </c>
      <c r="J56" s="1">
        <v>2.0</v>
      </c>
      <c r="K56" s="1">
        <v>-0.96092</v>
      </c>
      <c r="L56" s="1">
        <v>100.0</v>
      </c>
      <c r="M56" s="1">
        <v>0.0</v>
      </c>
      <c r="N56" s="1">
        <v>0.0</v>
      </c>
      <c r="O56" s="1">
        <v>96.238395</v>
      </c>
    </row>
    <row r="57">
      <c r="A57" s="1" t="s">
        <v>500</v>
      </c>
      <c r="B57" s="1" t="s">
        <v>501</v>
      </c>
      <c r="C57" s="3" t="s">
        <v>95</v>
      </c>
      <c r="D57" s="3"/>
      <c r="E57" s="1" t="str">
        <f>IFERROR(__xludf.DUMMYFUNCTION("IFERROR(REGEXEXTRACT(A57, ""res(269|122)""), ""none"")"),"269")</f>
        <v>269</v>
      </c>
      <c r="F57" s="1">
        <v>-16.557156</v>
      </c>
      <c r="G57" s="1">
        <v>8.0</v>
      </c>
      <c r="H57" s="1">
        <v>2.0</v>
      </c>
      <c r="I57" s="1">
        <v>0.25</v>
      </c>
      <c r="J57" s="1">
        <v>2.0</v>
      </c>
      <c r="K57" s="1">
        <v>-0.52554</v>
      </c>
      <c r="L57" s="1">
        <v>100.0</v>
      </c>
      <c r="M57" s="1">
        <v>0.0</v>
      </c>
      <c r="N57" s="1">
        <v>0.0</v>
      </c>
      <c r="O57" s="1">
        <v>95.167304</v>
      </c>
    </row>
    <row r="58">
      <c r="A58" s="1" t="s">
        <v>289</v>
      </c>
      <c r="B58" s="1" t="s">
        <v>290</v>
      </c>
      <c r="C58" s="3" t="s">
        <v>24</v>
      </c>
      <c r="D58" s="3"/>
      <c r="E58" s="1" t="str">
        <f>IFERROR(__xludf.DUMMYFUNCTION("IFERROR(REGEXEXTRACT(A58, ""res(269|122)""), ""none"")"),"269")</f>
        <v>269</v>
      </c>
      <c r="F58" s="1">
        <v>-15.62437</v>
      </c>
      <c r="G58" s="1">
        <v>8.0</v>
      </c>
      <c r="H58" s="1">
        <v>3.0</v>
      </c>
      <c r="I58" s="1">
        <v>0.25</v>
      </c>
      <c r="J58" s="1">
        <v>2.0</v>
      </c>
      <c r="K58" s="1">
        <v>-0.578782</v>
      </c>
      <c r="L58" s="1">
        <v>100.0</v>
      </c>
      <c r="M58" s="1">
        <v>0.0</v>
      </c>
      <c r="N58" s="1">
        <v>0.0</v>
      </c>
      <c r="O58" s="1">
        <v>97.046848</v>
      </c>
    </row>
    <row r="59">
      <c r="A59" s="1" t="s">
        <v>502</v>
      </c>
      <c r="B59" s="1" t="s">
        <v>503</v>
      </c>
      <c r="C59" s="3" t="s">
        <v>95</v>
      </c>
      <c r="D59" s="3"/>
      <c r="E59" s="1" t="str">
        <f>IFERROR(__xludf.DUMMYFUNCTION("IFERROR(REGEXEXTRACT(A59, ""res(269|122)""), ""none"")"),"269")</f>
        <v>269</v>
      </c>
      <c r="F59" s="1">
        <v>-15.732571</v>
      </c>
      <c r="G59" s="1">
        <v>7.0</v>
      </c>
      <c r="H59" s="1">
        <v>2.0</v>
      </c>
      <c r="I59" s="1">
        <v>0.428571</v>
      </c>
      <c r="J59" s="1">
        <v>2.0</v>
      </c>
      <c r="K59" s="1">
        <v>-0.385637</v>
      </c>
      <c r="L59" s="1">
        <v>100.0</v>
      </c>
      <c r="M59" s="1">
        <v>0.0</v>
      </c>
      <c r="N59" s="1">
        <v>0.0</v>
      </c>
      <c r="O59" s="1">
        <v>95.310363</v>
      </c>
    </row>
    <row r="60">
      <c r="A60" s="1" t="s">
        <v>504</v>
      </c>
      <c r="B60" s="1" t="s">
        <v>505</v>
      </c>
      <c r="C60" s="3" t="s">
        <v>95</v>
      </c>
      <c r="D60" s="3"/>
      <c r="E60" s="1" t="str">
        <f>IFERROR(__xludf.DUMMYFUNCTION("IFERROR(REGEXEXTRACT(A60, ""res(269|122)""), ""none"")"),"269")</f>
        <v>269</v>
      </c>
      <c r="F60" s="1">
        <v>-17.047287</v>
      </c>
      <c r="G60" s="1">
        <v>8.0</v>
      </c>
      <c r="H60" s="1">
        <v>2.0</v>
      </c>
      <c r="I60" s="1">
        <v>0.25</v>
      </c>
      <c r="J60" s="1">
        <v>2.0</v>
      </c>
      <c r="K60" s="1">
        <v>-1.214723</v>
      </c>
      <c r="L60" s="1">
        <v>100.0</v>
      </c>
      <c r="M60" s="1">
        <v>0.0</v>
      </c>
      <c r="N60" s="1">
        <v>0.0</v>
      </c>
      <c r="O60" s="1">
        <v>93.98799</v>
      </c>
    </row>
    <row r="61">
      <c r="A61" s="1" t="s">
        <v>291</v>
      </c>
      <c r="B61" s="1" t="s">
        <v>292</v>
      </c>
      <c r="C61" s="3" t="s">
        <v>24</v>
      </c>
      <c r="D61" s="3"/>
      <c r="E61" s="1" t="str">
        <f>IFERROR(__xludf.DUMMYFUNCTION("IFERROR(REGEXEXTRACT(A61, ""res(269|122)""), ""none"")"),"269")</f>
        <v>269</v>
      </c>
      <c r="F61" s="1">
        <v>-16.657537</v>
      </c>
      <c r="G61" s="1">
        <v>10.0</v>
      </c>
      <c r="H61" s="1">
        <v>3.0</v>
      </c>
      <c r="I61" s="1">
        <v>0.3</v>
      </c>
      <c r="J61" s="1">
        <v>2.0</v>
      </c>
      <c r="K61" s="1">
        <v>-1.135125</v>
      </c>
      <c r="L61" s="1">
        <v>100.0</v>
      </c>
      <c r="M61" s="1">
        <v>0.0</v>
      </c>
      <c r="N61" s="1">
        <v>0.0</v>
      </c>
      <c r="O61" s="1">
        <v>97.507338</v>
      </c>
    </row>
    <row r="62">
      <c r="A62" s="1" t="s">
        <v>293</v>
      </c>
      <c r="B62" s="1" t="s">
        <v>294</v>
      </c>
      <c r="C62" s="3" t="s">
        <v>24</v>
      </c>
      <c r="D62" s="3"/>
      <c r="E62" s="1" t="str">
        <f>IFERROR(__xludf.DUMMYFUNCTION("IFERROR(REGEXEXTRACT(A62, ""res(269|122)""), ""none"")"),"269")</f>
        <v>269</v>
      </c>
      <c r="F62" s="1">
        <v>-15.0051</v>
      </c>
      <c r="G62" s="1">
        <v>8.0</v>
      </c>
      <c r="H62" s="1">
        <v>1.0</v>
      </c>
      <c r="I62" s="1">
        <v>0.25</v>
      </c>
      <c r="J62" s="1">
        <v>3.0</v>
      </c>
      <c r="K62" s="1">
        <v>-2.024033</v>
      </c>
      <c r="L62" s="1">
        <v>100.0</v>
      </c>
      <c r="M62" s="1">
        <v>0.0</v>
      </c>
      <c r="N62" s="1">
        <v>0.0</v>
      </c>
      <c r="O62" s="1">
        <v>95.220867</v>
      </c>
    </row>
    <row r="63">
      <c r="A63" s="1" t="s">
        <v>295</v>
      </c>
      <c r="B63" s="1" t="s">
        <v>132</v>
      </c>
      <c r="C63" s="3" t="s">
        <v>26</v>
      </c>
      <c r="D63" s="3" t="s">
        <v>412</v>
      </c>
      <c r="E63" s="1" t="str">
        <f>IFERROR(__xludf.DUMMYFUNCTION("IFERROR(REGEXEXTRACT(A63, ""res(269|122)""), ""none"")"),"269")</f>
        <v>269</v>
      </c>
      <c r="F63" s="1">
        <v>-15.787491</v>
      </c>
      <c r="G63" s="1">
        <v>6.0</v>
      </c>
      <c r="H63" s="1">
        <v>2.0</v>
      </c>
      <c r="I63" s="1">
        <v>0.333333</v>
      </c>
      <c r="J63" s="1">
        <v>3.0</v>
      </c>
      <c r="K63" s="1">
        <v>-1.153959</v>
      </c>
      <c r="L63" s="1">
        <v>100.0</v>
      </c>
      <c r="M63" s="1">
        <v>0.0</v>
      </c>
      <c r="N63" s="1">
        <v>0.0</v>
      </c>
      <c r="O63" s="1">
        <v>94.391883</v>
      </c>
    </row>
    <row r="64">
      <c r="A64" s="1" t="s">
        <v>296</v>
      </c>
      <c r="B64" s="1" t="s">
        <v>135</v>
      </c>
      <c r="C64" s="3" t="s">
        <v>33</v>
      </c>
      <c r="D64" s="3"/>
      <c r="E64" s="1" t="str">
        <f>IFERROR(__xludf.DUMMYFUNCTION("IFERROR(REGEXEXTRACT(A64, ""res(269|122)""), ""none"")"),"269")</f>
        <v>269</v>
      </c>
      <c r="F64" s="1">
        <v>-16.526444</v>
      </c>
      <c r="G64" s="1">
        <v>7.0</v>
      </c>
      <c r="H64" s="1">
        <v>3.0</v>
      </c>
      <c r="I64" s="1">
        <v>0.428571</v>
      </c>
      <c r="J64" s="1">
        <v>3.0</v>
      </c>
      <c r="K64" s="1">
        <v>-1.370961</v>
      </c>
      <c r="L64" s="1">
        <v>100.0</v>
      </c>
      <c r="M64" s="1">
        <v>0.0</v>
      </c>
      <c r="N64" s="1">
        <v>0.0</v>
      </c>
      <c r="O64" s="1">
        <v>95.531166</v>
      </c>
    </row>
    <row r="65">
      <c r="A65" s="1" t="s">
        <v>506</v>
      </c>
      <c r="B65" s="1" t="s">
        <v>507</v>
      </c>
      <c r="C65" s="3" t="s">
        <v>95</v>
      </c>
      <c r="D65" s="3"/>
      <c r="E65" s="1" t="str">
        <f>IFERROR(__xludf.DUMMYFUNCTION("IFERROR(REGEXEXTRACT(A65, ""res(269|122)""), ""none"")"),"269")</f>
        <v>269</v>
      </c>
      <c r="F65" s="1">
        <v>-15.26509</v>
      </c>
      <c r="G65" s="1">
        <v>12.0</v>
      </c>
      <c r="H65" s="1">
        <v>4.0</v>
      </c>
      <c r="I65" s="1">
        <v>0.25</v>
      </c>
      <c r="J65" s="1">
        <v>3.0</v>
      </c>
      <c r="K65" s="1">
        <v>-1.724141</v>
      </c>
      <c r="L65" s="1">
        <v>100.0</v>
      </c>
      <c r="M65" s="1">
        <v>0.0</v>
      </c>
      <c r="N65" s="1">
        <v>0.0</v>
      </c>
      <c r="O65" s="1">
        <v>102.260769</v>
      </c>
    </row>
    <row r="66">
      <c r="A66" s="1" t="s">
        <v>508</v>
      </c>
      <c r="B66" s="1" t="s">
        <v>509</v>
      </c>
      <c r="C66" s="3" t="s">
        <v>95</v>
      </c>
      <c r="D66" s="3"/>
      <c r="E66" s="1" t="str">
        <f>IFERROR(__xludf.DUMMYFUNCTION("IFERROR(REGEXEXTRACT(A66, ""res(269|122)""), ""none"")"),"269")</f>
        <v>269</v>
      </c>
      <c r="F66" s="1">
        <v>-15.34782</v>
      </c>
      <c r="G66" s="1">
        <v>10.0</v>
      </c>
      <c r="H66" s="1">
        <v>2.0</v>
      </c>
      <c r="I66" s="1">
        <v>0.3</v>
      </c>
      <c r="J66" s="1">
        <v>2.0</v>
      </c>
      <c r="K66" s="1">
        <v>-0.762442</v>
      </c>
      <c r="L66" s="1">
        <v>100.0</v>
      </c>
      <c r="M66" s="1">
        <v>0.0</v>
      </c>
      <c r="N66" s="1">
        <v>0.0</v>
      </c>
      <c r="O66" s="1">
        <v>98.189738</v>
      </c>
    </row>
    <row r="67">
      <c r="A67" s="1" t="s">
        <v>297</v>
      </c>
      <c r="B67" s="1" t="s">
        <v>138</v>
      </c>
      <c r="C67" s="3" t="s">
        <v>26</v>
      </c>
      <c r="D67" s="3" t="s">
        <v>413</v>
      </c>
      <c r="E67" s="1" t="str">
        <f>IFERROR(__xludf.DUMMYFUNCTION("IFERROR(REGEXEXTRACT(A67, ""res(269|122)""), ""none"")"),"269")</f>
        <v>269</v>
      </c>
      <c r="F67" s="1">
        <v>-15.442965</v>
      </c>
      <c r="G67" s="1">
        <v>7.0</v>
      </c>
      <c r="H67" s="1">
        <v>3.0</v>
      </c>
      <c r="I67" s="1">
        <v>0.285714</v>
      </c>
      <c r="J67" s="1">
        <v>2.0</v>
      </c>
      <c r="K67" s="1">
        <v>-0.995888</v>
      </c>
      <c r="L67" s="1">
        <v>100.0</v>
      </c>
      <c r="M67" s="1">
        <v>0.0</v>
      </c>
      <c r="N67" s="1">
        <v>0.0</v>
      </c>
      <c r="O67" s="1">
        <v>95.846861</v>
      </c>
    </row>
    <row r="68">
      <c r="A68" s="1" t="s">
        <v>298</v>
      </c>
      <c r="B68" s="1" t="s">
        <v>299</v>
      </c>
      <c r="C68" s="3" t="s">
        <v>26</v>
      </c>
      <c r="D68" s="3" t="s">
        <v>414</v>
      </c>
      <c r="E68" s="1" t="str">
        <f>IFERROR(__xludf.DUMMYFUNCTION("IFERROR(REGEXEXTRACT(A68, ""res(269|122)""), ""none"")"),"269")</f>
        <v>269</v>
      </c>
      <c r="F68" s="1">
        <v>-15.442965</v>
      </c>
      <c r="G68" s="1">
        <v>7.0</v>
      </c>
      <c r="H68" s="1">
        <v>3.0</v>
      </c>
      <c r="I68" s="1">
        <v>0.285714</v>
      </c>
      <c r="J68" s="1">
        <v>2.0</v>
      </c>
      <c r="K68" s="1">
        <v>-0.995888</v>
      </c>
      <c r="L68" s="1">
        <v>100.0</v>
      </c>
      <c r="M68" s="1">
        <v>0.0</v>
      </c>
      <c r="N68" s="1">
        <v>0.0</v>
      </c>
      <c r="O68" s="1">
        <v>95.846861</v>
      </c>
    </row>
    <row r="69">
      <c r="A69" s="1" t="s">
        <v>300</v>
      </c>
      <c r="B69" s="1" t="s">
        <v>301</v>
      </c>
      <c r="C69" s="3" t="s">
        <v>24</v>
      </c>
      <c r="D69" s="3" t="s">
        <v>415</v>
      </c>
      <c r="E69" s="1" t="str">
        <f>IFERROR(__xludf.DUMMYFUNCTION("IFERROR(REGEXEXTRACT(A69, ""res(269|122)""), ""none"")"),"269")</f>
        <v>269</v>
      </c>
      <c r="F69" s="1">
        <v>-16.187871</v>
      </c>
      <c r="G69" s="1">
        <v>8.0</v>
      </c>
      <c r="H69" s="1">
        <v>2.0</v>
      </c>
      <c r="I69" s="1">
        <v>0.25</v>
      </c>
      <c r="J69" s="1">
        <v>2.0</v>
      </c>
      <c r="K69" s="1">
        <v>-1.664296</v>
      </c>
      <c r="L69" s="1">
        <v>100.0</v>
      </c>
      <c r="M69" s="1">
        <v>0.0</v>
      </c>
      <c r="N69" s="1">
        <v>0.0</v>
      </c>
      <c r="O69" s="1">
        <v>94.397833</v>
      </c>
    </row>
    <row r="70">
      <c r="A70" s="1" t="s">
        <v>302</v>
      </c>
      <c r="B70" s="1" t="s">
        <v>303</v>
      </c>
      <c r="C70" s="3" t="s">
        <v>24</v>
      </c>
      <c r="D70" s="3"/>
      <c r="E70" s="1" t="str">
        <f>IFERROR(__xludf.DUMMYFUNCTION("IFERROR(REGEXEXTRACT(A70, ""res(269|122)""), ""none"")"),"269")</f>
        <v>269</v>
      </c>
      <c r="F70" s="1">
        <v>-15.122502</v>
      </c>
      <c r="G70" s="1">
        <v>9.0</v>
      </c>
      <c r="H70" s="1">
        <v>1.0</v>
      </c>
      <c r="I70" s="1">
        <v>0.333333</v>
      </c>
      <c r="J70" s="1">
        <v>2.0</v>
      </c>
      <c r="K70" s="1">
        <v>-1.2518</v>
      </c>
      <c r="L70" s="1">
        <v>100.0</v>
      </c>
      <c r="M70" s="1">
        <v>0.0</v>
      </c>
      <c r="N70" s="1">
        <v>0.0</v>
      </c>
      <c r="O70" s="1">
        <v>95.959031</v>
      </c>
    </row>
    <row r="71">
      <c r="A71" s="1" t="s">
        <v>510</v>
      </c>
      <c r="B71" s="1" t="s">
        <v>511</v>
      </c>
      <c r="C71" s="3" t="s">
        <v>95</v>
      </c>
      <c r="D71" s="3"/>
      <c r="E71" s="1" t="str">
        <f>IFERROR(__xludf.DUMMYFUNCTION("IFERROR(REGEXEXTRACT(A71, ""res(269|122)""), ""none"")"),"269")</f>
        <v>269</v>
      </c>
      <c r="F71" s="1">
        <v>-15.348449</v>
      </c>
      <c r="G71" s="1">
        <v>9.0</v>
      </c>
      <c r="H71" s="1">
        <v>2.0</v>
      </c>
      <c r="I71" s="1">
        <v>0.333333</v>
      </c>
      <c r="J71" s="1">
        <v>3.0</v>
      </c>
      <c r="K71" s="1">
        <v>-0.898482</v>
      </c>
      <c r="L71" s="1">
        <v>100.0</v>
      </c>
      <c r="M71" s="1">
        <v>0.0</v>
      </c>
      <c r="N71" s="1">
        <v>0.0</v>
      </c>
      <c r="O71" s="1">
        <v>98.086402</v>
      </c>
    </row>
    <row r="72">
      <c r="A72" s="1" t="s">
        <v>512</v>
      </c>
      <c r="B72" s="1" t="s">
        <v>513</v>
      </c>
      <c r="C72" s="3" t="s">
        <v>95</v>
      </c>
      <c r="D72" s="3"/>
      <c r="E72" s="1" t="str">
        <f>IFERROR(__xludf.DUMMYFUNCTION("IFERROR(REGEXEXTRACT(A72, ""res(269|122)""), ""none"")"),"269")</f>
        <v>269</v>
      </c>
      <c r="F72" s="1">
        <v>-15.025488</v>
      </c>
      <c r="G72" s="1">
        <v>7.0</v>
      </c>
      <c r="H72" s="1">
        <v>2.0</v>
      </c>
      <c r="I72" s="1">
        <v>0.285714</v>
      </c>
      <c r="J72" s="1">
        <v>2.0</v>
      </c>
      <c r="K72" s="1">
        <v>-0.824596</v>
      </c>
      <c r="L72" s="1">
        <v>100.0</v>
      </c>
      <c r="M72" s="1">
        <v>0.0</v>
      </c>
      <c r="N72" s="1">
        <v>0.0</v>
      </c>
      <c r="O72" s="1">
        <v>95.43563</v>
      </c>
    </row>
    <row r="73">
      <c r="A73" s="1" t="s">
        <v>514</v>
      </c>
      <c r="B73" s="1" t="s">
        <v>515</v>
      </c>
      <c r="C73" s="3" t="s">
        <v>95</v>
      </c>
      <c r="D73" s="3"/>
      <c r="E73" s="1" t="str">
        <f>IFERROR(__xludf.DUMMYFUNCTION("IFERROR(REGEXEXTRACT(A73, ""res(269|122)""), ""none"")"),"269")</f>
        <v>269</v>
      </c>
      <c r="F73" s="1">
        <v>-15.791781</v>
      </c>
      <c r="G73" s="1">
        <v>8.0</v>
      </c>
      <c r="H73" s="1">
        <v>3.0</v>
      </c>
      <c r="I73" s="1">
        <v>0.25</v>
      </c>
      <c r="J73" s="1">
        <v>2.0</v>
      </c>
      <c r="K73" s="1">
        <v>-0.755884</v>
      </c>
      <c r="L73" s="1">
        <v>100.0</v>
      </c>
      <c r="M73" s="1">
        <v>0.0</v>
      </c>
      <c r="N73" s="1">
        <v>0.0</v>
      </c>
      <c r="O73" s="1">
        <v>96.702335</v>
      </c>
    </row>
    <row r="74">
      <c r="A74" s="1" t="s">
        <v>516</v>
      </c>
      <c r="B74" s="1" t="s">
        <v>517</v>
      </c>
      <c r="C74" s="3" t="s">
        <v>95</v>
      </c>
      <c r="D74" s="3"/>
      <c r="E74" s="1" t="str">
        <f>IFERROR(__xludf.DUMMYFUNCTION("IFERROR(REGEXEXTRACT(A74, ""res(269|122)""), ""none"")"),"269")</f>
        <v>269</v>
      </c>
      <c r="F74" s="1">
        <v>-15.031921</v>
      </c>
      <c r="G74" s="1">
        <v>8.0</v>
      </c>
      <c r="H74" s="1">
        <v>2.0</v>
      </c>
      <c r="I74" s="1">
        <v>0.25</v>
      </c>
      <c r="J74" s="1">
        <v>2.0</v>
      </c>
      <c r="K74" s="1">
        <v>-1.229831</v>
      </c>
      <c r="L74" s="1">
        <v>100.0</v>
      </c>
      <c r="M74" s="1">
        <v>0.0</v>
      </c>
      <c r="N74" s="1">
        <v>0.0</v>
      </c>
      <c r="O74" s="1">
        <v>95.988248</v>
      </c>
    </row>
    <row r="75">
      <c r="A75" s="1" t="s">
        <v>518</v>
      </c>
      <c r="B75" s="1" t="s">
        <v>519</v>
      </c>
      <c r="C75" s="3" t="s">
        <v>95</v>
      </c>
      <c r="D75" s="3"/>
      <c r="E75" s="1" t="str">
        <f>IFERROR(__xludf.DUMMYFUNCTION("IFERROR(REGEXEXTRACT(A75, ""res(269|122)""), ""none"")"),"269")</f>
        <v>269</v>
      </c>
      <c r="F75" s="1">
        <v>-15.408612</v>
      </c>
      <c r="G75" s="1">
        <v>7.0</v>
      </c>
      <c r="H75" s="1">
        <v>2.0</v>
      </c>
      <c r="I75" s="1">
        <v>0.285714</v>
      </c>
      <c r="J75" s="1">
        <v>2.0</v>
      </c>
      <c r="K75" s="1">
        <v>-0.850939</v>
      </c>
      <c r="L75" s="1">
        <v>100.0</v>
      </c>
      <c r="M75" s="1">
        <v>0.0</v>
      </c>
      <c r="N75" s="1">
        <v>0.0</v>
      </c>
      <c r="O75" s="1">
        <v>95.026163</v>
      </c>
    </row>
    <row r="76">
      <c r="A76" s="1" t="s">
        <v>304</v>
      </c>
      <c r="B76" s="1" t="s">
        <v>305</v>
      </c>
      <c r="C76" s="3" t="s">
        <v>24</v>
      </c>
      <c r="D76" s="3"/>
      <c r="E76" s="1" t="str">
        <f>IFERROR(__xludf.DUMMYFUNCTION("IFERROR(REGEXEXTRACT(A76, ""res(269|122)""), ""none"")"),"269")</f>
        <v>269</v>
      </c>
      <c r="F76" s="1">
        <v>-16.909101</v>
      </c>
      <c r="G76" s="1">
        <v>8.0</v>
      </c>
      <c r="H76" s="1">
        <v>3.0</v>
      </c>
      <c r="I76" s="1">
        <v>0.5</v>
      </c>
      <c r="J76" s="1">
        <v>2.0</v>
      </c>
      <c r="K76" s="1">
        <v>-1.107364</v>
      </c>
      <c r="L76" s="1">
        <v>100.0</v>
      </c>
      <c r="M76" s="1">
        <v>0.0</v>
      </c>
      <c r="N76" s="1">
        <v>0.0</v>
      </c>
      <c r="O76" s="1">
        <v>95.483535</v>
      </c>
    </row>
    <row r="77">
      <c r="A77" s="1" t="s">
        <v>520</v>
      </c>
      <c r="B77" s="1" t="s">
        <v>521</v>
      </c>
      <c r="C77" s="3" t="s">
        <v>95</v>
      </c>
      <c r="D77" s="3"/>
      <c r="E77" s="1" t="str">
        <f>IFERROR(__xludf.DUMMYFUNCTION("IFERROR(REGEXEXTRACT(A77, ""res(269|122)""), ""none"")"),"269")</f>
        <v>269</v>
      </c>
      <c r="F77" s="1">
        <v>-15.175735</v>
      </c>
      <c r="G77" s="1">
        <v>9.0</v>
      </c>
      <c r="H77" s="1">
        <v>4.0</v>
      </c>
      <c r="I77" s="1">
        <v>0.333333</v>
      </c>
      <c r="J77" s="1">
        <v>2.0</v>
      </c>
      <c r="K77" s="1">
        <v>-1.041475</v>
      </c>
      <c r="L77" s="1">
        <v>100.0</v>
      </c>
      <c r="M77" s="1">
        <v>0.0</v>
      </c>
      <c r="N77" s="1">
        <v>0.0</v>
      </c>
      <c r="O77" s="1">
        <v>99.116123</v>
      </c>
    </row>
    <row r="78">
      <c r="A78" s="1" t="s">
        <v>306</v>
      </c>
      <c r="B78" s="1" t="s">
        <v>307</v>
      </c>
      <c r="C78" s="3" t="s">
        <v>24</v>
      </c>
      <c r="D78" s="3"/>
      <c r="E78" s="1" t="str">
        <f>IFERROR(__xludf.DUMMYFUNCTION("IFERROR(REGEXEXTRACT(A78, ""res(269|122)""), ""none"")"),"269")</f>
        <v>269</v>
      </c>
      <c r="F78" s="1">
        <v>-15.785852</v>
      </c>
      <c r="G78" s="1">
        <v>7.0</v>
      </c>
      <c r="H78" s="1">
        <v>5.0</v>
      </c>
      <c r="I78" s="1">
        <v>0.285714</v>
      </c>
      <c r="J78" s="1">
        <v>2.0</v>
      </c>
      <c r="K78" s="1">
        <v>-0.799353999999999</v>
      </c>
      <c r="L78" s="1">
        <v>100.0</v>
      </c>
      <c r="M78" s="1">
        <v>0.0</v>
      </c>
      <c r="N78" s="1">
        <v>0.0</v>
      </c>
      <c r="O78" s="1">
        <v>97.700508</v>
      </c>
    </row>
    <row r="79">
      <c r="A79" s="1" t="s">
        <v>308</v>
      </c>
      <c r="B79" s="1" t="s">
        <v>141</v>
      </c>
      <c r="C79" s="3" t="s">
        <v>33</v>
      </c>
      <c r="D79" s="3" t="s">
        <v>416</v>
      </c>
      <c r="E79" s="1" t="str">
        <f>IFERROR(__xludf.DUMMYFUNCTION("IFERROR(REGEXEXTRACT(A79, ""res(269|122)""), ""none"")"),"269")</f>
        <v>269</v>
      </c>
      <c r="F79" s="1">
        <v>-15.155078</v>
      </c>
      <c r="G79" s="1">
        <v>8.0</v>
      </c>
      <c r="H79" s="1">
        <v>2.0</v>
      </c>
      <c r="I79" s="1">
        <v>0.25</v>
      </c>
      <c r="J79" s="1">
        <v>2.0</v>
      </c>
      <c r="K79" s="1">
        <v>-0.394031</v>
      </c>
      <c r="L79" s="1">
        <v>100.0</v>
      </c>
      <c r="M79" s="1">
        <v>0.0</v>
      </c>
      <c r="N79" s="1">
        <v>0.0</v>
      </c>
      <c r="O79" s="1">
        <v>96.700891</v>
      </c>
    </row>
    <row r="80">
      <c r="A80" s="1" t="s">
        <v>309</v>
      </c>
      <c r="B80" s="1" t="s">
        <v>144</v>
      </c>
      <c r="C80" s="3" t="s">
        <v>26</v>
      </c>
      <c r="D80" s="3"/>
      <c r="E80" s="1" t="str">
        <f>IFERROR(__xludf.DUMMYFUNCTION("IFERROR(REGEXEXTRACT(A80, ""res(269|122)""), ""none"")"),"269")</f>
        <v>269</v>
      </c>
      <c r="F80" s="1">
        <v>-15.473368</v>
      </c>
      <c r="G80" s="1">
        <v>8.0</v>
      </c>
      <c r="H80" s="1">
        <v>2.0</v>
      </c>
      <c r="I80" s="1">
        <v>0.375</v>
      </c>
      <c r="J80" s="1">
        <v>2.0</v>
      </c>
      <c r="K80" s="1">
        <v>-0.972362</v>
      </c>
      <c r="L80" s="1">
        <v>100.0</v>
      </c>
      <c r="M80" s="1">
        <v>0.0</v>
      </c>
      <c r="N80" s="1">
        <v>0.0</v>
      </c>
      <c r="O80" s="1">
        <v>95.92927</v>
      </c>
    </row>
    <row r="81">
      <c r="A81" s="1" t="s">
        <v>522</v>
      </c>
      <c r="B81" s="1" t="s">
        <v>523</v>
      </c>
      <c r="C81" s="3" t="s">
        <v>95</v>
      </c>
      <c r="D81" s="3"/>
      <c r="E81" s="1" t="str">
        <f>IFERROR(__xludf.DUMMYFUNCTION("IFERROR(REGEXEXTRACT(A81, ""res(269|122)""), ""none"")"),"269")</f>
        <v>269</v>
      </c>
      <c r="F81" s="1">
        <v>-16.989951</v>
      </c>
      <c r="G81" s="1">
        <v>11.0</v>
      </c>
      <c r="H81" s="1">
        <v>2.0</v>
      </c>
      <c r="I81" s="1">
        <v>0.363636</v>
      </c>
      <c r="J81" s="1">
        <v>3.0</v>
      </c>
      <c r="K81" s="1">
        <v>-1.466325</v>
      </c>
      <c r="L81" s="1">
        <v>100.0</v>
      </c>
      <c r="M81" s="1">
        <v>0.0</v>
      </c>
      <c r="N81" s="1">
        <v>0.0</v>
      </c>
      <c r="O81" s="1">
        <v>97.90736</v>
      </c>
    </row>
    <row r="82">
      <c r="A82" s="1" t="s">
        <v>524</v>
      </c>
      <c r="B82" s="1" t="s">
        <v>525</v>
      </c>
      <c r="C82" s="3" t="s">
        <v>95</v>
      </c>
      <c r="D82" s="3"/>
      <c r="E82" s="1" t="str">
        <f>IFERROR(__xludf.DUMMYFUNCTION("IFERROR(REGEXEXTRACT(A82, ""res(269|122)""), ""none"")"),"269")</f>
        <v>269</v>
      </c>
      <c r="F82" s="1">
        <v>-16.839472</v>
      </c>
      <c r="G82" s="1">
        <v>8.0</v>
      </c>
      <c r="H82" s="1">
        <v>3.0</v>
      </c>
      <c r="I82" s="1">
        <v>0.25</v>
      </c>
      <c r="J82" s="1">
        <v>2.0</v>
      </c>
      <c r="K82" s="1">
        <v>-0.470774</v>
      </c>
      <c r="L82" s="1">
        <v>100.0</v>
      </c>
      <c r="M82" s="1">
        <v>0.0</v>
      </c>
      <c r="N82" s="1">
        <v>0.0</v>
      </c>
      <c r="O82" s="1">
        <v>95.939754</v>
      </c>
    </row>
    <row r="83">
      <c r="A83" s="1" t="s">
        <v>526</v>
      </c>
      <c r="B83" s="1" t="s">
        <v>527</v>
      </c>
      <c r="C83" s="3" t="s">
        <v>95</v>
      </c>
      <c r="D83" s="3" t="s">
        <v>1057</v>
      </c>
      <c r="E83" s="1" t="str">
        <f>IFERROR(__xludf.DUMMYFUNCTION("IFERROR(REGEXEXTRACT(A83, ""res(269|122)""), ""none"")"),"269")</f>
        <v>269</v>
      </c>
      <c r="F83" s="1">
        <v>-15.204053</v>
      </c>
      <c r="G83" s="1">
        <v>9.0</v>
      </c>
      <c r="H83" s="1">
        <v>3.0</v>
      </c>
      <c r="I83" s="1">
        <v>0.444444</v>
      </c>
      <c r="J83" s="1">
        <v>2.0</v>
      </c>
      <c r="K83" s="1">
        <v>-1.136467</v>
      </c>
      <c r="L83" s="1">
        <v>100.0</v>
      </c>
      <c r="M83" s="1">
        <v>0.0</v>
      </c>
      <c r="N83" s="1">
        <v>0.0</v>
      </c>
      <c r="O83" s="1">
        <v>98.103924</v>
      </c>
    </row>
    <row r="84">
      <c r="A84" s="1" t="s">
        <v>528</v>
      </c>
      <c r="B84" s="1" t="s">
        <v>529</v>
      </c>
      <c r="C84" s="3" t="s">
        <v>95</v>
      </c>
      <c r="D84" s="3" t="s">
        <v>1058</v>
      </c>
      <c r="E84" s="1" t="str">
        <f>IFERROR(__xludf.DUMMYFUNCTION("IFERROR(REGEXEXTRACT(A84, ""res(269|122)""), ""none"")"),"269")</f>
        <v>269</v>
      </c>
      <c r="F84" s="1">
        <v>-15.204053</v>
      </c>
      <c r="G84" s="1">
        <v>9.0</v>
      </c>
      <c r="H84" s="1">
        <v>3.0</v>
      </c>
      <c r="I84" s="1">
        <v>0.444444</v>
      </c>
      <c r="J84" s="1">
        <v>2.0</v>
      </c>
      <c r="K84" s="1">
        <v>-1.136467</v>
      </c>
      <c r="L84" s="1">
        <v>100.0</v>
      </c>
      <c r="M84" s="1">
        <v>0.0</v>
      </c>
      <c r="N84" s="1">
        <v>0.0</v>
      </c>
      <c r="O84" s="1">
        <v>98.103924</v>
      </c>
    </row>
    <row r="85">
      <c r="A85" s="1" t="s">
        <v>530</v>
      </c>
      <c r="B85" s="1" t="s">
        <v>531</v>
      </c>
      <c r="C85" s="3" t="s">
        <v>95</v>
      </c>
      <c r="D85" s="3"/>
      <c r="E85" s="1" t="str">
        <f>IFERROR(__xludf.DUMMYFUNCTION("IFERROR(REGEXEXTRACT(A85, ""res(269|122)""), ""none"")"),"269")</f>
        <v>269</v>
      </c>
      <c r="F85" s="1">
        <v>-15.460704</v>
      </c>
      <c r="G85" s="1">
        <v>7.0</v>
      </c>
      <c r="H85" s="1">
        <v>2.0</v>
      </c>
      <c r="I85" s="1">
        <v>0.428571</v>
      </c>
      <c r="J85" s="1">
        <v>2.0</v>
      </c>
      <c r="K85" s="1">
        <v>-0.528978</v>
      </c>
      <c r="L85" s="1">
        <v>100.0</v>
      </c>
      <c r="M85" s="1">
        <v>0.0</v>
      </c>
      <c r="N85" s="1">
        <v>0.0</v>
      </c>
      <c r="O85" s="1">
        <v>95.438889</v>
      </c>
    </row>
    <row r="86">
      <c r="A86" s="1" t="s">
        <v>310</v>
      </c>
      <c r="B86" s="1" t="s">
        <v>147</v>
      </c>
      <c r="C86" s="3" t="s">
        <v>26</v>
      </c>
      <c r="D86" s="3" t="s">
        <v>417</v>
      </c>
      <c r="E86" s="1" t="str">
        <f>IFERROR(__xludf.DUMMYFUNCTION("IFERROR(REGEXEXTRACT(A86, ""res(269|122)""), ""none"")"),"269")</f>
        <v>269</v>
      </c>
      <c r="F86" s="1">
        <v>-15.32929</v>
      </c>
      <c r="G86" s="1">
        <v>9.0</v>
      </c>
      <c r="H86" s="1">
        <v>2.0</v>
      </c>
      <c r="I86" s="1">
        <v>0.444444</v>
      </c>
      <c r="J86" s="1">
        <v>3.0</v>
      </c>
      <c r="K86" s="1">
        <v>-1.169854</v>
      </c>
      <c r="L86" s="1">
        <v>100.0</v>
      </c>
      <c r="M86" s="1">
        <v>0.0</v>
      </c>
      <c r="N86" s="1">
        <v>0.0</v>
      </c>
      <c r="O86" s="1">
        <v>97.9453</v>
      </c>
    </row>
    <row r="87">
      <c r="A87" s="1" t="s">
        <v>311</v>
      </c>
      <c r="B87" s="1" t="s">
        <v>312</v>
      </c>
      <c r="C87" s="3" t="s">
        <v>24</v>
      </c>
      <c r="D87" s="3"/>
      <c r="E87" s="1" t="str">
        <f>IFERROR(__xludf.DUMMYFUNCTION("IFERROR(REGEXEXTRACT(A87, ""res(269|122)""), ""none"")"),"269")</f>
        <v>269</v>
      </c>
      <c r="F87" s="1">
        <v>-17.46746</v>
      </c>
      <c r="G87" s="1">
        <v>9.0</v>
      </c>
      <c r="H87" s="1">
        <v>2.0</v>
      </c>
      <c r="I87" s="1">
        <v>0.333333</v>
      </c>
      <c r="J87" s="1">
        <v>2.0</v>
      </c>
      <c r="K87" s="1">
        <v>-0.960204</v>
      </c>
      <c r="L87" s="1">
        <v>100.0</v>
      </c>
      <c r="M87" s="1">
        <v>0.0</v>
      </c>
      <c r="N87" s="1">
        <v>0.0</v>
      </c>
      <c r="O87" s="1">
        <v>94.905669</v>
      </c>
    </row>
    <row r="88">
      <c r="A88" s="1" t="s">
        <v>313</v>
      </c>
      <c r="B88" s="1" t="s">
        <v>314</v>
      </c>
      <c r="C88" s="3" t="s">
        <v>24</v>
      </c>
      <c r="D88" s="3"/>
      <c r="E88" s="1" t="str">
        <f>IFERROR(__xludf.DUMMYFUNCTION("IFERROR(REGEXEXTRACT(A88, ""res(269|122)""), ""none"")"),"269")</f>
        <v>269</v>
      </c>
      <c r="F88" s="1">
        <v>-15.769609</v>
      </c>
      <c r="G88" s="1">
        <v>8.0</v>
      </c>
      <c r="H88" s="1">
        <v>2.0</v>
      </c>
      <c r="I88" s="1">
        <v>0.25</v>
      </c>
      <c r="J88" s="1">
        <v>2.0</v>
      </c>
      <c r="K88" s="1">
        <v>-1.998276</v>
      </c>
      <c r="L88" s="1">
        <v>100.0</v>
      </c>
      <c r="M88" s="1">
        <v>0.0</v>
      </c>
      <c r="N88" s="1">
        <v>0.0</v>
      </c>
      <c r="O88" s="1">
        <v>94.482115</v>
      </c>
    </row>
    <row r="89">
      <c r="A89" s="1" t="s">
        <v>532</v>
      </c>
      <c r="B89" s="1" t="s">
        <v>533</v>
      </c>
      <c r="C89" s="3" t="s">
        <v>95</v>
      </c>
      <c r="D89" s="3"/>
      <c r="E89" s="1" t="str">
        <f>IFERROR(__xludf.DUMMYFUNCTION("IFERROR(REGEXEXTRACT(A89, ""res(269|122)""), ""none"")"),"269")</f>
        <v>269</v>
      </c>
      <c r="F89" s="1">
        <v>-16.236242</v>
      </c>
      <c r="G89" s="1">
        <v>7.0</v>
      </c>
      <c r="H89" s="1">
        <v>2.0</v>
      </c>
      <c r="I89" s="1">
        <v>0.428571</v>
      </c>
      <c r="J89" s="1">
        <v>2.0</v>
      </c>
      <c r="K89" s="1">
        <v>-0.505698</v>
      </c>
      <c r="L89" s="1">
        <v>100.0</v>
      </c>
      <c r="M89" s="1">
        <v>0.0</v>
      </c>
      <c r="N89" s="1">
        <v>0.0</v>
      </c>
      <c r="O89" s="1">
        <v>94.686631</v>
      </c>
    </row>
    <row r="90">
      <c r="A90" s="1" t="s">
        <v>315</v>
      </c>
      <c r="B90" s="1" t="s">
        <v>316</v>
      </c>
      <c r="C90" s="3" t="s">
        <v>24</v>
      </c>
      <c r="D90" s="3"/>
      <c r="E90" s="1" t="str">
        <f>IFERROR(__xludf.DUMMYFUNCTION("IFERROR(REGEXEXTRACT(A90, ""res(269|122)""), ""none"")"),"269")</f>
        <v>269</v>
      </c>
      <c r="F90" s="1">
        <v>-16.531836</v>
      </c>
      <c r="G90" s="1">
        <v>10.0</v>
      </c>
      <c r="H90" s="1">
        <v>2.0</v>
      </c>
      <c r="I90" s="1">
        <v>0.3</v>
      </c>
      <c r="J90" s="1">
        <v>2.0</v>
      </c>
      <c r="K90" s="1">
        <v>-0.888794</v>
      </c>
      <c r="L90" s="1">
        <v>100.0</v>
      </c>
      <c r="M90" s="1">
        <v>0.0</v>
      </c>
      <c r="N90" s="1">
        <v>0.0</v>
      </c>
      <c r="O90" s="1">
        <v>96.87937</v>
      </c>
    </row>
    <row r="91">
      <c r="A91" s="1" t="s">
        <v>534</v>
      </c>
      <c r="B91" s="1" t="s">
        <v>535</v>
      </c>
      <c r="C91" s="3" t="s">
        <v>95</v>
      </c>
      <c r="D91" s="3"/>
      <c r="E91" s="1" t="str">
        <f>IFERROR(__xludf.DUMMYFUNCTION("IFERROR(REGEXEXTRACT(A91, ""res(269|122)""), ""none"")"),"269")</f>
        <v>269</v>
      </c>
      <c r="F91" s="1">
        <v>-17.325922</v>
      </c>
      <c r="G91" s="1">
        <v>8.0</v>
      </c>
      <c r="H91" s="1">
        <v>2.0</v>
      </c>
      <c r="I91" s="1">
        <v>0.25</v>
      </c>
      <c r="J91" s="1">
        <v>2.0</v>
      </c>
      <c r="K91" s="1">
        <v>-0.547214</v>
      </c>
      <c r="L91" s="1">
        <v>100.0</v>
      </c>
      <c r="M91" s="1">
        <v>0.0</v>
      </c>
      <c r="N91" s="1">
        <v>0.0</v>
      </c>
      <c r="O91" s="1">
        <v>94.376864</v>
      </c>
    </row>
    <row r="92">
      <c r="A92" s="1" t="s">
        <v>536</v>
      </c>
      <c r="B92" s="1" t="s">
        <v>537</v>
      </c>
      <c r="C92" s="3" t="s">
        <v>95</v>
      </c>
      <c r="D92" s="3"/>
      <c r="E92" s="1" t="str">
        <f>IFERROR(__xludf.DUMMYFUNCTION("IFERROR(REGEXEXTRACT(A92, ""res(269|122)""), ""none"")"),"269")</f>
        <v>269</v>
      </c>
      <c r="F92" s="1">
        <v>-15.253563</v>
      </c>
      <c r="G92" s="1">
        <v>8.0</v>
      </c>
      <c r="H92" s="1">
        <v>2.0</v>
      </c>
      <c r="I92" s="1">
        <v>0.375</v>
      </c>
      <c r="J92" s="1">
        <v>2.0</v>
      </c>
      <c r="K92" s="1">
        <v>-0.551176999999999</v>
      </c>
      <c r="L92" s="1">
        <v>100.0</v>
      </c>
      <c r="M92" s="1">
        <v>0.0</v>
      </c>
      <c r="N92" s="1">
        <v>0.0</v>
      </c>
      <c r="O92" s="1">
        <v>96.57026</v>
      </c>
    </row>
    <row r="93">
      <c r="A93" s="1" t="s">
        <v>317</v>
      </c>
      <c r="B93" s="1" t="s">
        <v>318</v>
      </c>
      <c r="C93" s="3" t="s">
        <v>24</v>
      </c>
      <c r="D93" s="3"/>
      <c r="E93" s="1" t="str">
        <f>IFERROR(__xludf.DUMMYFUNCTION("IFERROR(REGEXEXTRACT(A93, ""res(269|122)""), ""none"")"),"269")</f>
        <v>269</v>
      </c>
      <c r="F93" s="1">
        <v>-15.695983</v>
      </c>
      <c r="G93" s="1">
        <v>8.0</v>
      </c>
      <c r="H93" s="1">
        <v>3.0</v>
      </c>
      <c r="I93" s="1">
        <v>0.375</v>
      </c>
      <c r="J93" s="1">
        <v>2.0</v>
      </c>
      <c r="K93" s="1">
        <v>-0.764023</v>
      </c>
      <c r="L93" s="1">
        <v>100.0</v>
      </c>
      <c r="M93" s="1">
        <v>0.0</v>
      </c>
      <c r="N93" s="1">
        <v>0.0</v>
      </c>
      <c r="O93" s="1">
        <v>96.914994</v>
      </c>
    </row>
    <row r="94">
      <c r="A94" s="1" t="s">
        <v>538</v>
      </c>
      <c r="B94" s="1" t="s">
        <v>539</v>
      </c>
      <c r="C94" s="3" t="s">
        <v>95</v>
      </c>
      <c r="D94" s="3"/>
      <c r="E94" s="1" t="str">
        <f>IFERROR(__xludf.DUMMYFUNCTION("IFERROR(REGEXEXTRACT(A94, ""res(269|122)""), ""none"")"),"269")</f>
        <v>269</v>
      </c>
      <c r="F94" s="1">
        <v>-15.251704</v>
      </c>
      <c r="G94" s="1">
        <v>7.0</v>
      </c>
      <c r="H94" s="1">
        <v>4.0</v>
      </c>
      <c r="I94" s="1">
        <v>0.428571</v>
      </c>
      <c r="J94" s="1">
        <v>2.0</v>
      </c>
      <c r="K94" s="1">
        <v>-1.266081</v>
      </c>
      <c r="L94" s="1">
        <v>100.0</v>
      </c>
      <c r="M94" s="1">
        <v>0.0</v>
      </c>
      <c r="N94" s="1">
        <v>0.0</v>
      </c>
      <c r="O94" s="1">
        <v>96.910786</v>
      </c>
    </row>
    <row r="95">
      <c r="A95" s="1" t="s">
        <v>319</v>
      </c>
      <c r="B95" s="1" t="s">
        <v>150</v>
      </c>
      <c r="C95" s="3" t="s">
        <v>26</v>
      </c>
      <c r="D95" s="3"/>
      <c r="E95" s="1" t="str">
        <f>IFERROR(__xludf.DUMMYFUNCTION("IFERROR(REGEXEXTRACT(A95, ""res(269|122)""), ""none"")"),"269")</f>
        <v>269</v>
      </c>
      <c r="F95" s="1">
        <v>-16.574584</v>
      </c>
      <c r="G95" s="1">
        <v>6.0</v>
      </c>
      <c r="H95" s="1">
        <v>1.0</v>
      </c>
      <c r="I95" s="1">
        <v>0.333333</v>
      </c>
      <c r="J95" s="1">
        <v>2.0</v>
      </c>
      <c r="K95" s="1">
        <v>-0.53138</v>
      </c>
      <c r="L95" s="1">
        <v>100.0</v>
      </c>
      <c r="M95" s="1">
        <v>0.0</v>
      </c>
      <c r="N95" s="1">
        <v>0.0</v>
      </c>
      <c r="O95" s="1">
        <v>92.227369</v>
      </c>
    </row>
    <row r="96">
      <c r="A96" s="1" t="s">
        <v>540</v>
      </c>
      <c r="B96" s="1" t="s">
        <v>541</v>
      </c>
      <c r="C96" s="3" t="s">
        <v>95</v>
      </c>
      <c r="D96" s="3"/>
      <c r="E96" s="1" t="str">
        <f>IFERROR(__xludf.DUMMYFUNCTION("IFERROR(REGEXEXTRACT(A96, ""res(269|122)""), ""none"")"),"269")</f>
        <v>269</v>
      </c>
      <c r="F96" s="1">
        <v>-15.023619</v>
      </c>
      <c r="G96" s="1">
        <v>9.0</v>
      </c>
      <c r="H96" s="1">
        <v>5.0</v>
      </c>
      <c r="I96" s="1">
        <v>0.333333</v>
      </c>
      <c r="J96" s="1">
        <v>2.0</v>
      </c>
      <c r="K96" s="1">
        <v>-0.778283</v>
      </c>
      <c r="L96" s="1">
        <v>100.0</v>
      </c>
      <c r="M96" s="1">
        <v>0.0</v>
      </c>
      <c r="N96" s="1">
        <v>0.0</v>
      </c>
      <c r="O96" s="1">
        <v>100.531431</v>
      </c>
    </row>
    <row r="97">
      <c r="A97" s="1" t="s">
        <v>542</v>
      </c>
      <c r="B97" s="1" t="s">
        <v>543</v>
      </c>
      <c r="C97" s="3" t="s">
        <v>95</v>
      </c>
      <c r="D97" s="3"/>
      <c r="E97" s="1" t="str">
        <f>IFERROR(__xludf.DUMMYFUNCTION("IFERROR(REGEXEXTRACT(A97, ""res(269|122)""), ""none"")"),"269")</f>
        <v>269</v>
      </c>
      <c r="F97" s="1">
        <v>-16.079465</v>
      </c>
      <c r="G97" s="1">
        <v>9.0</v>
      </c>
      <c r="H97" s="1">
        <v>2.0</v>
      </c>
      <c r="I97" s="1">
        <v>0.444444</v>
      </c>
      <c r="J97" s="1">
        <v>2.0</v>
      </c>
      <c r="K97" s="1">
        <v>-0.993186</v>
      </c>
      <c r="L97" s="1">
        <v>100.0</v>
      </c>
      <c r="M97" s="1">
        <v>0.0</v>
      </c>
      <c r="N97" s="1">
        <v>0.0</v>
      </c>
      <c r="O97" s="1">
        <v>96.371793</v>
      </c>
    </row>
    <row r="98">
      <c r="A98" s="1" t="s">
        <v>544</v>
      </c>
      <c r="B98" s="1" t="s">
        <v>545</v>
      </c>
      <c r="C98" s="3" t="s">
        <v>95</v>
      </c>
      <c r="D98" s="3"/>
      <c r="E98" s="1" t="str">
        <f>IFERROR(__xludf.DUMMYFUNCTION("IFERROR(REGEXEXTRACT(A98, ""res(269|122)""), ""none"")"),"269")</f>
        <v>269</v>
      </c>
      <c r="F98" s="1">
        <v>-16.487107</v>
      </c>
      <c r="G98" s="1">
        <v>8.0</v>
      </c>
      <c r="H98" s="1">
        <v>5.0</v>
      </c>
      <c r="I98" s="1">
        <v>0.25</v>
      </c>
      <c r="J98" s="1">
        <v>2.0</v>
      </c>
      <c r="K98" s="1">
        <v>-0.272644</v>
      </c>
      <c r="L98" s="1">
        <v>100.0</v>
      </c>
      <c r="M98" s="1">
        <v>0.0</v>
      </c>
      <c r="N98" s="1">
        <v>0.0</v>
      </c>
      <c r="O98" s="1">
        <v>98.490249</v>
      </c>
    </row>
    <row r="99">
      <c r="A99" s="1" t="s">
        <v>320</v>
      </c>
      <c r="B99" s="1" t="s">
        <v>153</v>
      </c>
      <c r="C99" s="3" t="s">
        <v>26</v>
      </c>
      <c r="D99" s="3" t="s">
        <v>418</v>
      </c>
      <c r="E99" s="1" t="str">
        <f>IFERROR(__xludf.DUMMYFUNCTION("IFERROR(REGEXEXTRACT(A99, ""res(269|122)""), ""none"")"),"269")</f>
        <v>269</v>
      </c>
      <c r="F99" s="1">
        <v>-16.381515</v>
      </c>
      <c r="G99" s="1">
        <v>6.0</v>
      </c>
      <c r="H99" s="1">
        <v>3.0</v>
      </c>
      <c r="I99" s="1">
        <v>0.5</v>
      </c>
      <c r="J99" s="1">
        <v>2.0</v>
      </c>
      <c r="K99" s="1">
        <v>-0.391175999999999</v>
      </c>
      <c r="L99" s="1">
        <v>100.0</v>
      </c>
      <c r="M99" s="1">
        <v>0.0</v>
      </c>
      <c r="N99" s="1">
        <v>0.0</v>
      </c>
      <c r="O99" s="1">
        <v>94.727309</v>
      </c>
    </row>
    <row r="100">
      <c r="A100" s="1" t="s">
        <v>321</v>
      </c>
      <c r="B100" s="1" t="s">
        <v>322</v>
      </c>
      <c r="C100" s="3" t="s">
        <v>26</v>
      </c>
      <c r="D100" s="3" t="s">
        <v>419</v>
      </c>
      <c r="E100" s="1" t="str">
        <f>IFERROR(__xludf.DUMMYFUNCTION("IFERROR(REGEXEXTRACT(A100, ""res(269|122)""), ""none"")"),"269")</f>
        <v>269</v>
      </c>
      <c r="F100" s="1">
        <v>-16.381515</v>
      </c>
      <c r="G100" s="1">
        <v>6.0</v>
      </c>
      <c r="H100" s="1">
        <v>3.0</v>
      </c>
      <c r="I100" s="1">
        <v>0.5</v>
      </c>
      <c r="J100" s="1">
        <v>2.0</v>
      </c>
      <c r="K100" s="1">
        <v>-0.391175999999999</v>
      </c>
      <c r="L100" s="1">
        <v>100.0</v>
      </c>
      <c r="M100" s="1">
        <v>0.0</v>
      </c>
      <c r="N100" s="1">
        <v>0.0</v>
      </c>
      <c r="O100" s="1">
        <v>94.727309</v>
      </c>
    </row>
    <row r="101">
      <c r="A101" s="1" t="s">
        <v>323</v>
      </c>
      <c r="B101" s="1" t="s">
        <v>324</v>
      </c>
      <c r="C101" s="3" t="s">
        <v>26</v>
      </c>
      <c r="D101" s="3" t="s">
        <v>420</v>
      </c>
      <c r="E101" s="1" t="str">
        <f>IFERROR(__xludf.DUMMYFUNCTION("IFERROR(REGEXEXTRACT(A101, ""res(269|122)""), ""none"")"),"269")</f>
        <v>269</v>
      </c>
      <c r="F101" s="1">
        <v>-16.381515</v>
      </c>
      <c r="G101" s="1">
        <v>6.0</v>
      </c>
      <c r="H101" s="1">
        <v>3.0</v>
      </c>
      <c r="I101" s="1">
        <v>0.5</v>
      </c>
      <c r="J101" s="1">
        <v>2.0</v>
      </c>
      <c r="K101" s="1">
        <v>-0.391175999999999</v>
      </c>
      <c r="L101" s="1">
        <v>100.0</v>
      </c>
      <c r="M101" s="1">
        <v>0.0</v>
      </c>
      <c r="N101" s="1">
        <v>0.0</v>
      </c>
      <c r="O101" s="1">
        <v>94.727309</v>
      </c>
    </row>
    <row r="102">
      <c r="A102" s="1" t="s">
        <v>325</v>
      </c>
      <c r="B102" s="1" t="s">
        <v>326</v>
      </c>
      <c r="C102" s="3" t="s">
        <v>24</v>
      </c>
      <c r="D102" s="3"/>
      <c r="E102" s="1" t="str">
        <f>IFERROR(__xludf.DUMMYFUNCTION("IFERROR(REGEXEXTRACT(A102, ""res(269|122)""), ""none"")"),"269")</f>
        <v>269</v>
      </c>
      <c r="F102" s="1">
        <v>-16.758312</v>
      </c>
      <c r="G102" s="1">
        <v>7.0</v>
      </c>
      <c r="H102" s="1">
        <v>4.0</v>
      </c>
      <c r="I102" s="1">
        <v>0.428571</v>
      </c>
      <c r="J102" s="1">
        <v>2.0</v>
      </c>
      <c r="K102" s="1">
        <v>-1.542056</v>
      </c>
      <c r="L102" s="1">
        <v>100.0</v>
      </c>
      <c r="M102" s="1">
        <v>0.0</v>
      </c>
      <c r="N102" s="1">
        <v>0.0</v>
      </c>
      <c r="O102" s="1">
        <v>95.128203</v>
      </c>
    </row>
    <row r="103">
      <c r="A103" s="1" t="s">
        <v>546</v>
      </c>
      <c r="B103" s="1" t="s">
        <v>547</v>
      </c>
      <c r="C103" s="3" t="s">
        <v>95</v>
      </c>
      <c r="D103" s="3"/>
      <c r="E103" s="1" t="str">
        <f>IFERROR(__xludf.DUMMYFUNCTION("IFERROR(REGEXEXTRACT(A103, ""res(269|122)""), ""none"")"),"269")</f>
        <v>269</v>
      </c>
      <c r="F103" s="1">
        <v>-16.555124</v>
      </c>
      <c r="G103" s="1">
        <v>8.0</v>
      </c>
      <c r="H103" s="1">
        <v>5.0</v>
      </c>
      <c r="I103" s="1">
        <v>0.25</v>
      </c>
      <c r="J103" s="1">
        <v>2.0</v>
      </c>
      <c r="K103" s="1">
        <v>-0.655343</v>
      </c>
      <c r="L103" s="1">
        <v>100.0</v>
      </c>
      <c r="M103" s="1">
        <v>0.0</v>
      </c>
      <c r="N103" s="1">
        <v>0.0</v>
      </c>
      <c r="O103" s="1">
        <v>98.039533</v>
      </c>
    </row>
    <row r="104">
      <c r="A104" s="1" t="s">
        <v>548</v>
      </c>
      <c r="B104" s="1" t="s">
        <v>549</v>
      </c>
      <c r="C104" s="3" t="s">
        <v>95</v>
      </c>
      <c r="D104" s="3"/>
      <c r="E104" s="1" t="str">
        <f>IFERROR(__xludf.DUMMYFUNCTION("IFERROR(REGEXEXTRACT(A104, ""res(269|122)""), ""none"")"),"269")</f>
        <v>269</v>
      </c>
      <c r="F104" s="1">
        <v>-16.280026</v>
      </c>
      <c r="G104" s="1">
        <v>10.0</v>
      </c>
      <c r="H104" s="1">
        <v>5.0</v>
      </c>
      <c r="I104" s="1">
        <v>0.4</v>
      </c>
      <c r="J104" s="1">
        <v>2.0</v>
      </c>
      <c r="K104" s="1">
        <v>-0.787125</v>
      </c>
      <c r="L104" s="1">
        <v>100.0</v>
      </c>
      <c r="M104" s="1">
        <v>0.0</v>
      </c>
      <c r="N104" s="1">
        <v>0.0</v>
      </c>
      <c r="O104" s="1">
        <v>100.332849</v>
      </c>
    </row>
    <row r="105">
      <c r="A105" s="1" t="s">
        <v>550</v>
      </c>
      <c r="B105" s="1" t="s">
        <v>551</v>
      </c>
      <c r="C105" s="3" t="s">
        <v>95</v>
      </c>
      <c r="D105" s="3"/>
      <c r="E105" s="1" t="str">
        <f>IFERROR(__xludf.DUMMYFUNCTION("IFERROR(REGEXEXTRACT(A105, ""res(269|122)""), ""none"")"),"269")</f>
        <v>269</v>
      </c>
      <c r="F105" s="1">
        <v>-15.097785</v>
      </c>
      <c r="G105" s="1">
        <v>7.0</v>
      </c>
      <c r="H105" s="1">
        <v>2.0</v>
      </c>
      <c r="I105" s="1">
        <v>0.285714</v>
      </c>
      <c r="J105" s="1">
        <v>2.0</v>
      </c>
      <c r="K105" s="1">
        <v>-0.30494</v>
      </c>
      <c r="L105" s="1">
        <v>100.0</v>
      </c>
      <c r="M105" s="1">
        <v>0.0</v>
      </c>
      <c r="N105" s="1">
        <v>0.0</v>
      </c>
      <c r="O105" s="1">
        <v>95.882989</v>
      </c>
    </row>
    <row r="106">
      <c r="A106" s="1" t="s">
        <v>327</v>
      </c>
      <c r="B106" s="1" t="s">
        <v>156</v>
      </c>
      <c r="C106" s="3" t="s">
        <v>24</v>
      </c>
      <c r="D106" s="3"/>
      <c r="E106" s="1" t="str">
        <f>IFERROR(__xludf.DUMMYFUNCTION("IFERROR(REGEXEXTRACT(A106, ""res(269|122)""), ""none"")"),"269")</f>
        <v>269</v>
      </c>
      <c r="F106" s="1">
        <v>-16.196607</v>
      </c>
      <c r="G106" s="1">
        <v>8.0</v>
      </c>
      <c r="H106" s="1">
        <v>5.0</v>
      </c>
      <c r="I106" s="1">
        <v>0.625</v>
      </c>
      <c r="J106" s="1">
        <v>3.0</v>
      </c>
      <c r="K106" s="1">
        <v>-1.08205699999999</v>
      </c>
      <c r="L106" s="1">
        <v>100.0</v>
      </c>
      <c r="M106" s="1">
        <v>0.0</v>
      </c>
      <c r="N106" s="1">
        <v>0.0</v>
      </c>
      <c r="O106" s="1">
        <v>99.346336</v>
      </c>
    </row>
    <row r="107">
      <c r="A107" s="1" t="s">
        <v>328</v>
      </c>
      <c r="B107" s="1" t="s">
        <v>329</v>
      </c>
      <c r="C107" s="3" t="s">
        <v>24</v>
      </c>
      <c r="D107" s="3"/>
      <c r="E107" s="1" t="str">
        <f>IFERROR(__xludf.DUMMYFUNCTION("IFERROR(REGEXEXTRACT(A107, ""res(269|122)""), ""none"")"),"269")</f>
        <v>269</v>
      </c>
      <c r="F107" s="1">
        <v>-15.182474</v>
      </c>
      <c r="G107" s="1">
        <v>7.0</v>
      </c>
      <c r="H107" s="1">
        <v>2.0</v>
      </c>
      <c r="I107" s="1">
        <v>0.285714</v>
      </c>
      <c r="J107" s="1">
        <v>2.0</v>
      </c>
      <c r="K107" s="1">
        <v>-0.62157</v>
      </c>
      <c r="L107" s="1">
        <v>100.0</v>
      </c>
      <c r="M107" s="1">
        <v>0.0</v>
      </c>
      <c r="N107" s="1">
        <v>0.0</v>
      </c>
      <c r="O107" s="1">
        <v>95.48167</v>
      </c>
    </row>
    <row r="108">
      <c r="A108" s="1" t="s">
        <v>330</v>
      </c>
      <c r="B108" s="1" t="s">
        <v>159</v>
      </c>
      <c r="C108" s="3" t="s">
        <v>24</v>
      </c>
      <c r="D108" s="3"/>
      <c r="E108" s="1" t="str">
        <f>IFERROR(__xludf.DUMMYFUNCTION("IFERROR(REGEXEXTRACT(A108, ""res(269|122)""), ""none"")"),"269")</f>
        <v>269</v>
      </c>
      <c r="F108" s="1">
        <v>-17.250811</v>
      </c>
      <c r="G108" s="1">
        <v>11.0</v>
      </c>
      <c r="H108" s="1">
        <v>5.0</v>
      </c>
      <c r="I108" s="1">
        <v>0.272727</v>
      </c>
      <c r="J108" s="1">
        <v>2.0</v>
      </c>
      <c r="K108" s="1">
        <v>-0.713731</v>
      </c>
      <c r="L108" s="1">
        <v>100.0</v>
      </c>
      <c r="M108" s="1">
        <v>0.0</v>
      </c>
      <c r="N108" s="1">
        <v>0.0</v>
      </c>
      <c r="O108" s="1">
        <v>100.308185</v>
      </c>
    </row>
    <row r="109">
      <c r="A109" s="1" t="s">
        <v>552</v>
      </c>
      <c r="B109" s="1" t="s">
        <v>553</v>
      </c>
      <c r="C109" s="3" t="s">
        <v>95</v>
      </c>
      <c r="D109" s="3"/>
      <c r="E109" s="1" t="str">
        <f>IFERROR(__xludf.DUMMYFUNCTION("IFERROR(REGEXEXTRACT(A109, ""res(269|122)""), ""none"")"),"269")</f>
        <v>269</v>
      </c>
      <c r="F109" s="1">
        <v>-15.356335</v>
      </c>
      <c r="G109" s="1">
        <v>8.0</v>
      </c>
      <c r="H109" s="1">
        <v>5.0</v>
      </c>
      <c r="I109" s="1">
        <v>0.25</v>
      </c>
      <c r="J109" s="1">
        <v>2.0</v>
      </c>
      <c r="K109" s="1">
        <v>-1.57059099999999</v>
      </c>
      <c r="L109" s="1">
        <v>100.0</v>
      </c>
      <c r="M109" s="1">
        <v>0.0</v>
      </c>
      <c r="N109" s="1">
        <v>0.0</v>
      </c>
      <c r="O109" s="1">
        <v>98.323074</v>
      </c>
    </row>
    <row r="110">
      <c r="A110" s="1" t="s">
        <v>554</v>
      </c>
      <c r="B110" s="1" t="s">
        <v>555</v>
      </c>
      <c r="C110" s="3" t="s">
        <v>95</v>
      </c>
      <c r="D110" s="3"/>
      <c r="E110" s="1" t="str">
        <f>IFERROR(__xludf.DUMMYFUNCTION("IFERROR(REGEXEXTRACT(A110, ""res(269|122)""), ""none"")"),"269")</f>
        <v>269</v>
      </c>
      <c r="F110" s="1">
        <v>-15.652692</v>
      </c>
      <c r="G110" s="1">
        <v>9.0</v>
      </c>
      <c r="H110" s="1">
        <v>5.0</v>
      </c>
      <c r="I110" s="1">
        <v>0.333333</v>
      </c>
      <c r="J110" s="1">
        <v>2.0</v>
      </c>
      <c r="K110" s="1">
        <v>-1.198917</v>
      </c>
      <c r="L110" s="1">
        <v>100.0</v>
      </c>
      <c r="M110" s="1">
        <v>0.0</v>
      </c>
      <c r="N110" s="1">
        <v>0.0</v>
      </c>
      <c r="O110" s="1">
        <v>99.481724</v>
      </c>
    </row>
    <row r="111">
      <c r="A111" s="1" t="s">
        <v>331</v>
      </c>
      <c r="B111" s="1" t="s">
        <v>332</v>
      </c>
      <c r="C111" s="3" t="s">
        <v>24</v>
      </c>
      <c r="D111" s="3"/>
      <c r="E111" s="1" t="str">
        <f>IFERROR(__xludf.DUMMYFUNCTION("IFERROR(REGEXEXTRACT(A111, ""res(269|122)""), ""none"")"),"269")</f>
        <v>269</v>
      </c>
      <c r="F111" s="1">
        <v>-15.813539</v>
      </c>
      <c r="G111" s="1">
        <v>8.0</v>
      </c>
      <c r="H111" s="1">
        <v>4.0</v>
      </c>
      <c r="I111" s="1">
        <v>0.375</v>
      </c>
      <c r="J111" s="1">
        <v>2.0</v>
      </c>
      <c r="K111" s="1">
        <v>-0.75356</v>
      </c>
      <c r="L111" s="1">
        <v>100.0</v>
      </c>
      <c r="M111" s="1">
        <v>0.0</v>
      </c>
      <c r="N111" s="1">
        <v>0.0</v>
      </c>
      <c r="O111" s="1">
        <v>97.807901</v>
      </c>
    </row>
    <row r="112">
      <c r="A112" s="1" t="s">
        <v>556</v>
      </c>
      <c r="B112" s="1" t="s">
        <v>557</v>
      </c>
      <c r="C112" s="3" t="s">
        <v>95</v>
      </c>
      <c r="D112" s="3"/>
      <c r="E112" s="1" t="str">
        <f>IFERROR(__xludf.DUMMYFUNCTION("IFERROR(REGEXEXTRACT(A112, ""res(269|122)""), ""none"")"),"269")</f>
        <v>269</v>
      </c>
      <c r="F112" s="1">
        <v>-16.773883</v>
      </c>
      <c r="G112" s="1">
        <v>8.0</v>
      </c>
      <c r="H112" s="1">
        <v>2.0</v>
      </c>
      <c r="I112" s="1">
        <v>0.25</v>
      </c>
      <c r="J112" s="1">
        <v>2.0</v>
      </c>
      <c r="K112" s="1">
        <v>-0.683917</v>
      </c>
      <c r="L112" s="1">
        <v>100.0</v>
      </c>
      <c r="M112" s="1">
        <v>0.0</v>
      </c>
      <c r="N112" s="1">
        <v>0.0</v>
      </c>
      <c r="O112" s="1">
        <v>94.7922</v>
      </c>
    </row>
    <row r="113">
      <c r="A113" s="1" t="s">
        <v>333</v>
      </c>
      <c r="B113" s="1" t="s">
        <v>162</v>
      </c>
      <c r="C113" s="3" t="s">
        <v>24</v>
      </c>
      <c r="D113" s="3"/>
      <c r="E113" s="1" t="str">
        <f>IFERROR(__xludf.DUMMYFUNCTION("IFERROR(REGEXEXTRACT(A113, ""res(269|122)""), ""none"")"),"269")</f>
        <v>269</v>
      </c>
      <c r="F113" s="1">
        <v>-17.483332</v>
      </c>
      <c r="G113" s="1">
        <v>7.0</v>
      </c>
      <c r="H113" s="1">
        <v>2.0</v>
      </c>
      <c r="I113" s="1">
        <v>0.428571</v>
      </c>
      <c r="J113" s="1">
        <v>2.0</v>
      </c>
      <c r="K113" s="1">
        <v>-0.934603</v>
      </c>
      <c r="L113" s="1">
        <v>100.0</v>
      </c>
      <c r="M113" s="1">
        <v>0.0</v>
      </c>
      <c r="N113" s="1">
        <v>0.0</v>
      </c>
      <c r="O113" s="1">
        <v>93.010636</v>
      </c>
    </row>
    <row r="114">
      <c r="A114" s="1" t="s">
        <v>558</v>
      </c>
      <c r="B114" s="1" t="s">
        <v>559</v>
      </c>
      <c r="C114" s="3" t="s">
        <v>95</v>
      </c>
      <c r="D114" s="3"/>
      <c r="E114" s="1" t="str">
        <f>IFERROR(__xludf.DUMMYFUNCTION("IFERROR(REGEXEXTRACT(A114, ""res(269|122)""), ""none"")"),"269")</f>
        <v>269</v>
      </c>
      <c r="F114" s="1">
        <v>-17.8777</v>
      </c>
      <c r="G114" s="1">
        <v>12.0</v>
      </c>
      <c r="H114" s="1">
        <v>3.0</v>
      </c>
      <c r="I114" s="1">
        <v>0.25</v>
      </c>
      <c r="J114" s="1">
        <v>2.0</v>
      </c>
      <c r="K114" s="1">
        <v>-0.895779</v>
      </c>
      <c r="L114" s="1">
        <v>100.0</v>
      </c>
      <c r="M114" s="1">
        <v>0.0</v>
      </c>
      <c r="N114" s="1">
        <v>0.0</v>
      </c>
      <c r="O114" s="1">
        <v>98.476521</v>
      </c>
    </row>
    <row r="115">
      <c r="A115" s="1" t="s">
        <v>560</v>
      </c>
      <c r="B115" s="1" t="s">
        <v>561</v>
      </c>
      <c r="C115" s="3" t="s">
        <v>95</v>
      </c>
      <c r="D115" s="3"/>
      <c r="E115" s="1" t="str">
        <f>IFERROR(__xludf.DUMMYFUNCTION("IFERROR(REGEXEXTRACT(A115, ""res(269|122)""), ""none"")"),"269")</f>
        <v>269</v>
      </c>
      <c r="F115" s="1">
        <v>-16.65494</v>
      </c>
      <c r="G115" s="1">
        <v>8.0</v>
      </c>
      <c r="H115" s="1">
        <v>2.0</v>
      </c>
      <c r="I115" s="1">
        <v>0.25</v>
      </c>
      <c r="J115" s="1">
        <v>2.0</v>
      </c>
      <c r="K115" s="1">
        <v>-0.791185</v>
      </c>
      <c r="L115" s="1">
        <v>100.0</v>
      </c>
      <c r="M115" s="1">
        <v>0.0</v>
      </c>
      <c r="N115" s="1">
        <v>0.0</v>
      </c>
      <c r="O115" s="1">
        <v>94.803875</v>
      </c>
    </row>
    <row r="116">
      <c r="A116" s="1" t="s">
        <v>562</v>
      </c>
      <c r="B116" s="1" t="s">
        <v>563</v>
      </c>
      <c r="C116" s="3" t="s">
        <v>95</v>
      </c>
      <c r="D116" s="3"/>
      <c r="E116" s="1" t="str">
        <f>IFERROR(__xludf.DUMMYFUNCTION("IFERROR(REGEXEXTRACT(A116, ""res(269|122)""), ""none"")"),"269")</f>
        <v>269</v>
      </c>
      <c r="F116" s="1">
        <v>-15.287436</v>
      </c>
      <c r="G116" s="1">
        <v>7.0</v>
      </c>
      <c r="H116" s="1">
        <v>3.0</v>
      </c>
      <c r="I116" s="1">
        <v>0.285714</v>
      </c>
      <c r="J116" s="1">
        <v>2.0</v>
      </c>
      <c r="K116" s="1">
        <v>-0.768648</v>
      </c>
      <c r="L116" s="1">
        <v>100.0</v>
      </c>
      <c r="M116" s="1">
        <v>0.0</v>
      </c>
      <c r="N116" s="1">
        <v>0.0</v>
      </c>
      <c r="O116" s="1">
        <v>96.22963</v>
      </c>
    </row>
    <row r="117">
      <c r="A117" s="1" t="s">
        <v>564</v>
      </c>
      <c r="B117" s="1" t="s">
        <v>565</v>
      </c>
      <c r="C117" s="3" t="s">
        <v>95</v>
      </c>
      <c r="D117" s="3"/>
      <c r="E117" s="1" t="str">
        <f>IFERROR(__xludf.DUMMYFUNCTION("IFERROR(REGEXEXTRACT(A117, ""res(269|122)""), ""none"")"),"269")</f>
        <v>269</v>
      </c>
      <c r="F117" s="1">
        <v>-15.042413</v>
      </c>
      <c r="G117" s="1">
        <v>9.0</v>
      </c>
      <c r="H117" s="1">
        <v>3.0</v>
      </c>
      <c r="I117" s="1">
        <v>0.333333</v>
      </c>
      <c r="J117" s="1">
        <v>2.0</v>
      </c>
      <c r="K117" s="1">
        <v>-0.962515</v>
      </c>
      <c r="L117" s="1">
        <v>100.0</v>
      </c>
      <c r="M117" s="1">
        <v>0.0</v>
      </c>
      <c r="N117" s="1">
        <v>0.0</v>
      </c>
      <c r="O117" s="1">
        <v>98.328405</v>
      </c>
    </row>
    <row r="118">
      <c r="A118" s="1" t="s">
        <v>334</v>
      </c>
      <c r="B118" s="1" t="s">
        <v>335</v>
      </c>
      <c r="C118" s="3" t="s">
        <v>24</v>
      </c>
      <c r="D118" s="3"/>
      <c r="E118" s="1" t="str">
        <f>IFERROR(__xludf.DUMMYFUNCTION("IFERROR(REGEXEXTRACT(A118, ""res(269|122)""), ""none"")"),"269")</f>
        <v>269</v>
      </c>
      <c r="F118" s="1">
        <v>-15.044133</v>
      </c>
      <c r="G118" s="1">
        <v>7.0</v>
      </c>
      <c r="H118" s="1">
        <v>3.0</v>
      </c>
      <c r="I118" s="1">
        <v>0.285714</v>
      </c>
      <c r="J118" s="1">
        <v>2.0</v>
      </c>
      <c r="K118" s="1">
        <v>-0.869404</v>
      </c>
      <c r="L118" s="1">
        <v>100.0</v>
      </c>
      <c r="M118" s="1">
        <v>0.0</v>
      </c>
      <c r="N118" s="1">
        <v>0.0</v>
      </c>
      <c r="O118" s="1">
        <v>96.372177</v>
      </c>
    </row>
    <row r="119">
      <c r="A119" s="1" t="s">
        <v>336</v>
      </c>
      <c r="B119" s="1" t="s">
        <v>337</v>
      </c>
      <c r="C119" s="3" t="s">
        <v>24</v>
      </c>
      <c r="D119" s="3"/>
      <c r="E119" s="1" t="str">
        <f>IFERROR(__xludf.DUMMYFUNCTION("IFERROR(REGEXEXTRACT(A119, ""res(269|122)""), ""none"")"),"269")</f>
        <v>269</v>
      </c>
      <c r="F119" s="1">
        <v>-16.338997</v>
      </c>
      <c r="G119" s="1">
        <v>6.0</v>
      </c>
      <c r="H119" s="1">
        <v>1.0</v>
      </c>
      <c r="I119" s="1">
        <v>0.333333</v>
      </c>
      <c r="J119" s="1">
        <v>2.0</v>
      </c>
      <c r="K119" s="1">
        <v>-1.569369</v>
      </c>
      <c r="L119" s="1">
        <v>100.0</v>
      </c>
      <c r="M119" s="1">
        <v>0.0</v>
      </c>
      <c r="N119" s="1">
        <v>0.0</v>
      </c>
      <c r="O119" s="1">
        <v>91.424967</v>
      </c>
    </row>
    <row r="120">
      <c r="A120" s="1" t="s">
        <v>566</v>
      </c>
      <c r="B120" s="1" t="s">
        <v>567</v>
      </c>
      <c r="C120" s="3" t="s">
        <v>95</v>
      </c>
      <c r="D120" s="3"/>
      <c r="E120" s="1" t="str">
        <f>IFERROR(__xludf.DUMMYFUNCTION("IFERROR(REGEXEXTRACT(A120, ""res(269|122)""), ""none"")"),"269")</f>
        <v>269</v>
      </c>
      <c r="F120" s="1">
        <v>-16.135472</v>
      </c>
      <c r="G120" s="1">
        <v>8.0</v>
      </c>
      <c r="H120" s="1">
        <v>2.0</v>
      </c>
      <c r="I120" s="1">
        <v>0.25</v>
      </c>
      <c r="J120" s="1">
        <v>2.0</v>
      </c>
      <c r="K120" s="1">
        <v>-1.048501</v>
      </c>
      <c r="L120" s="1">
        <v>100.0</v>
      </c>
      <c r="M120" s="1">
        <v>0.0</v>
      </c>
      <c r="N120" s="1">
        <v>0.0</v>
      </c>
      <c r="O120" s="1">
        <v>95.066027</v>
      </c>
    </row>
    <row r="121">
      <c r="A121" s="1" t="s">
        <v>338</v>
      </c>
      <c r="B121" s="1" t="s">
        <v>339</v>
      </c>
      <c r="C121" s="3" t="s">
        <v>24</v>
      </c>
      <c r="D121" s="3"/>
      <c r="E121" s="1" t="str">
        <f>IFERROR(__xludf.DUMMYFUNCTION("IFERROR(REGEXEXTRACT(A121, ""res(269|122)""), ""none"")"),"269")</f>
        <v>269</v>
      </c>
      <c r="F121" s="1">
        <v>-15.874894</v>
      </c>
      <c r="G121" s="1">
        <v>8.0</v>
      </c>
      <c r="H121" s="1">
        <v>2.0</v>
      </c>
      <c r="I121" s="1">
        <v>0.25</v>
      </c>
      <c r="J121" s="1">
        <v>2.0</v>
      </c>
      <c r="K121" s="1">
        <v>-1.527443</v>
      </c>
      <c r="L121" s="1">
        <v>100.0</v>
      </c>
      <c r="M121" s="1">
        <v>0.0</v>
      </c>
      <c r="N121" s="1">
        <v>0.0</v>
      </c>
      <c r="O121" s="1">
        <v>94.847663</v>
      </c>
    </row>
    <row r="122">
      <c r="A122" s="1" t="s">
        <v>568</v>
      </c>
      <c r="B122" s="1" t="s">
        <v>569</v>
      </c>
      <c r="C122" s="3" t="s">
        <v>95</v>
      </c>
      <c r="D122" s="3"/>
      <c r="E122" s="1" t="str">
        <f>IFERROR(__xludf.DUMMYFUNCTION("IFERROR(REGEXEXTRACT(A122, ""res(269|122)""), ""none"")"),"269")</f>
        <v>269</v>
      </c>
      <c r="F122" s="1">
        <v>-16.12762</v>
      </c>
      <c r="G122" s="1">
        <v>8.0</v>
      </c>
      <c r="H122" s="1">
        <v>3.0</v>
      </c>
      <c r="I122" s="1">
        <v>0.25</v>
      </c>
      <c r="J122" s="1">
        <v>2.0</v>
      </c>
      <c r="K122" s="1">
        <v>-0.539806</v>
      </c>
      <c r="L122" s="1">
        <v>100.0</v>
      </c>
      <c r="M122" s="1">
        <v>0.0</v>
      </c>
      <c r="N122" s="1">
        <v>0.0</v>
      </c>
      <c r="O122" s="1">
        <v>96.582574</v>
      </c>
    </row>
    <row r="123">
      <c r="A123" s="1" t="s">
        <v>570</v>
      </c>
      <c r="B123" s="1" t="s">
        <v>571</v>
      </c>
      <c r="C123" s="3" t="s">
        <v>95</v>
      </c>
      <c r="D123" s="3"/>
      <c r="E123" s="1" t="str">
        <f>IFERROR(__xludf.DUMMYFUNCTION("IFERROR(REGEXEXTRACT(A123, ""res(269|122)""), ""none"")"),"269")</f>
        <v>269</v>
      </c>
      <c r="F123" s="1">
        <v>-16.007709</v>
      </c>
      <c r="G123" s="1">
        <v>6.0</v>
      </c>
      <c r="H123" s="1">
        <v>1.0</v>
      </c>
      <c r="I123" s="1">
        <v>0.333333</v>
      </c>
      <c r="J123" s="1">
        <v>2.0</v>
      </c>
      <c r="K123" s="1">
        <v>-0.634004</v>
      </c>
      <c r="L123" s="1">
        <v>100.0</v>
      </c>
      <c r="M123" s="1">
        <v>0.0</v>
      </c>
      <c r="N123" s="1">
        <v>0.0</v>
      </c>
      <c r="O123" s="1">
        <v>92.69162</v>
      </c>
    </row>
    <row r="124">
      <c r="A124" s="1" t="s">
        <v>572</v>
      </c>
      <c r="B124" s="1" t="s">
        <v>573</v>
      </c>
      <c r="C124" s="3" t="s">
        <v>95</v>
      </c>
      <c r="D124" s="3"/>
      <c r="E124" s="1" t="str">
        <f>IFERROR(__xludf.DUMMYFUNCTION("IFERROR(REGEXEXTRACT(A124, ""res(269|122)""), ""none"")"),"269")</f>
        <v>269</v>
      </c>
      <c r="F124" s="1">
        <v>-15.183288</v>
      </c>
      <c r="G124" s="1">
        <v>6.0</v>
      </c>
      <c r="H124" s="1">
        <v>3.0</v>
      </c>
      <c r="I124" s="1">
        <v>0.666667</v>
      </c>
      <c r="J124" s="1">
        <v>2.0</v>
      </c>
      <c r="K124" s="1">
        <v>-0.991667</v>
      </c>
      <c r="L124" s="1">
        <v>100.0</v>
      </c>
      <c r="M124" s="1">
        <v>0.0</v>
      </c>
      <c r="N124" s="1">
        <v>0.0</v>
      </c>
      <c r="O124" s="1">
        <v>95.491712</v>
      </c>
    </row>
    <row r="125">
      <c r="A125" s="1" t="s">
        <v>340</v>
      </c>
      <c r="B125" s="1" t="s">
        <v>84</v>
      </c>
      <c r="C125" s="3" t="s">
        <v>24</v>
      </c>
      <c r="D125" s="3"/>
      <c r="E125" s="1" t="str">
        <f>IFERROR(__xludf.DUMMYFUNCTION("IFERROR(REGEXEXTRACT(A125, ""res(269|122)""), ""none"")"),"269")</f>
        <v>269</v>
      </c>
      <c r="F125" s="1">
        <v>-15.19198</v>
      </c>
      <c r="G125" s="1">
        <v>8.0</v>
      </c>
      <c r="H125" s="1">
        <v>3.0</v>
      </c>
      <c r="I125" s="1">
        <v>0.375</v>
      </c>
      <c r="J125" s="1">
        <v>2.0</v>
      </c>
      <c r="K125" s="1">
        <v>-1.182302</v>
      </c>
      <c r="L125" s="1">
        <v>100.0</v>
      </c>
      <c r="M125" s="1">
        <v>0.0</v>
      </c>
      <c r="N125" s="1">
        <v>0.0</v>
      </c>
      <c r="O125" s="1">
        <v>97.000718</v>
      </c>
    </row>
    <row r="126">
      <c r="A126" s="1" t="s">
        <v>341</v>
      </c>
      <c r="B126" s="1" t="s">
        <v>87</v>
      </c>
      <c r="C126" s="3" t="s">
        <v>24</v>
      </c>
      <c r="D126" s="3"/>
      <c r="E126" s="1" t="str">
        <f>IFERROR(__xludf.DUMMYFUNCTION("IFERROR(REGEXEXTRACT(A126, ""res(269|122)""), ""none"")"),"269")</f>
        <v>269</v>
      </c>
      <c r="F126" s="1">
        <v>-15.653385</v>
      </c>
      <c r="G126" s="1">
        <v>8.0</v>
      </c>
      <c r="H126" s="1">
        <v>3.0</v>
      </c>
      <c r="I126" s="1">
        <v>0.25</v>
      </c>
      <c r="J126" s="1">
        <v>2.0</v>
      </c>
      <c r="K126" s="1">
        <v>-0.166637</v>
      </c>
      <c r="L126" s="1">
        <v>100.0</v>
      </c>
      <c r="M126" s="1">
        <v>0.0</v>
      </c>
      <c r="N126" s="1">
        <v>0.0</v>
      </c>
      <c r="O126" s="1">
        <v>97.429978</v>
      </c>
    </row>
    <row r="127">
      <c r="A127" s="1" t="s">
        <v>342</v>
      </c>
      <c r="B127" s="1" t="s">
        <v>165</v>
      </c>
      <c r="C127" s="3" t="s">
        <v>24</v>
      </c>
      <c r="D127" s="3"/>
      <c r="E127" s="1" t="str">
        <f>IFERROR(__xludf.DUMMYFUNCTION("IFERROR(REGEXEXTRACT(A127, ""res(269|122)""), ""none"")"),"269")</f>
        <v>269</v>
      </c>
      <c r="F127" s="1">
        <v>-15.468589</v>
      </c>
      <c r="G127" s="1">
        <v>8.0</v>
      </c>
      <c r="H127" s="1">
        <v>3.0</v>
      </c>
      <c r="I127" s="1">
        <v>0.375</v>
      </c>
      <c r="J127" s="1">
        <v>2.0</v>
      </c>
      <c r="K127" s="1">
        <v>-0.987794</v>
      </c>
      <c r="L127" s="1">
        <v>100.0</v>
      </c>
      <c r="M127" s="1">
        <v>0.0</v>
      </c>
      <c r="N127" s="1">
        <v>0.0</v>
      </c>
      <c r="O127" s="1">
        <v>96.918617</v>
      </c>
    </row>
    <row r="128">
      <c r="A128" s="1" t="s">
        <v>343</v>
      </c>
      <c r="B128" s="1" t="s">
        <v>344</v>
      </c>
      <c r="C128" s="3" t="s">
        <v>24</v>
      </c>
      <c r="D128" s="3"/>
      <c r="E128" s="1" t="str">
        <f>IFERROR(__xludf.DUMMYFUNCTION("IFERROR(REGEXEXTRACT(A128, ""res(269|122)""), ""none"")"),"269")</f>
        <v>269</v>
      </c>
      <c r="F128" s="1">
        <v>-16.533467</v>
      </c>
      <c r="G128" s="1">
        <v>8.0</v>
      </c>
      <c r="H128" s="1">
        <v>5.0</v>
      </c>
      <c r="I128" s="1">
        <v>0.25</v>
      </c>
      <c r="J128" s="1">
        <v>2.0</v>
      </c>
      <c r="K128" s="1">
        <v>-1.486018</v>
      </c>
      <c r="L128" s="1">
        <v>100.0</v>
      </c>
      <c r="M128" s="1">
        <v>0.0</v>
      </c>
      <c r="N128" s="1">
        <v>0.0</v>
      </c>
      <c r="O128" s="1">
        <v>97.230515</v>
      </c>
    </row>
    <row r="129">
      <c r="A129" s="1" t="s">
        <v>574</v>
      </c>
      <c r="B129" s="1" t="s">
        <v>575</v>
      </c>
      <c r="C129" s="3" t="s">
        <v>95</v>
      </c>
      <c r="D129" s="3"/>
      <c r="E129" s="1" t="str">
        <f>IFERROR(__xludf.DUMMYFUNCTION("IFERROR(REGEXEXTRACT(A129, ""res(269|122)""), ""none"")"),"269")</f>
        <v>269</v>
      </c>
      <c r="F129" s="1">
        <v>-15.811695</v>
      </c>
      <c r="G129" s="1">
        <v>8.0</v>
      </c>
      <c r="H129" s="1">
        <v>1.0</v>
      </c>
      <c r="I129" s="1">
        <v>0.25</v>
      </c>
      <c r="J129" s="1">
        <v>3.0</v>
      </c>
      <c r="K129" s="1">
        <v>-1.385348</v>
      </c>
      <c r="L129" s="1">
        <v>100.0</v>
      </c>
      <c r="M129" s="1">
        <v>0.0</v>
      </c>
      <c r="N129" s="1">
        <v>0.0</v>
      </c>
      <c r="O129" s="1">
        <v>95.052957</v>
      </c>
    </row>
    <row r="130">
      <c r="A130" s="1" t="s">
        <v>576</v>
      </c>
      <c r="B130" s="1" t="s">
        <v>577</v>
      </c>
      <c r="C130" s="3" t="s">
        <v>95</v>
      </c>
      <c r="D130" s="5"/>
      <c r="E130" s="1" t="str">
        <f>IFERROR(__xludf.DUMMYFUNCTION("IFERROR(REGEXEXTRACT(A130, ""res(269|122)""), ""none"")"),"269")</f>
        <v>269</v>
      </c>
      <c r="F130" s="1">
        <v>-15.166917</v>
      </c>
      <c r="G130" s="1">
        <v>8.0</v>
      </c>
      <c r="H130" s="1">
        <v>5.0</v>
      </c>
      <c r="I130" s="1">
        <v>0.25</v>
      </c>
      <c r="J130" s="1">
        <v>2.0</v>
      </c>
      <c r="K130" s="1">
        <v>-0.351184999999999</v>
      </c>
      <c r="L130" s="1">
        <v>100.0</v>
      </c>
      <c r="M130" s="1">
        <v>0.0</v>
      </c>
      <c r="N130" s="1">
        <v>0.0</v>
      </c>
      <c r="O130" s="1">
        <v>99.731898</v>
      </c>
    </row>
    <row r="131">
      <c r="A131" s="1" t="s">
        <v>578</v>
      </c>
      <c r="B131" s="1" t="s">
        <v>579</v>
      </c>
      <c r="C131" s="3" t="s">
        <v>95</v>
      </c>
      <c r="D131" s="5"/>
      <c r="E131" s="1" t="str">
        <f>IFERROR(__xludf.DUMMYFUNCTION("IFERROR(REGEXEXTRACT(A131, ""res(269|122)""), ""none"")"),"269")</f>
        <v>269</v>
      </c>
      <c r="F131" s="1">
        <v>-16.068084</v>
      </c>
      <c r="G131" s="1">
        <v>9.0</v>
      </c>
      <c r="H131" s="1">
        <v>2.0</v>
      </c>
      <c r="I131" s="1">
        <v>0.444444</v>
      </c>
      <c r="J131" s="1">
        <v>2.0</v>
      </c>
      <c r="K131" s="1">
        <v>-1.018293</v>
      </c>
      <c r="L131" s="1">
        <v>100.0</v>
      </c>
      <c r="M131" s="1">
        <v>0.0</v>
      </c>
      <c r="N131" s="1">
        <v>0.0</v>
      </c>
      <c r="O131" s="1">
        <v>96.358067</v>
      </c>
    </row>
    <row r="132">
      <c r="A132" s="1" t="s">
        <v>345</v>
      </c>
      <c r="B132" s="1" t="s">
        <v>346</v>
      </c>
      <c r="C132" s="3" t="s">
        <v>24</v>
      </c>
      <c r="D132" s="5"/>
      <c r="E132" s="1" t="str">
        <f>IFERROR(__xludf.DUMMYFUNCTION("IFERROR(REGEXEXTRACT(A132, ""res(269|122)""), ""none"")"),"269")</f>
        <v>269</v>
      </c>
      <c r="F132" s="1">
        <v>-16.383014</v>
      </c>
      <c r="G132" s="1">
        <v>11.0</v>
      </c>
      <c r="H132" s="1">
        <v>5.0</v>
      </c>
      <c r="I132" s="1">
        <v>0.545455</v>
      </c>
      <c r="J132" s="1">
        <v>2.0</v>
      </c>
      <c r="K132" s="1">
        <v>-1.431922</v>
      </c>
      <c r="L132" s="1">
        <v>100.0</v>
      </c>
      <c r="M132" s="1">
        <v>0.0</v>
      </c>
      <c r="N132" s="1">
        <v>0.0</v>
      </c>
      <c r="O132" s="1">
        <v>100.730519</v>
      </c>
    </row>
    <row r="133">
      <c r="A133" s="1" t="s">
        <v>347</v>
      </c>
      <c r="B133" s="1" t="s">
        <v>348</v>
      </c>
      <c r="C133" s="3" t="s">
        <v>24</v>
      </c>
      <c r="D133" s="5"/>
      <c r="E133" s="1" t="str">
        <f>IFERROR(__xludf.DUMMYFUNCTION("IFERROR(REGEXEXTRACT(A133, ""res(269|122)""), ""none"")"),"269")</f>
        <v>269</v>
      </c>
      <c r="F133" s="1">
        <v>-15.915515</v>
      </c>
      <c r="G133" s="1">
        <v>8.0</v>
      </c>
      <c r="H133" s="1">
        <v>4.0</v>
      </c>
      <c r="I133" s="1">
        <v>0.375</v>
      </c>
      <c r="J133" s="1">
        <v>2.0</v>
      </c>
      <c r="K133" s="1">
        <v>-0.684045</v>
      </c>
      <c r="L133" s="1">
        <v>100.0</v>
      </c>
      <c r="M133" s="1">
        <v>0.0</v>
      </c>
      <c r="N133" s="1">
        <v>0.0</v>
      </c>
      <c r="O133" s="1">
        <v>97.77544</v>
      </c>
    </row>
    <row r="134">
      <c r="A134" s="1" t="s">
        <v>349</v>
      </c>
      <c r="B134" s="1" t="s">
        <v>90</v>
      </c>
      <c r="C134" s="3" t="s">
        <v>24</v>
      </c>
      <c r="D134" s="3" t="s">
        <v>92</v>
      </c>
      <c r="E134" s="1" t="str">
        <f>IFERROR(__xludf.DUMMYFUNCTION("IFERROR(REGEXEXTRACT(A134, ""res(269|122)""), ""none"")"),"269")</f>
        <v>269</v>
      </c>
      <c r="F134" s="1">
        <v>-15.759066</v>
      </c>
      <c r="G134" s="1">
        <v>7.0</v>
      </c>
      <c r="H134" s="1">
        <v>2.0</v>
      </c>
      <c r="I134" s="1">
        <v>0.571429</v>
      </c>
      <c r="J134" s="1">
        <v>2.0</v>
      </c>
      <c r="K134" s="1">
        <v>-0.931789</v>
      </c>
      <c r="L134" s="1">
        <v>100.0</v>
      </c>
      <c r="M134" s="1">
        <v>0.0</v>
      </c>
      <c r="N134" s="1">
        <v>0.0</v>
      </c>
      <c r="O134" s="1">
        <v>94.880574</v>
      </c>
    </row>
    <row r="135">
      <c r="A135" s="1" t="s">
        <v>350</v>
      </c>
      <c r="B135" s="1" t="s">
        <v>351</v>
      </c>
      <c r="C135" s="3" t="s">
        <v>24</v>
      </c>
      <c r="D135" s="3" t="s">
        <v>421</v>
      </c>
      <c r="E135" s="1" t="str">
        <f>IFERROR(__xludf.DUMMYFUNCTION("IFERROR(REGEXEXTRACT(A135, ""res(269|122)""), ""none"")"),"269")</f>
        <v>269</v>
      </c>
      <c r="F135" s="1">
        <v>-15.759066</v>
      </c>
      <c r="G135" s="1">
        <v>7.0</v>
      </c>
      <c r="H135" s="1">
        <v>2.0</v>
      </c>
      <c r="I135" s="1">
        <v>0.571429</v>
      </c>
      <c r="J135" s="1">
        <v>2.0</v>
      </c>
      <c r="K135" s="1">
        <v>-0.931789</v>
      </c>
      <c r="L135" s="1">
        <v>100.0</v>
      </c>
      <c r="M135" s="1">
        <v>0.0</v>
      </c>
      <c r="N135" s="1">
        <v>0.0</v>
      </c>
      <c r="O135" s="1">
        <v>94.880574</v>
      </c>
    </row>
    <row r="136">
      <c r="A136" s="1" t="s">
        <v>580</v>
      </c>
      <c r="B136" s="1" t="s">
        <v>581</v>
      </c>
      <c r="C136" s="3" t="s">
        <v>95</v>
      </c>
      <c r="D136" s="5"/>
      <c r="E136" s="1" t="str">
        <f>IFERROR(__xludf.DUMMYFUNCTION("IFERROR(REGEXEXTRACT(A136, ""res(269|122)""), ""none"")"),"269")</f>
        <v>269</v>
      </c>
      <c r="F136" s="1">
        <v>-15.59682</v>
      </c>
      <c r="G136" s="1">
        <v>8.0</v>
      </c>
      <c r="H136" s="1">
        <v>3.0</v>
      </c>
      <c r="I136" s="1">
        <v>0.25</v>
      </c>
      <c r="J136" s="1">
        <v>2.0</v>
      </c>
      <c r="K136" s="1">
        <v>-0.781714999999999</v>
      </c>
      <c r="L136" s="1">
        <v>100.0</v>
      </c>
      <c r="M136" s="1">
        <v>0.0</v>
      </c>
      <c r="N136" s="1">
        <v>0.0</v>
      </c>
      <c r="O136" s="1">
        <v>96.871465</v>
      </c>
    </row>
    <row r="137">
      <c r="A137" s="1" t="s">
        <v>582</v>
      </c>
      <c r="B137" s="1" t="s">
        <v>583</v>
      </c>
      <c r="C137" s="3" t="s">
        <v>95</v>
      </c>
      <c r="D137" s="5"/>
      <c r="E137" s="1" t="str">
        <f>IFERROR(__xludf.DUMMYFUNCTION("IFERROR(REGEXEXTRACT(A137, ""res(269|122)""), ""none"")"),"269")</f>
        <v>269</v>
      </c>
      <c r="F137" s="1">
        <v>-15.480946</v>
      </c>
      <c r="G137" s="1">
        <v>8.0</v>
      </c>
      <c r="H137" s="1">
        <v>4.0</v>
      </c>
      <c r="I137" s="1">
        <v>0.25</v>
      </c>
      <c r="J137" s="1">
        <v>2.0</v>
      </c>
      <c r="K137" s="1">
        <v>-0.505827</v>
      </c>
      <c r="L137" s="1">
        <v>100.0</v>
      </c>
      <c r="M137" s="1">
        <v>0.0</v>
      </c>
      <c r="N137" s="1">
        <v>0.0</v>
      </c>
      <c r="O137" s="1">
        <v>98.263227</v>
      </c>
    </row>
    <row r="138">
      <c r="A138" s="1" t="s">
        <v>584</v>
      </c>
      <c r="B138" s="1" t="s">
        <v>585</v>
      </c>
      <c r="C138" s="3" t="s">
        <v>95</v>
      </c>
      <c r="D138" s="5"/>
      <c r="E138" s="1" t="str">
        <f>IFERROR(__xludf.DUMMYFUNCTION("IFERROR(REGEXEXTRACT(A138, ""res(269|122)""), ""none"")"),"269")</f>
        <v>269</v>
      </c>
      <c r="F138" s="1">
        <v>-15.084562</v>
      </c>
      <c r="G138" s="1">
        <v>9.0</v>
      </c>
      <c r="H138" s="1">
        <v>2.0</v>
      </c>
      <c r="I138" s="1">
        <v>0.333333</v>
      </c>
      <c r="J138" s="1">
        <v>2.0</v>
      </c>
      <c r="K138" s="1">
        <v>-1.126036</v>
      </c>
      <c r="L138" s="1">
        <v>100.0</v>
      </c>
      <c r="M138" s="1">
        <v>0.0</v>
      </c>
      <c r="N138" s="1">
        <v>0.0</v>
      </c>
      <c r="O138" s="1">
        <v>97.122735</v>
      </c>
    </row>
    <row r="139">
      <c r="A139" s="1" t="s">
        <v>586</v>
      </c>
      <c r="B139" s="1" t="s">
        <v>587</v>
      </c>
      <c r="C139" s="3" t="s">
        <v>95</v>
      </c>
      <c r="D139" s="5"/>
      <c r="E139" s="1" t="str">
        <f>IFERROR(__xludf.DUMMYFUNCTION("IFERROR(REGEXEXTRACT(A139, ""res(269|122)""), ""none"")"),"269")</f>
        <v>269</v>
      </c>
      <c r="F139" s="1">
        <v>-16.433564</v>
      </c>
      <c r="G139" s="1">
        <v>12.0</v>
      </c>
      <c r="H139" s="1">
        <v>4.0</v>
      </c>
      <c r="I139" s="1">
        <v>0.333333</v>
      </c>
      <c r="J139" s="1">
        <v>2.0</v>
      </c>
      <c r="K139" s="1">
        <v>-0.696566999999999</v>
      </c>
      <c r="L139" s="1">
        <v>100.0</v>
      </c>
      <c r="M139" s="1">
        <v>0.0</v>
      </c>
      <c r="N139" s="1">
        <v>0.0</v>
      </c>
      <c r="O139" s="1">
        <v>101.203202</v>
      </c>
    </row>
    <row r="140">
      <c r="A140" s="1" t="s">
        <v>588</v>
      </c>
      <c r="B140" s="1" t="s">
        <v>589</v>
      </c>
      <c r="C140" s="3" t="s">
        <v>95</v>
      </c>
      <c r="D140" s="5"/>
      <c r="E140" s="1" t="str">
        <f>IFERROR(__xludf.DUMMYFUNCTION("IFERROR(REGEXEXTRACT(A140, ""res(269|122)""), ""none"")"),"269")</f>
        <v>269</v>
      </c>
      <c r="F140" s="1">
        <v>-15.248368</v>
      </c>
      <c r="G140" s="1">
        <v>7.0</v>
      </c>
      <c r="H140" s="1">
        <v>1.0</v>
      </c>
      <c r="I140" s="1">
        <v>0.285714</v>
      </c>
      <c r="J140" s="1">
        <v>2.0</v>
      </c>
      <c r="K140" s="1">
        <v>-0.793475</v>
      </c>
      <c r="L140" s="1">
        <v>100.0</v>
      </c>
      <c r="M140" s="1">
        <v>0.0</v>
      </c>
      <c r="N140" s="1">
        <v>0.0</v>
      </c>
      <c r="O140" s="1">
        <v>94.243871</v>
      </c>
    </row>
    <row r="141">
      <c r="A141" s="1" t="s">
        <v>590</v>
      </c>
      <c r="B141" s="1" t="s">
        <v>591</v>
      </c>
      <c r="C141" s="3" t="s">
        <v>95</v>
      </c>
      <c r="D141" s="5"/>
      <c r="E141" s="1" t="str">
        <f>IFERROR(__xludf.DUMMYFUNCTION("IFERROR(REGEXEXTRACT(A141, ""res(269|122)""), ""none"")"),"269")</f>
        <v>269</v>
      </c>
      <c r="F141" s="1">
        <v>-15.046665</v>
      </c>
      <c r="G141" s="1">
        <v>10.0</v>
      </c>
      <c r="H141" s="1">
        <v>3.0</v>
      </c>
      <c r="I141" s="1">
        <v>0.3</v>
      </c>
      <c r="J141" s="1">
        <v>2.0</v>
      </c>
      <c r="K141" s="1">
        <v>-0.432822</v>
      </c>
      <c r="L141" s="1">
        <v>100.0</v>
      </c>
      <c r="M141" s="1">
        <v>0.0</v>
      </c>
      <c r="N141" s="1">
        <v>0.0</v>
      </c>
      <c r="O141" s="1">
        <v>99.820513</v>
      </c>
    </row>
    <row r="142">
      <c r="A142" s="1" t="s">
        <v>592</v>
      </c>
      <c r="B142" s="1" t="s">
        <v>593</v>
      </c>
      <c r="C142" s="3" t="s">
        <v>95</v>
      </c>
      <c r="D142" s="5"/>
      <c r="E142" s="1" t="str">
        <f>IFERROR(__xludf.DUMMYFUNCTION("IFERROR(REGEXEXTRACT(A142, ""res(269|122)""), ""none"")"),"269")</f>
        <v>269</v>
      </c>
      <c r="F142" s="1">
        <v>-15.496757</v>
      </c>
      <c r="G142" s="1">
        <v>10.0</v>
      </c>
      <c r="H142" s="1">
        <v>2.0</v>
      </c>
      <c r="I142" s="1">
        <v>0.3</v>
      </c>
      <c r="J142" s="1">
        <v>2.0</v>
      </c>
      <c r="K142" s="1">
        <v>-0.809153999999999</v>
      </c>
      <c r="L142" s="1">
        <v>100.0</v>
      </c>
      <c r="M142" s="1">
        <v>0.0</v>
      </c>
      <c r="N142" s="1">
        <v>0.0</v>
      </c>
      <c r="O142" s="1">
        <v>97.994089</v>
      </c>
    </row>
    <row r="143">
      <c r="A143" s="1" t="s">
        <v>594</v>
      </c>
      <c r="B143" s="1" t="s">
        <v>595</v>
      </c>
      <c r="C143" s="3" t="s">
        <v>95</v>
      </c>
      <c r="D143" s="5"/>
      <c r="E143" s="1" t="str">
        <f>IFERROR(__xludf.DUMMYFUNCTION("IFERROR(REGEXEXTRACT(A143, ""res(269|122)""), ""none"")"),"269")</f>
        <v>269</v>
      </c>
      <c r="F143" s="1">
        <v>-15.123891</v>
      </c>
      <c r="G143" s="1">
        <v>7.0</v>
      </c>
      <c r="H143" s="1">
        <v>1.0</v>
      </c>
      <c r="I143" s="1">
        <v>0.428571</v>
      </c>
      <c r="J143" s="1">
        <v>2.0</v>
      </c>
      <c r="K143" s="1">
        <v>-0.389964</v>
      </c>
      <c r="L143" s="1">
        <v>100.0</v>
      </c>
      <c r="M143" s="1">
        <v>0.0</v>
      </c>
      <c r="N143" s="1">
        <v>0.0</v>
      </c>
      <c r="O143" s="1">
        <v>94.914716</v>
      </c>
    </row>
    <row r="144">
      <c r="A144" s="1" t="s">
        <v>596</v>
      </c>
      <c r="B144" s="1" t="s">
        <v>597</v>
      </c>
      <c r="C144" s="3" t="s">
        <v>95</v>
      </c>
      <c r="D144" s="5"/>
      <c r="E144" s="1" t="str">
        <f>IFERROR(__xludf.DUMMYFUNCTION("IFERROR(REGEXEXTRACT(A144, ""res(269|122)""), ""none"")"),"269")</f>
        <v>269</v>
      </c>
      <c r="F144" s="1">
        <v>-17.851558</v>
      </c>
      <c r="G144" s="1">
        <v>7.0</v>
      </c>
      <c r="H144" s="1">
        <v>2.0</v>
      </c>
      <c r="I144" s="1">
        <v>0.285714</v>
      </c>
      <c r="J144" s="1">
        <v>2.0</v>
      </c>
      <c r="K144" s="1">
        <v>-0.879698</v>
      </c>
      <c r="L144" s="1">
        <v>100.0</v>
      </c>
      <c r="M144" s="1">
        <v>0.0</v>
      </c>
      <c r="N144" s="1">
        <v>0.0</v>
      </c>
      <c r="O144" s="1">
        <v>92.554458</v>
      </c>
    </row>
    <row r="145">
      <c r="A145" s="1" t="s">
        <v>598</v>
      </c>
      <c r="B145" s="1" t="s">
        <v>599</v>
      </c>
      <c r="C145" s="3" t="s">
        <v>95</v>
      </c>
      <c r="D145" s="5"/>
      <c r="E145" s="1" t="str">
        <f>IFERROR(__xludf.DUMMYFUNCTION("IFERROR(REGEXEXTRACT(A145, ""res(269|122)""), ""none"")"),"269")</f>
        <v>269</v>
      </c>
      <c r="F145" s="1">
        <v>-16.37987</v>
      </c>
      <c r="G145" s="1">
        <v>13.0</v>
      </c>
      <c r="H145" s="1">
        <v>3.0</v>
      </c>
      <c r="I145" s="1">
        <v>0.307692</v>
      </c>
      <c r="J145" s="1">
        <v>2.0</v>
      </c>
      <c r="K145" s="1">
        <v>-0.226607</v>
      </c>
      <c r="L145" s="1">
        <v>100.0</v>
      </c>
      <c r="M145" s="1">
        <v>0.0</v>
      </c>
      <c r="N145" s="1">
        <v>0.0</v>
      </c>
      <c r="O145" s="1">
        <v>101.701215</v>
      </c>
    </row>
    <row r="146">
      <c r="A146" s="1" t="s">
        <v>600</v>
      </c>
      <c r="B146" s="1" t="s">
        <v>601</v>
      </c>
      <c r="C146" s="3" t="s">
        <v>95</v>
      </c>
      <c r="D146" s="5"/>
      <c r="E146" s="1" t="str">
        <f>IFERROR(__xludf.DUMMYFUNCTION("IFERROR(REGEXEXTRACT(A146, ""res(269|122)""), ""none"")"),"269")</f>
        <v>269</v>
      </c>
      <c r="F146" s="1">
        <v>-15.216876</v>
      </c>
      <c r="G146" s="1">
        <v>7.0</v>
      </c>
      <c r="H146" s="1">
        <v>1.0</v>
      </c>
      <c r="I146" s="1">
        <v>0.285714</v>
      </c>
      <c r="J146" s="1">
        <v>2.0</v>
      </c>
      <c r="K146" s="1">
        <v>-0.938238</v>
      </c>
      <c r="L146" s="1">
        <v>100.0</v>
      </c>
      <c r="M146" s="1">
        <v>0.0</v>
      </c>
      <c r="N146" s="1">
        <v>0.0</v>
      </c>
      <c r="O146" s="1">
        <v>94.1306</v>
      </c>
    </row>
    <row r="147">
      <c r="A147" s="1" t="s">
        <v>602</v>
      </c>
      <c r="B147" s="1" t="s">
        <v>603</v>
      </c>
      <c r="C147" s="3" t="s">
        <v>95</v>
      </c>
      <c r="D147" s="5"/>
      <c r="E147" s="1" t="str">
        <f>IFERROR(__xludf.DUMMYFUNCTION("IFERROR(REGEXEXTRACT(A147, ""res(269|122)""), ""none"")"),"269")</f>
        <v>269</v>
      </c>
      <c r="F147" s="1">
        <v>-15.926988</v>
      </c>
      <c r="G147" s="1">
        <v>10.0</v>
      </c>
      <c r="H147" s="1">
        <v>3.0</v>
      </c>
      <c r="I147" s="1">
        <v>0.3</v>
      </c>
      <c r="J147" s="1">
        <v>2.0</v>
      </c>
      <c r="K147" s="1">
        <v>-0.899726</v>
      </c>
      <c r="L147" s="1">
        <v>100.0</v>
      </c>
      <c r="M147" s="1">
        <v>0.0</v>
      </c>
      <c r="N147" s="1">
        <v>0.0</v>
      </c>
      <c r="O147" s="1">
        <v>98.473286</v>
      </c>
    </row>
    <row r="148">
      <c r="A148" s="1" t="s">
        <v>352</v>
      </c>
      <c r="B148" s="1" t="s">
        <v>353</v>
      </c>
      <c r="C148" s="3" t="s">
        <v>24</v>
      </c>
      <c r="D148" s="5"/>
      <c r="E148" s="1" t="str">
        <f>IFERROR(__xludf.DUMMYFUNCTION("IFERROR(REGEXEXTRACT(A148, ""res(269|122)""), ""none"")"),"269")</f>
        <v>269</v>
      </c>
      <c r="F148" s="1">
        <v>-15.088626</v>
      </c>
      <c r="G148" s="1">
        <v>12.0</v>
      </c>
      <c r="H148" s="1">
        <v>3.0</v>
      </c>
      <c r="I148" s="1">
        <v>0.416667</v>
      </c>
      <c r="J148" s="1">
        <v>2.0</v>
      </c>
      <c r="K148" s="1">
        <v>-0.765151</v>
      </c>
      <c r="L148" s="1">
        <v>100.0</v>
      </c>
      <c r="M148" s="1">
        <v>0.0</v>
      </c>
      <c r="N148" s="1">
        <v>0.0</v>
      </c>
      <c r="O148" s="1">
        <v>101.56289</v>
      </c>
    </row>
    <row r="149">
      <c r="A149" s="1" t="s">
        <v>604</v>
      </c>
      <c r="B149" s="1" t="s">
        <v>605</v>
      </c>
      <c r="C149" s="3" t="s">
        <v>95</v>
      </c>
      <c r="D149" s="5"/>
      <c r="E149" s="1" t="str">
        <f>IFERROR(__xludf.DUMMYFUNCTION("IFERROR(REGEXEXTRACT(A149, ""res(269|122)""), ""none"")"),"269")</f>
        <v>269</v>
      </c>
      <c r="F149" s="1">
        <v>-16.476724</v>
      </c>
      <c r="G149" s="1">
        <v>7.0</v>
      </c>
      <c r="H149" s="1">
        <v>2.0</v>
      </c>
      <c r="I149" s="1">
        <v>0.285714</v>
      </c>
      <c r="J149" s="1">
        <v>3.0</v>
      </c>
      <c r="K149" s="1">
        <v>-0.823762</v>
      </c>
      <c r="L149" s="1">
        <v>100.0</v>
      </c>
      <c r="M149" s="1">
        <v>0.0</v>
      </c>
      <c r="N149" s="1">
        <v>0.0</v>
      </c>
      <c r="O149" s="1">
        <v>94.985228</v>
      </c>
    </row>
    <row r="150">
      <c r="A150" s="1" t="s">
        <v>606</v>
      </c>
      <c r="B150" s="1" t="s">
        <v>607</v>
      </c>
      <c r="C150" s="3" t="s">
        <v>95</v>
      </c>
      <c r="D150" s="5"/>
      <c r="E150" s="1" t="str">
        <f>IFERROR(__xludf.DUMMYFUNCTION("IFERROR(REGEXEXTRACT(A150, ""res(269|122)""), ""none"")"),"269")</f>
        <v>269</v>
      </c>
      <c r="F150" s="1">
        <v>-15.583805</v>
      </c>
      <c r="G150" s="1">
        <v>7.0</v>
      </c>
      <c r="H150" s="1">
        <v>3.0</v>
      </c>
      <c r="I150" s="1">
        <v>0.285714</v>
      </c>
      <c r="J150" s="1">
        <v>2.0</v>
      </c>
      <c r="K150" s="1">
        <v>-1.40151</v>
      </c>
      <c r="L150" s="1">
        <v>100.0</v>
      </c>
      <c r="M150" s="1">
        <v>0.0</v>
      </c>
      <c r="N150" s="1">
        <v>0.0</v>
      </c>
      <c r="O150" s="1">
        <v>95.300399</v>
      </c>
    </row>
    <row r="151">
      <c r="A151" s="1" t="s">
        <v>608</v>
      </c>
      <c r="B151" s="1" t="s">
        <v>609</v>
      </c>
      <c r="C151" s="3" t="s">
        <v>95</v>
      </c>
      <c r="D151" s="5"/>
      <c r="E151" s="1" t="str">
        <f>IFERROR(__xludf.DUMMYFUNCTION("IFERROR(REGEXEXTRACT(A151, ""res(269|122)""), ""none"")"),"269")</f>
        <v>269</v>
      </c>
      <c r="F151" s="1">
        <v>-18.086218</v>
      </c>
      <c r="G151" s="1">
        <v>12.0</v>
      </c>
      <c r="H151" s="1">
        <v>4.0</v>
      </c>
      <c r="I151" s="1">
        <v>0.25</v>
      </c>
      <c r="J151" s="1">
        <v>2.0</v>
      </c>
      <c r="K151" s="1">
        <v>-1.08402</v>
      </c>
      <c r="L151" s="1">
        <v>100.0</v>
      </c>
      <c r="M151" s="1">
        <v>0.0</v>
      </c>
      <c r="N151" s="1">
        <v>0.0</v>
      </c>
      <c r="O151" s="1">
        <v>99.079762</v>
      </c>
    </row>
    <row r="152">
      <c r="A152" s="1" t="s">
        <v>610</v>
      </c>
      <c r="B152" s="1" t="s">
        <v>611</v>
      </c>
      <c r="C152" s="3" t="s">
        <v>95</v>
      </c>
      <c r="D152" s="5"/>
      <c r="E152" s="1" t="str">
        <f>IFERROR(__xludf.DUMMYFUNCTION("IFERROR(REGEXEXTRACT(A152, ""res(269|122)""), ""none"")"),"269")</f>
        <v>269</v>
      </c>
      <c r="F152" s="1">
        <v>-17.2643</v>
      </c>
      <c r="G152" s="1">
        <v>7.0</v>
      </c>
      <c r="H152" s="1">
        <v>4.0</v>
      </c>
      <c r="I152" s="1">
        <v>0.285714</v>
      </c>
      <c r="J152" s="1">
        <v>2.0</v>
      </c>
      <c r="K152" s="1">
        <v>-0.594912</v>
      </c>
      <c r="L152" s="1">
        <v>100.0</v>
      </c>
      <c r="M152" s="1">
        <v>0.0</v>
      </c>
      <c r="N152" s="1">
        <v>0.0</v>
      </c>
      <c r="O152" s="1">
        <v>95.426502</v>
      </c>
    </row>
    <row r="153">
      <c r="A153" s="1" t="s">
        <v>354</v>
      </c>
      <c r="B153" s="1" t="s">
        <v>355</v>
      </c>
      <c r="C153" s="3" t="s">
        <v>24</v>
      </c>
      <c r="D153" s="5"/>
      <c r="E153" s="1" t="str">
        <f>IFERROR(__xludf.DUMMYFUNCTION("IFERROR(REGEXEXTRACT(A153, ""res(269|122)""), ""none"")"),"269")</f>
        <v>269</v>
      </c>
      <c r="F153" s="1">
        <v>-16.551482</v>
      </c>
      <c r="G153" s="1">
        <v>8.0</v>
      </c>
      <c r="H153" s="1">
        <v>3.0</v>
      </c>
      <c r="I153" s="1">
        <v>0.25</v>
      </c>
      <c r="J153" s="1">
        <v>2.0</v>
      </c>
      <c r="K153" s="1">
        <v>-0.695112</v>
      </c>
      <c r="L153" s="1">
        <v>100.0</v>
      </c>
      <c r="M153" s="1">
        <v>0.0</v>
      </c>
      <c r="N153" s="1">
        <v>0.0</v>
      </c>
      <c r="O153" s="1">
        <v>96.003406</v>
      </c>
    </row>
    <row r="154">
      <c r="A154" s="1" t="s">
        <v>356</v>
      </c>
      <c r="B154" s="1" t="s">
        <v>168</v>
      </c>
      <c r="C154" s="3" t="s">
        <v>33</v>
      </c>
      <c r="D154" s="5"/>
      <c r="E154" s="1" t="str">
        <f>IFERROR(__xludf.DUMMYFUNCTION("IFERROR(REGEXEXTRACT(A154, ""res(269|122)""), ""none"")"),"269")</f>
        <v>269</v>
      </c>
      <c r="F154" s="1">
        <v>-16.947939</v>
      </c>
      <c r="G154" s="1">
        <v>7.0</v>
      </c>
      <c r="H154" s="1">
        <v>1.0</v>
      </c>
      <c r="I154" s="1">
        <v>0.285714</v>
      </c>
      <c r="J154" s="1">
        <v>2.0</v>
      </c>
      <c r="K154" s="1">
        <v>-1.26662</v>
      </c>
      <c r="L154" s="1">
        <v>100.0</v>
      </c>
      <c r="M154" s="1">
        <v>0.0</v>
      </c>
      <c r="N154" s="1">
        <v>0.0</v>
      </c>
      <c r="O154" s="1">
        <v>92.071155</v>
      </c>
    </row>
    <row r="155">
      <c r="A155" s="1" t="s">
        <v>612</v>
      </c>
      <c r="B155" s="1" t="s">
        <v>613</v>
      </c>
      <c r="C155" s="3" t="s">
        <v>95</v>
      </c>
      <c r="D155" s="5"/>
      <c r="E155" s="1" t="str">
        <f>IFERROR(__xludf.DUMMYFUNCTION("IFERROR(REGEXEXTRACT(A155, ""res(269|122)""), ""none"")"),"269")</f>
        <v>269</v>
      </c>
      <c r="F155" s="1">
        <v>-16.985042</v>
      </c>
      <c r="G155" s="1">
        <v>8.0</v>
      </c>
      <c r="H155" s="1">
        <v>4.0</v>
      </c>
      <c r="I155" s="1">
        <v>0.25</v>
      </c>
      <c r="J155" s="1">
        <v>2.0</v>
      </c>
      <c r="K155" s="1">
        <v>-1.067859</v>
      </c>
      <c r="L155" s="1">
        <v>100.0</v>
      </c>
      <c r="M155" s="1">
        <v>0.0</v>
      </c>
      <c r="N155" s="1">
        <v>0.0</v>
      </c>
      <c r="O155" s="1">
        <v>96.197099</v>
      </c>
    </row>
    <row r="156">
      <c r="A156" s="1" t="s">
        <v>614</v>
      </c>
      <c r="B156" s="1" t="s">
        <v>615</v>
      </c>
      <c r="C156" s="3" t="s">
        <v>95</v>
      </c>
      <c r="D156" s="5"/>
      <c r="E156" s="1" t="str">
        <f>IFERROR(__xludf.DUMMYFUNCTION("IFERROR(REGEXEXTRACT(A156, ""res(269|122)""), ""none"")"),"269")</f>
        <v>269</v>
      </c>
      <c r="F156" s="1">
        <v>-15.509211</v>
      </c>
      <c r="G156" s="1">
        <v>9.0</v>
      </c>
      <c r="H156" s="1">
        <v>3.0</v>
      </c>
      <c r="I156" s="1">
        <v>0.333333</v>
      </c>
      <c r="J156" s="1">
        <v>2.0</v>
      </c>
      <c r="K156" s="1">
        <v>-0.596599</v>
      </c>
      <c r="L156" s="1">
        <v>100.0</v>
      </c>
      <c r="M156" s="1">
        <v>0.0</v>
      </c>
      <c r="N156" s="1">
        <v>0.0</v>
      </c>
      <c r="O156" s="1">
        <v>98.227523</v>
      </c>
    </row>
    <row r="157">
      <c r="A157" s="1" t="s">
        <v>616</v>
      </c>
      <c r="B157" s="1" t="s">
        <v>617</v>
      </c>
      <c r="C157" s="3" t="s">
        <v>95</v>
      </c>
      <c r="D157" s="5"/>
      <c r="E157" s="1" t="str">
        <f>IFERROR(__xludf.DUMMYFUNCTION("IFERROR(REGEXEXTRACT(A157, ""res(269|122)""), ""none"")"),"269")</f>
        <v>269</v>
      </c>
      <c r="F157" s="1">
        <v>-16.224626</v>
      </c>
      <c r="G157" s="1">
        <v>12.0</v>
      </c>
      <c r="H157" s="1">
        <v>3.0</v>
      </c>
      <c r="I157" s="1">
        <v>0.25</v>
      </c>
      <c r="J157" s="1">
        <v>2.0</v>
      </c>
      <c r="K157" s="1">
        <v>-0.717456</v>
      </c>
      <c r="L157" s="1">
        <v>100.0</v>
      </c>
      <c r="M157" s="1">
        <v>0.0</v>
      </c>
      <c r="N157" s="1">
        <v>0.0</v>
      </c>
      <c r="O157" s="1">
        <v>100.307918</v>
      </c>
    </row>
    <row r="158">
      <c r="A158" s="1" t="s">
        <v>618</v>
      </c>
      <c r="B158" s="1" t="s">
        <v>619</v>
      </c>
      <c r="C158" s="3" t="s">
        <v>95</v>
      </c>
      <c r="D158" s="5"/>
      <c r="E158" s="1" t="str">
        <f>IFERROR(__xludf.DUMMYFUNCTION("IFERROR(REGEXEXTRACT(A158, ""res(269|122)""), ""none"")"),"269")</f>
        <v>269</v>
      </c>
      <c r="F158" s="1">
        <v>-15.347144</v>
      </c>
      <c r="G158" s="1">
        <v>8.0</v>
      </c>
      <c r="H158" s="1">
        <v>1.0</v>
      </c>
      <c r="I158" s="1">
        <v>0.375</v>
      </c>
      <c r="J158" s="1">
        <v>2.0</v>
      </c>
      <c r="K158" s="1">
        <v>-1.417512</v>
      </c>
      <c r="L158" s="1">
        <v>100.0</v>
      </c>
      <c r="M158" s="1">
        <v>0.0</v>
      </c>
      <c r="N158" s="1">
        <v>0.0</v>
      </c>
      <c r="O158" s="1">
        <v>94.610344</v>
      </c>
    </row>
    <row r="159">
      <c r="A159" s="1" t="s">
        <v>620</v>
      </c>
      <c r="B159" s="1" t="s">
        <v>621</v>
      </c>
      <c r="C159" s="3" t="s">
        <v>95</v>
      </c>
      <c r="D159" s="5"/>
      <c r="E159" s="1" t="str">
        <f>IFERROR(__xludf.DUMMYFUNCTION("IFERROR(REGEXEXTRACT(A159, ""res(269|122)""), ""none"")"),"269")</f>
        <v>269</v>
      </c>
      <c r="F159" s="1">
        <v>-15.969661</v>
      </c>
      <c r="G159" s="1">
        <v>10.0</v>
      </c>
      <c r="H159" s="1">
        <v>2.0</v>
      </c>
      <c r="I159" s="1">
        <v>0.5</v>
      </c>
      <c r="J159" s="1">
        <v>2.0</v>
      </c>
      <c r="K159" s="1">
        <v>-0.737468999999999</v>
      </c>
      <c r="L159" s="1">
        <v>100.0</v>
      </c>
      <c r="M159" s="1">
        <v>0.0</v>
      </c>
      <c r="N159" s="1">
        <v>0.0</v>
      </c>
      <c r="O159" s="1">
        <v>97.79287</v>
      </c>
    </row>
    <row r="160">
      <c r="A160" s="1" t="s">
        <v>622</v>
      </c>
      <c r="B160" s="1" t="s">
        <v>623</v>
      </c>
      <c r="C160" s="3" t="s">
        <v>95</v>
      </c>
      <c r="D160" s="5"/>
      <c r="E160" s="1" t="str">
        <f>IFERROR(__xludf.DUMMYFUNCTION("IFERROR(REGEXEXTRACT(A160, ""res(269|122)""), ""none"")"),"269")</f>
        <v>269</v>
      </c>
      <c r="F160" s="1">
        <v>-15.981415</v>
      </c>
      <c r="G160" s="1">
        <v>10.0</v>
      </c>
      <c r="H160" s="1">
        <v>3.0</v>
      </c>
      <c r="I160" s="1">
        <v>0.4</v>
      </c>
      <c r="J160" s="1">
        <v>2.0</v>
      </c>
      <c r="K160" s="1">
        <v>-1.45702499999999</v>
      </c>
      <c r="L160" s="1">
        <v>100.0</v>
      </c>
      <c r="M160" s="1">
        <v>0.0</v>
      </c>
      <c r="N160" s="1">
        <v>0.0</v>
      </c>
      <c r="O160" s="1">
        <v>97.96156</v>
      </c>
    </row>
    <row r="161">
      <c r="A161" s="1" t="s">
        <v>624</v>
      </c>
      <c r="B161" s="1" t="s">
        <v>625</v>
      </c>
      <c r="C161" s="3" t="s">
        <v>95</v>
      </c>
      <c r="D161" s="5"/>
      <c r="E161" s="1" t="str">
        <f>IFERROR(__xludf.DUMMYFUNCTION("IFERROR(REGEXEXTRACT(A161, ""res(269|122)""), ""none"")"),"269")</f>
        <v>269</v>
      </c>
      <c r="F161" s="1">
        <v>-15.875838</v>
      </c>
      <c r="G161" s="1">
        <v>7.0</v>
      </c>
      <c r="H161" s="1">
        <v>2.0</v>
      </c>
      <c r="I161" s="1">
        <v>0.285714</v>
      </c>
      <c r="J161" s="1">
        <v>2.0</v>
      </c>
      <c r="K161" s="1">
        <v>-0.561351</v>
      </c>
      <c r="L161" s="1">
        <v>100.0</v>
      </c>
      <c r="M161" s="1">
        <v>0.0</v>
      </c>
      <c r="N161" s="1">
        <v>0.0</v>
      </c>
      <c r="O161" s="1">
        <v>94.848525</v>
      </c>
    </row>
    <row r="162">
      <c r="A162" s="1" t="s">
        <v>626</v>
      </c>
      <c r="B162" s="1" t="s">
        <v>627</v>
      </c>
      <c r="C162" s="3" t="s">
        <v>95</v>
      </c>
      <c r="D162" s="5"/>
      <c r="E162" s="1" t="str">
        <f>IFERROR(__xludf.DUMMYFUNCTION("IFERROR(REGEXEXTRACT(A162, ""res(269|122)""), ""none"")"),"269")</f>
        <v>269</v>
      </c>
      <c r="F162" s="1">
        <v>-15.397525</v>
      </c>
      <c r="G162" s="1">
        <v>10.0</v>
      </c>
      <c r="H162" s="1">
        <v>3.0</v>
      </c>
      <c r="I162" s="1">
        <v>0.3</v>
      </c>
      <c r="J162" s="1">
        <v>3.0</v>
      </c>
      <c r="K162" s="1">
        <v>-2.80944</v>
      </c>
      <c r="L162" s="1">
        <v>100.0</v>
      </c>
      <c r="M162" s="1">
        <v>0.0</v>
      </c>
      <c r="N162" s="1">
        <v>0.0</v>
      </c>
      <c r="O162" s="1">
        <v>98.093035</v>
      </c>
    </row>
    <row r="163">
      <c r="A163" s="1" t="s">
        <v>628</v>
      </c>
      <c r="B163" s="1" t="s">
        <v>629</v>
      </c>
      <c r="C163" s="3" t="s">
        <v>95</v>
      </c>
      <c r="D163" s="5"/>
      <c r="E163" s="1" t="str">
        <f>IFERROR(__xludf.DUMMYFUNCTION("IFERROR(REGEXEXTRACT(A163, ""res(269|122)""), ""none"")"),"269")</f>
        <v>269</v>
      </c>
      <c r="F163" s="1">
        <v>-18.249974</v>
      </c>
      <c r="G163" s="1">
        <v>7.0</v>
      </c>
      <c r="H163" s="1">
        <v>3.0</v>
      </c>
      <c r="I163" s="1">
        <v>0.285714</v>
      </c>
      <c r="J163" s="1">
        <v>2.0</v>
      </c>
      <c r="K163" s="1">
        <v>-0.785149</v>
      </c>
      <c r="L163" s="1">
        <v>100.0</v>
      </c>
      <c r="M163" s="1">
        <v>0.0</v>
      </c>
      <c r="N163" s="1">
        <v>0.0</v>
      </c>
      <c r="O163" s="1">
        <v>93.250591</v>
      </c>
    </row>
    <row r="164">
      <c r="A164" s="1" t="s">
        <v>630</v>
      </c>
      <c r="B164" s="1" t="s">
        <v>631</v>
      </c>
      <c r="C164" s="3" t="s">
        <v>95</v>
      </c>
      <c r="D164" s="5"/>
      <c r="E164" s="1" t="str">
        <f>IFERROR(__xludf.DUMMYFUNCTION("IFERROR(REGEXEXTRACT(A164, ""res(269|122)""), ""none"")"),"269")</f>
        <v>269</v>
      </c>
      <c r="F164" s="1">
        <v>-16.682557</v>
      </c>
      <c r="G164" s="1">
        <v>8.0</v>
      </c>
      <c r="H164" s="1">
        <v>2.0</v>
      </c>
      <c r="I164" s="1">
        <v>0.25</v>
      </c>
      <c r="J164" s="1">
        <v>2.0</v>
      </c>
      <c r="K164" s="1">
        <v>-0.664636</v>
      </c>
      <c r="L164" s="1">
        <v>100.0</v>
      </c>
      <c r="M164" s="1">
        <v>0.0</v>
      </c>
      <c r="N164" s="1">
        <v>0.0</v>
      </c>
      <c r="O164" s="1">
        <v>94.902807</v>
      </c>
    </row>
    <row r="165">
      <c r="A165" s="1" t="s">
        <v>632</v>
      </c>
      <c r="B165" s="1" t="s">
        <v>633</v>
      </c>
      <c r="C165" s="3" t="s">
        <v>95</v>
      </c>
      <c r="D165" s="5"/>
      <c r="E165" s="1" t="str">
        <f>IFERROR(__xludf.DUMMYFUNCTION("IFERROR(REGEXEXTRACT(A165, ""res(269|122)""), ""none"")"),"269")</f>
        <v>269</v>
      </c>
      <c r="F165" s="1">
        <v>-16.279523</v>
      </c>
      <c r="G165" s="1">
        <v>9.0</v>
      </c>
      <c r="H165" s="1">
        <v>3.0</v>
      </c>
      <c r="I165" s="1">
        <v>0.333333</v>
      </c>
      <c r="J165" s="1">
        <v>2.0</v>
      </c>
      <c r="K165" s="1">
        <v>-1.390816</v>
      </c>
      <c r="L165" s="1">
        <v>100.0</v>
      </c>
      <c r="M165" s="1">
        <v>0.0</v>
      </c>
      <c r="N165" s="1">
        <v>0.0</v>
      </c>
      <c r="O165" s="1">
        <v>96.662994</v>
      </c>
    </row>
    <row r="166">
      <c r="A166" s="1" t="s">
        <v>357</v>
      </c>
      <c r="B166" s="1" t="s">
        <v>358</v>
      </c>
      <c r="C166" s="3" t="s">
        <v>24</v>
      </c>
      <c r="D166" s="5"/>
      <c r="E166" s="1" t="str">
        <f>IFERROR(__xludf.DUMMYFUNCTION("IFERROR(REGEXEXTRACT(A166, ""res(269|122)""), ""none"")"),"269")</f>
        <v>269</v>
      </c>
      <c r="F166" s="1">
        <v>-18.499142</v>
      </c>
      <c r="G166" s="1">
        <v>10.0</v>
      </c>
      <c r="H166" s="1">
        <v>1.0</v>
      </c>
      <c r="I166" s="1">
        <v>0.3</v>
      </c>
      <c r="J166" s="1">
        <v>3.0</v>
      </c>
      <c r="K166" s="1">
        <v>-0.362342</v>
      </c>
      <c r="L166" s="1">
        <v>100.0</v>
      </c>
      <c r="M166" s="1">
        <v>0.0</v>
      </c>
      <c r="N166" s="1">
        <v>0.0</v>
      </c>
      <c r="O166" s="1">
        <v>95.438516</v>
      </c>
    </row>
    <row r="167">
      <c r="A167" s="1" t="s">
        <v>634</v>
      </c>
      <c r="B167" s="1" t="s">
        <v>635</v>
      </c>
      <c r="C167" s="3" t="s">
        <v>95</v>
      </c>
      <c r="D167" s="5"/>
      <c r="E167" s="1" t="str">
        <f>IFERROR(__xludf.DUMMYFUNCTION("IFERROR(REGEXEXTRACT(A167, ""res(269|122)""), ""none"")"),"269")</f>
        <v>269</v>
      </c>
      <c r="F167" s="1">
        <v>-15.449765</v>
      </c>
      <c r="G167" s="1">
        <v>12.0</v>
      </c>
      <c r="H167" s="1">
        <v>5.0</v>
      </c>
      <c r="I167" s="1">
        <v>0.333333</v>
      </c>
      <c r="J167" s="1">
        <v>2.0</v>
      </c>
      <c r="K167" s="1">
        <v>-1.438979</v>
      </c>
      <c r="L167" s="1">
        <v>100.0</v>
      </c>
      <c r="M167" s="1">
        <v>0.0</v>
      </c>
      <c r="N167" s="1">
        <v>0.0</v>
      </c>
      <c r="O167" s="1">
        <v>102.444589</v>
      </c>
    </row>
    <row r="168">
      <c r="A168" s="1" t="s">
        <v>359</v>
      </c>
      <c r="B168" s="1" t="s">
        <v>360</v>
      </c>
      <c r="C168" s="3" t="s">
        <v>24</v>
      </c>
      <c r="D168" s="5"/>
      <c r="E168" s="1" t="str">
        <f>IFERROR(__xludf.DUMMYFUNCTION("IFERROR(REGEXEXTRACT(A168, ""res(269|122)""), ""none"")"),"269")</f>
        <v>269</v>
      </c>
      <c r="F168" s="1">
        <v>-16.983006</v>
      </c>
      <c r="G168" s="1">
        <v>12.0</v>
      </c>
      <c r="H168" s="1">
        <v>5.0</v>
      </c>
      <c r="I168" s="1">
        <v>0.25</v>
      </c>
      <c r="J168" s="1">
        <v>2.0</v>
      </c>
      <c r="K168" s="1">
        <v>-0.69205</v>
      </c>
      <c r="L168" s="1">
        <v>100.0</v>
      </c>
      <c r="M168" s="1">
        <v>0.0</v>
      </c>
      <c r="N168" s="1">
        <v>0.0</v>
      </c>
      <c r="O168" s="1">
        <v>101.574944</v>
      </c>
    </row>
    <row r="169">
      <c r="A169" s="1" t="s">
        <v>636</v>
      </c>
      <c r="B169" s="1" t="s">
        <v>637</v>
      </c>
      <c r="C169" s="3" t="s">
        <v>95</v>
      </c>
      <c r="D169" s="5"/>
      <c r="E169" s="1" t="str">
        <f>IFERROR(__xludf.DUMMYFUNCTION("IFERROR(REGEXEXTRACT(A169, ""res(269|122)""), ""none"")"),"269")</f>
        <v>269</v>
      </c>
      <c r="F169" s="1">
        <v>-15.081811</v>
      </c>
      <c r="G169" s="1">
        <v>10.0</v>
      </c>
      <c r="H169" s="1">
        <v>3.0</v>
      </c>
      <c r="I169" s="1">
        <v>0.3</v>
      </c>
      <c r="J169" s="1">
        <v>2.0</v>
      </c>
      <c r="K169" s="1">
        <v>-0.81487</v>
      </c>
      <c r="L169" s="1">
        <v>100.0</v>
      </c>
      <c r="M169" s="1">
        <v>0.0</v>
      </c>
      <c r="N169" s="1">
        <v>0.0</v>
      </c>
      <c r="O169" s="1">
        <v>99.403319</v>
      </c>
    </row>
    <row r="170">
      <c r="A170" s="1" t="s">
        <v>638</v>
      </c>
      <c r="B170" s="1" t="s">
        <v>639</v>
      </c>
      <c r="C170" s="3" t="s">
        <v>95</v>
      </c>
      <c r="D170" s="5"/>
      <c r="E170" s="1" t="str">
        <f>IFERROR(__xludf.DUMMYFUNCTION("IFERROR(REGEXEXTRACT(A170, ""res(269|122)""), ""none"")"),"269")</f>
        <v>269</v>
      </c>
      <c r="F170" s="1">
        <v>-15.039533</v>
      </c>
      <c r="G170" s="1">
        <v>11.0</v>
      </c>
      <c r="H170" s="1">
        <v>2.0</v>
      </c>
      <c r="I170" s="1">
        <v>0.272727</v>
      </c>
      <c r="J170" s="1">
        <v>2.0</v>
      </c>
      <c r="K170" s="1">
        <v>-0.298395</v>
      </c>
      <c r="L170" s="1">
        <v>100.0</v>
      </c>
      <c r="M170" s="1">
        <v>0.0</v>
      </c>
      <c r="N170" s="1">
        <v>0.0</v>
      </c>
      <c r="O170" s="1">
        <v>99.934799</v>
      </c>
    </row>
    <row r="171">
      <c r="A171" s="1" t="s">
        <v>640</v>
      </c>
      <c r="B171" s="1" t="s">
        <v>641</v>
      </c>
      <c r="C171" s="3" t="s">
        <v>95</v>
      </c>
      <c r="D171" s="5"/>
      <c r="E171" s="1" t="str">
        <f>IFERROR(__xludf.DUMMYFUNCTION("IFERROR(REGEXEXTRACT(A171, ""res(269|122)""), ""none"")"),"269")</f>
        <v>269</v>
      </c>
      <c r="F171" s="1">
        <v>-16.102788</v>
      </c>
      <c r="G171" s="1">
        <v>7.0</v>
      </c>
      <c r="H171" s="1">
        <v>4.0</v>
      </c>
      <c r="I171" s="1">
        <v>0.285714</v>
      </c>
      <c r="J171" s="1">
        <v>2.0</v>
      </c>
      <c r="K171" s="1">
        <v>-0.534735</v>
      </c>
      <c r="L171" s="1">
        <v>100.0</v>
      </c>
      <c r="M171" s="1">
        <v>0.0</v>
      </c>
      <c r="N171" s="1">
        <v>0.0</v>
      </c>
      <c r="O171" s="1">
        <v>96.648191</v>
      </c>
    </row>
    <row r="172">
      <c r="A172" s="1" t="s">
        <v>642</v>
      </c>
      <c r="B172" s="1" t="s">
        <v>643</v>
      </c>
      <c r="C172" s="3" t="s">
        <v>95</v>
      </c>
      <c r="D172" s="5"/>
      <c r="E172" s="1" t="str">
        <f>IFERROR(__xludf.DUMMYFUNCTION("IFERROR(REGEXEXTRACT(A172, ""res(269|122)""), ""none"")"),"269")</f>
        <v>269</v>
      </c>
      <c r="F172" s="1">
        <v>-15.730727</v>
      </c>
      <c r="G172" s="1">
        <v>7.0</v>
      </c>
      <c r="H172" s="1">
        <v>3.0</v>
      </c>
      <c r="I172" s="1">
        <v>0.285714</v>
      </c>
      <c r="J172" s="1">
        <v>2.0</v>
      </c>
      <c r="K172" s="1">
        <v>-0.917975</v>
      </c>
      <c r="L172" s="1">
        <v>100.0</v>
      </c>
      <c r="M172" s="1">
        <v>0.0</v>
      </c>
      <c r="N172" s="1">
        <v>0.0</v>
      </c>
      <c r="O172" s="1">
        <v>95.637012</v>
      </c>
    </row>
    <row r="173">
      <c r="A173" s="1" t="s">
        <v>644</v>
      </c>
      <c r="B173" s="1" t="s">
        <v>645</v>
      </c>
      <c r="C173" s="3" t="s">
        <v>95</v>
      </c>
      <c r="D173" s="5"/>
      <c r="E173" s="1" t="str">
        <f>IFERROR(__xludf.DUMMYFUNCTION("IFERROR(REGEXEXTRACT(A173, ""res(269|122)""), ""none"")"),"269")</f>
        <v>269</v>
      </c>
      <c r="F173" s="1">
        <v>-18.238756</v>
      </c>
      <c r="G173" s="1">
        <v>11.0</v>
      </c>
      <c r="H173" s="1">
        <v>2.0</v>
      </c>
      <c r="I173" s="1">
        <v>0.363636</v>
      </c>
      <c r="J173" s="1">
        <v>3.0</v>
      </c>
      <c r="K173" s="1">
        <v>-0.437833</v>
      </c>
      <c r="L173" s="1">
        <v>100.0</v>
      </c>
      <c r="M173" s="1">
        <v>0.0</v>
      </c>
      <c r="N173" s="1">
        <v>0.0</v>
      </c>
      <c r="O173" s="1">
        <v>97.687047</v>
      </c>
    </row>
    <row r="174">
      <c r="A174" s="1" t="s">
        <v>361</v>
      </c>
      <c r="B174" s="1" t="s">
        <v>362</v>
      </c>
      <c r="C174" s="3" t="s">
        <v>24</v>
      </c>
      <c r="D174" s="5"/>
      <c r="E174" s="1" t="str">
        <f>IFERROR(__xludf.DUMMYFUNCTION("IFERROR(REGEXEXTRACT(A174, ""res(269|122)""), ""none"")"),"269")</f>
        <v>269</v>
      </c>
      <c r="F174" s="1">
        <v>-15.529597</v>
      </c>
      <c r="G174" s="1">
        <v>9.0</v>
      </c>
      <c r="H174" s="1">
        <v>2.0</v>
      </c>
      <c r="I174" s="1">
        <v>0.444444</v>
      </c>
      <c r="J174" s="1">
        <v>2.0</v>
      </c>
      <c r="K174" s="1">
        <v>-0.986909</v>
      </c>
      <c r="L174" s="1">
        <v>100.0</v>
      </c>
      <c r="M174" s="1">
        <v>0.0</v>
      </c>
      <c r="N174" s="1">
        <v>0.0</v>
      </c>
      <c r="O174" s="1">
        <v>96.927938</v>
      </c>
    </row>
    <row r="175">
      <c r="A175" s="1" t="s">
        <v>646</v>
      </c>
      <c r="B175" s="1" t="s">
        <v>647</v>
      </c>
      <c r="C175" s="3" t="s">
        <v>95</v>
      </c>
      <c r="D175" s="5"/>
      <c r="E175" s="1" t="str">
        <f>IFERROR(__xludf.DUMMYFUNCTION("IFERROR(REGEXEXTRACT(A175, ""res(269|122)""), ""none"")"),"269")</f>
        <v>269</v>
      </c>
      <c r="F175" s="1">
        <v>-15.250452</v>
      </c>
      <c r="G175" s="1">
        <v>10.0</v>
      </c>
      <c r="H175" s="1">
        <v>5.0</v>
      </c>
      <c r="I175" s="1">
        <v>0.6</v>
      </c>
      <c r="J175" s="1">
        <v>2.0</v>
      </c>
      <c r="K175" s="1">
        <v>-0.981478</v>
      </c>
      <c r="L175" s="1">
        <v>100.0</v>
      </c>
      <c r="M175" s="1">
        <v>0.0</v>
      </c>
      <c r="N175" s="1">
        <v>0.0</v>
      </c>
      <c r="O175" s="1">
        <v>101.36807</v>
      </c>
    </row>
    <row r="176">
      <c r="A176" s="1" t="s">
        <v>363</v>
      </c>
      <c r="B176" s="1" t="s">
        <v>364</v>
      </c>
      <c r="C176" s="3" t="s">
        <v>24</v>
      </c>
      <c r="D176" s="5"/>
      <c r="E176" s="1" t="str">
        <f>IFERROR(__xludf.DUMMYFUNCTION("IFERROR(REGEXEXTRACT(A176, ""res(269|122)""), ""none"")"),"269")</f>
        <v>269</v>
      </c>
      <c r="F176" s="1">
        <v>-16.175959</v>
      </c>
      <c r="G176" s="1">
        <v>9.0</v>
      </c>
      <c r="H176" s="1">
        <v>3.0</v>
      </c>
      <c r="I176" s="1">
        <v>0.333333</v>
      </c>
      <c r="J176" s="1">
        <v>2.0</v>
      </c>
      <c r="K176" s="1">
        <v>-0.314357</v>
      </c>
      <c r="L176" s="1">
        <v>100.0</v>
      </c>
      <c r="M176" s="1">
        <v>0.0</v>
      </c>
      <c r="N176" s="1">
        <v>0.0</v>
      </c>
      <c r="O176" s="1">
        <v>97.843017</v>
      </c>
    </row>
    <row r="177">
      <c r="A177" s="1" t="s">
        <v>648</v>
      </c>
      <c r="B177" s="1" t="s">
        <v>649</v>
      </c>
      <c r="C177" s="3" t="s">
        <v>95</v>
      </c>
      <c r="D177" s="5"/>
      <c r="E177" s="1" t="str">
        <f>IFERROR(__xludf.DUMMYFUNCTION("IFERROR(REGEXEXTRACT(A177, ""res(269|122)""), ""none"")"),"269")</f>
        <v>269</v>
      </c>
      <c r="F177" s="1">
        <v>-16.232479</v>
      </c>
      <c r="G177" s="1">
        <v>9.0</v>
      </c>
      <c r="H177" s="1">
        <v>2.0</v>
      </c>
      <c r="I177" s="1">
        <v>0.333333</v>
      </c>
      <c r="J177" s="1">
        <v>2.0</v>
      </c>
      <c r="K177" s="1">
        <v>-0.871795</v>
      </c>
      <c r="L177" s="1">
        <v>100.0</v>
      </c>
      <c r="M177" s="1">
        <v>0.0</v>
      </c>
      <c r="N177" s="1">
        <v>0.0</v>
      </c>
      <c r="O177" s="1">
        <v>96.229059</v>
      </c>
    </row>
    <row r="178">
      <c r="A178" s="1" t="s">
        <v>365</v>
      </c>
      <c r="B178" s="1" t="s">
        <v>366</v>
      </c>
      <c r="C178" s="3" t="s">
        <v>24</v>
      </c>
      <c r="D178" s="5"/>
      <c r="E178" s="1" t="str">
        <f>IFERROR(__xludf.DUMMYFUNCTION("IFERROR(REGEXEXTRACT(A178, ""res(269|122)""), ""none"")"),"269")</f>
        <v>269</v>
      </c>
      <c r="F178" s="1">
        <v>-17.343073</v>
      </c>
      <c r="G178" s="1">
        <v>7.0</v>
      </c>
      <c r="H178" s="1">
        <v>2.0</v>
      </c>
      <c r="I178" s="1">
        <v>0.285714</v>
      </c>
      <c r="J178" s="1">
        <v>2.0</v>
      </c>
      <c r="K178" s="1">
        <v>-0.812617</v>
      </c>
      <c r="L178" s="1">
        <v>100.0</v>
      </c>
      <c r="M178" s="1">
        <v>0.0</v>
      </c>
      <c r="N178" s="1">
        <v>0.0</v>
      </c>
      <c r="O178" s="1">
        <v>93.130024</v>
      </c>
    </row>
    <row r="179">
      <c r="A179" s="1" t="s">
        <v>650</v>
      </c>
      <c r="B179" s="1" t="s">
        <v>651</v>
      </c>
      <c r="C179" s="3" t="s">
        <v>95</v>
      </c>
      <c r="D179" s="5"/>
      <c r="E179" s="1" t="str">
        <f>IFERROR(__xludf.DUMMYFUNCTION("IFERROR(REGEXEXTRACT(A179, ""res(269|122)""), ""none"")"),"269")</f>
        <v>269</v>
      </c>
      <c r="F179" s="1">
        <v>-15.101642</v>
      </c>
      <c r="G179" s="1">
        <v>8.0</v>
      </c>
      <c r="H179" s="1">
        <v>3.0</v>
      </c>
      <c r="I179" s="1">
        <v>0.25</v>
      </c>
      <c r="J179" s="1">
        <v>2.0</v>
      </c>
      <c r="K179" s="1">
        <v>-0.759632</v>
      </c>
      <c r="L179" s="1">
        <v>100.0</v>
      </c>
      <c r="M179" s="1">
        <v>0.0</v>
      </c>
      <c r="N179" s="1">
        <v>0.0</v>
      </c>
      <c r="O179" s="1">
        <v>97.388726</v>
      </c>
    </row>
    <row r="180">
      <c r="A180" s="1" t="s">
        <v>652</v>
      </c>
      <c r="B180" s="1" t="s">
        <v>653</v>
      </c>
      <c r="C180" s="3" t="s">
        <v>95</v>
      </c>
      <c r="D180" s="5"/>
      <c r="E180" s="1" t="str">
        <f>IFERROR(__xludf.DUMMYFUNCTION("IFERROR(REGEXEXTRACT(A180, ""res(269|122)""), ""none"")"),"269")</f>
        <v>269</v>
      </c>
      <c r="F180" s="1">
        <v>-17.123586</v>
      </c>
      <c r="G180" s="1">
        <v>8.0</v>
      </c>
      <c r="H180" s="1">
        <v>2.0</v>
      </c>
      <c r="I180" s="1">
        <v>0.375</v>
      </c>
      <c r="J180" s="1">
        <v>2.0</v>
      </c>
      <c r="K180" s="1">
        <v>-1.047168</v>
      </c>
      <c r="L180" s="1">
        <v>100.0</v>
      </c>
      <c r="M180" s="1">
        <v>0.0</v>
      </c>
      <c r="N180" s="1">
        <v>0.0</v>
      </c>
      <c r="O180" s="1">
        <v>94.204246</v>
      </c>
    </row>
    <row r="181">
      <c r="A181" s="1" t="s">
        <v>654</v>
      </c>
      <c r="B181" s="1" t="s">
        <v>655</v>
      </c>
      <c r="C181" s="3" t="s">
        <v>95</v>
      </c>
      <c r="D181" s="5"/>
      <c r="E181" s="1" t="str">
        <f>IFERROR(__xludf.DUMMYFUNCTION("IFERROR(REGEXEXTRACT(A181, ""res(269|122)""), ""none"")"),"269")</f>
        <v>269</v>
      </c>
      <c r="F181" s="1">
        <v>-15.116665</v>
      </c>
      <c r="G181" s="1">
        <v>8.0</v>
      </c>
      <c r="H181" s="1">
        <v>2.0</v>
      </c>
      <c r="I181" s="1">
        <v>0.25</v>
      </c>
      <c r="J181" s="1">
        <v>2.0</v>
      </c>
      <c r="K181" s="1">
        <v>-1.150909</v>
      </c>
      <c r="L181" s="1">
        <v>100.0</v>
      </c>
      <c r="M181" s="1">
        <v>0.0</v>
      </c>
      <c r="N181" s="1">
        <v>0.0</v>
      </c>
      <c r="O181" s="1">
        <v>95.982426</v>
      </c>
    </row>
    <row r="182">
      <c r="A182" s="1" t="s">
        <v>656</v>
      </c>
      <c r="B182" s="1" t="s">
        <v>657</v>
      </c>
      <c r="C182" s="3" t="s">
        <v>95</v>
      </c>
      <c r="D182" s="5"/>
      <c r="E182" s="1" t="str">
        <f>IFERROR(__xludf.DUMMYFUNCTION("IFERROR(REGEXEXTRACT(A182, ""res(269|122)""), ""none"")"),"269")</f>
        <v>269</v>
      </c>
      <c r="F182" s="1">
        <v>-15.353643</v>
      </c>
      <c r="G182" s="1">
        <v>9.0</v>
      </c>
      <c r="H182" s="1">
        <v>1.0</v>
      </c>
      <c r="I182" s="1">
        <v>0.333333</v>
      </c>
      <c r="J182" s="1">
        <v>2.0</v>
      </c>
      <c r="K182" s="1">
        <v>-1.274051</v>
      </c>
      <c r="L182" s="1">
        <v>100.0</v>
      </c>
      <c r="M182" s="1">
        <v>0.0</v>
      </c>
      <c r="N182" s="1">
        <v>0.0</v>
      </c>
      <c r="O182" s="1">
        <v>95.705639</v>
      </c>
    </row>
    <row r="183">
      <c r="A183" s="1" t="s">
        <v>658</v>
      </c>
      <c r="B183" s="1" t="s">
        <v>659</v>
      </c>
      <c r="C183" s="3" t="s">
        <v>95</v>
      </c>
      <c r="D183" s="5"/>
      <c r="E183" s="1" t="str">
        <f>IFERROR(__xludf.DUMMYFUNCTION("IFERROR(REGEXEXTRACT(A183, ""res(269|122)""), ""none"")"),"269")</f>
        <v>269</v>
      </c>
      <c r="F183" s="1">
        <v>-16.125849</v>
      </c>
      <c r="G183" s="1">
        <v>7.0</v>
      </c>
      <c r="H183" s="1">
        <v>4.0</v>
      </c>
      <c r="I183" s="1">
        <v>0.428571</v>
      </c>
      <c r="J183" s="1">
        <v>2.0</v>
      </c>
      <c r="K183" s="1">
        <v>-0.665465</v>
      </c>
      <c r="L183" s="1">
        <v>100.0</v>
      </c>
      <c r="M183" s="1">
        <v>0.0</v>
      </c>
      <c r="N183" s="1">
        <v>0.0</v>
      </c>
      <c r="O183" s="1">
        <v>96.637257</v>
      </c>
    </row>
    <row r="184">
      <c r="A184" s="1" t="s">
        <v>660</v>
      </c>
      <c r="B184" s="1" t="s">
        <v>661</v>
      </c>
      <c r="C184" s="3" t="s">
        <v>95</v>
      </c>
      <c r="D184" s="5"/>
      <c r="E184" s="1" t="str">
        <f>IFERROR(__xludf.DUMMYFUNCTION("IFERROR(REGEXEXTRACT(A184, ""res(269|122)""), ""none"")"),"269")</f>
        <v>269</v>
      </c>
      <c r="F184" s="1">
        <v>-16.253947</v>
      </c>
      <c r="G184" s="1">
        <v>7.0</v>
      </c>
      <c r="H184" s="1">
        <v>4.0</v>
      </c>
      <c r="I184" s="1">
        <v>0.285714</v>
      </c>
      <c r="J184" s="1">
        <v>2.0</v>
      </c>
      <c r="K184" s="1">
        <v>-0.635597</v>
      </c>
      <c r="L184" s="1">
        <v>100.0</v>
      </c>
      <c r="M184" s="1">
        <v>0.0</v>
      </c>
      <c r="N184" s="1">
        <v>0.0</v>
      </c>
      <c r="O184" s="1">
        <v>96.39617</v>
      </c>
    </row>
    <row r="185">
      <c r="A185" s="1" t="s">
        <v>662</v>
      </c>
      <c r="B185" s="1" t="s">
        <v>663</v>
      </c>
      <c r="C185" s="3" t="s">
        <v>95</v>
      </c>
      <c r="D185" s="5"/>
      <c r="E185" s="1" t="str">
        <f>IFERROR(__xludf.DUMMYFUNCTION("IFERROR(REGEXEXTRACT(A185, ""res(269|122)""), ""none"")"),"269")</f>
        <v>269</v>
      </c>
      <c r="F185" s="1">
        <v>-15.462274</v>
      </c>
      <c r="G185" s="1">
        <v>8.0</v>
      </c>
      <c r="H185" s="1">
        <v>3.0</v>
      </c>
      <c r="I185" s="1">
        <v>0.25</v>
      </c>
      <c r="J185" s="1">
        <v>2.0</v>
      </c>
      <c r="K185" s="1">
        <v>-0.696577</v>
      </c>
      <c r="L185" s="1">
        <v>100.0</v>
      </c>
      <c r="M185" s="1">
        <v>0.0</v>
      </c>
      <c r="N185" s="1">
        <v>0.0</v>
      </c>
      <c r="O185" s="1">
        <v>97.091149</v>
      </c>
    </row>
    <row r="186">
      <c r="A186" s="1" t="s">
        <v>367</v>
      </c>
      <c r="B186" s="1" t="s">
        <v>368</v>
      </c>
      <c r="C186" s="3" t="s">
        <v>24</v>
      </c>
      <c r="D186" s="5"/>
      <c r="E186" s="1" t="str">
        <f>IFERROR(__xludf.DUMMYFUNCTION("IFERROR(REGEXEXTRACT(A186, ""res(269|122)""), ""none"")"),"269")</f>
        <v>269</v>
      </c>
      <c r="F186" s="1">
        <v>-15.840535</v>
      </c>
      <c r="G186" s="1">
        <v>8.0</v>
      </c>
      <c r="H186" s="1">
        <v>3.0</v>
      </c>
      <c r="I186" s="1">
        <v>0.25</v>
      </c>
      <c r="J186" s="1">
        <v>2.0</v>
      </c>
      <c r="K186" s="1">
        <v>-1.102898</v>
      </c>
      <c r="L186" s="1">
        <v>100.0</v>
      </c>
      <c r="M186" s="1">
        <v>0.0</v>
      </c>
      <c r="N186" s="1">
        <v>0.0</v>
      </c>
      <c r="O186" s="1">
        <v>96.306567</v>
      </c>
    </row>
    <row r="187">
      <c r="A187" s="1" t="s">
        <v>664</v>
      </c>
      <c r="B187" s="1" t="s">
        <v>665</v>
      </c>
      <c r="C187" s="3" t="s">
        <v>95</v>
      </c>
      <c r="D187" s="5"/>
      <c r="E187" s="1" t="str">
        <f>IFERROR(__xludf.DUMMYFUNCTION("IFERROR(REGEXEXTRACT(A187, ""res(269|122)""), ""none"")"),"269")</f>
        <v>269</v>
      </c>
      <c r="F187" s="1">
        <v>-16.40512</v>
      </c>
      <c r="G187" s="1">
        <v>7.0</v>
      </c>
      <c r="H187" s="1">
        <v>3.0</v>
      </c>
      <c r="I187" s="1">
        <v>0.428571</v>
      </c>
      <c r="J187" s="1">
        <v>2.0</v>
      </c>
      <c r="K187" s="1">
        <v>-0.666266999999999</v>
      </c>
      <c r="L187" s="1">
        <v>100.0</v>
      </c>
      <c r="M187" s="1">
        <v>0.0</v>
      </c>
      <c r="N187" s="1">
        <v>0.0</v>
      </c>
      <c r="O187" s="1">
        <v>95.357184</v>
      </c>
    </row>
    <row r="188">
      <c r="A188" s="1" t="s">
        <v>666</v>
      </c>
      <c r="B188" s="1" t="s">
        <v>667</v>
      </c>
      <c r="C188" s="3" t="s">
        <v>95</v>
      </c>
      <c r="D188" s="5"/>
      <c r="E188" s="1" t="str">
        <f>IFERROR(__xludf.DUMMYFUNCTION("IFERROR(REGEXEXTRACT(A188, ""res(269|122)""), ""none"")"),"269")</f>
        <v>269</v>
      </c>
      <c r="F188" s="1">
        <v>-17.584245</v>
      </c>
      <c r="G188" s="1">
        <v>9.0</v>
      </c>
      <c r="H188" s="1">
        <v>3.0</v>
      </c>
      <c r="I188" s="1">
        <v>0.333333</v>
      </c>
      <c r="J188" s="1">
        <v>2.0</v>
      </c>
      <c r="K188" s="1">
        <v>-0.939133</v>
      </c>
      <c r="L188" s="1">
        <v>100.0</v>
      </c>
      <c r="M188" s="1">
        <v>0.0</v>
      </c>
      <c r="N188" s="1">
        <v>0.0</v>
      </c>
      <c r="O188" s="1">
        <v>95.809955</v>
      </c>
    </row>
    <row r="189">
      <c r="A189" s="1" t="s">
        <v>668</v>
      </c>
      <c r="B189" s="1" t="s">
        <v>669</v>
      </c>
      <c r="C189" s="3" t="s">
        <v>95</v>
      </c>
      <c r="D189" s="5"/>
      <c r="E189" s="1" t="str">
        <f>IFERROR(__xludf.DUMMYFUNCTION("IFERROR(REGEXEXTRACT(A189, ""res(269|122)""), ""none"")"),"269")</f>
        <v>269</v>
      </c>
      <c r="F189" s="1">
        <v>-16.176007</v>
      </c>
      <c r="G189" s="1">
        <v>7.0</v>
      </c>
      <c r="H189" s="1">
        <v>3.0</v>
      </c>
      <c r="I189" s="1">
        <v>0.285714</v>
      </c>
      <c r="J189" s="1">
        <v>2.0</v>
      </c>
      <c r="K189" s="1">
        <v>-1.054648</v>
      </c>
      <c r="L189" s="1">
        <v>100.0</v>
      </c>
      <c r="M189" s="1">
        <v>0.0</v>
      </c>
      <c r="N189" s="1">
        <v>0.0</v>
      </c>
      <c r="O189" s="1">
        <v>95.055059</v>
      </c>
    </row>
    <row r="190">
      <c r="A190" s="1" t="s">
        <v>670</v>
      </c>
      <c r="B190" s="1" t="s">
        <v>671</v>
      </c>
      <c r="C190" s="3" t="s">
        <v>95</v>
      </c>
      <c r="D190" s="5"/>
      <c r="E190" s="1" t="str">
        <f>IFERROR(__xludf.DUMMYFUNCTION("IFERROR(REGEXEXTRACT(A190, ""res(269|122)""), ""none"")"),"269")</f>
        <v>269</v>
      </c>
      <c r="F190" s="1">
        <v>-16.225543</v>
      </c>
      <c r="G190" s="1">
        <v>7.0</v>
      </c>
      <c r="H190" s="1">
        <v>2.0</v>
      </c>
      <c r="I190" s="1">
        <v>0.428571</v>
      </c>
      <c r="J190" s="1">
        <v>2.0</v>
      </c>
      <c r="K190" s="1">
        <v>-0.484107</v>
      </c>
      <c r="L190" s="1">
        <v>100.0</v>
      </c>
      <c r="M190" s="1">
        <v>0.0</v>
      </c>
      <c r="N190" s="1">
        <v>0.0</v>
      </c>
      <c r="O190" s="1">
        <v>94.718921</v>
      </c>
    </row>
    <row r="191">
      <c r="A191" s="1" t="s">
        <v>369</v>
      </c>
      <c r="B191" s="1" t="s">
        <v>370</v>
      </c>
      <c r="C191" s="3" t="s">
        <v>24</v>
      </c>
      <c r="D191" s="5"/>
      <c r="E191" s="1" t="str">
        <f>IFERROR(__xludf.DUMMYFUNCTION("IFERROR(REGEXEXTRACT(A191, ""res(269|122)""), ""none"")"),"269")</f>
        <v>269</v>
      </c>
      <c r="F191" s="1">
        <v>-15.34511</v>
      </c>
      <c r="G191" s="1">
        <v>6.0</v>
      </c>
      <c r="H191" s="1">
        <v>3.0</v>
      </c>
      <c r="I191" s="1">
        <v>0.333333</v>
      </c>
      <c r="J191" s="1">
        <v>2.0</v>
      </c>
      <c r="K191" s="1">
        <v>-0.649549</v>
      </c>
      <c r="L191" s="1">
        <v>100.0</v>
      </c>
      <c r="M191" s="1">
        <v>0.0</v>
      </c>
      <c r="N191" s="1">
        <v>0.0</v>
      </c>
      <c r="O191" s="1">
        <v>95.338674</v>
      </c>
    </row>
    <row r="192">
      <c r="A192" s="1" t="s">
        <v>672</v>
      </c>
      <c r="B192" s="1" t="s">
        <v>673</v>
      </c>
      <c r="C192" s="3" t="s">
        <v>95</v>
      </c>
      <c r="D192" s="5"/>
      <c r="E192" s="1" t="str">
        <f>IFERROR(__xludf.DUMMYFUNCTION("IFERROR(REGEXEXTRACT(A192, ""res(269|122)""), ""none"")"),"269")</f>
        <v>269</v>
      </c>
      <c r="F192" s="1">
        <v>-15.045702</v>
      </c>
      <c r="G192" s="1">
        <v>7.0</v>
      </c>
      <c r="H192" s="1">
        <v>2.0</v>
      </c>
      <c r="I192" s="1">
        <v>0.428571</v>
      </c>
      <c r="J192" s="1">
        <v>2.0</v>
      </c>
      <c r="K192" s="1">
        <v>-0.145764</v>
      </c>
      <c r="L192" s="1">
        <v>100.0</v>
      </c>
      <c r="M192" s="1">
        <v>0.0</v>
      </c>
      <c r="N192" s="1">
        <v>0.0</v>
      </c>
      <c r="O192" s="1">
        <v>96.237105</v>
      </c>
    </row>
    <row r="193">
      <c r="A193" s="1" t="s">
        <v>674</v>
      </c>
      <c r="B193" s="1" t="s">
        <v>675</v>
      </c>
      <c r="C193" s="3" t="s">
        <v>95</v>
      </c>
      <c r="D193" s="5"/>
      <c r="E193" s="1" t="str">
        <f>IFERROR(__xludf.DUMMYFUNCTION("IFERROR(REGEXEXTRACT(A193, ""res(269|122)""), ""none"")"),"269")</f>
        <v>269</v>
      </c>
      <c r="F193" s="1">
        <v>-15.974714</v>
      </c>
      <c r="G193" s="1">
        <v>8.0</v>
      </c>
      <c r="H193" s="1">
        <v>3.0</v>
      </c>
      <c r="I193" s="1">
        <v>0.75</v>
      </c>
      <c r="J193" s="1">
        <v>2.0</v>
      </c>
      <c r="K193" s="1">
        <v>-1.016178</v>
      </c>
      <c r="L193" s="1">
        <v>100.0</v>
      </c>
      <c r="M193" s="1">
        <v>0.0</v>
      </c>
      <c r="N193" s="1">
        <v>0.0</v>
      </c>
      <c r="O193" s="1">
        <v>96.759108</v>
      </c>
    </row>
    <row r="194">
      <c r="A194" s="1" t="s">
        <v>676</v>
      </c>
      <c r="B194" s="1" t="s">
        <v>677</v>
      </c>
      <c r="C194" s="3" t="s">
        <v>95</v>
      </c>
      <c r="D194" s="5"/>
      <c r="E194" s="1" t="str">
        <f>IFERROR(__xludf.DUMMYFUNCTION("IFERROR(REGEXEXTRACT(A194, ""res(269|122)""), ""none"")"),"269")</f>
        <v>269</v>
      </c>
      <c r="F194" s="1">
        <v>-16.160059</v>
      </c>
      <c r="G194" s="1">
        <v>8.0</v>
      </c>
      <c r="H194" s="1">
        <v>4.0</v>
      </c>
      <c r="I194" s="1">
        <v>0.25</v>
      </c>
      <c r="J194" s="1">
        <v>2.0</v>
      </c>
      <c r="K194" s="1">
        <v>-0.878462</v>
      </c>
      <c r="L194" s="1">
        <v>100.0</v>
      </c>
      <c r="M194" s="1">
        <v>0.0</v>
      </c>
      <c r="N194" s="1">
        <v>0.0</v>
      </c>
      <c r="O194" s="1">
        <v>97.211479</v>
      </c>
    </row>
    <row r="195">
      <c r="A195" s="1" t="s">
        <v>371</v>
      </c>
      <c r="B195" s="1" t="s">
        <v>372</v>
      </c>
      <c r="C195" s="3" t="s">
        <v>24</v>
      </c>
      <c r="D195" s="3" t="s">
        <v>422</v>
      </c>
      <c r="E195" s="1" t="str">
        <f>IFERROR(__xludf.DUMMYFUNCTION("IFERROR(REGEXEXTRACT(A195, ""res(269|122)""), ""none"")"),"269")</f>
        <v>269</v>
      </c>
      <c r="F195" s="1">
        <v>-15.869256</v>
      </c>
      <c r="G195" s="1">
        <v>7.0</v>
      </c>
      <c r="H195" s="1">
        <v>2.0</v>
      </c>
      <c r="I195" s="1">
        <v>0.428571</v>
      </c>
      <c r="J195" s="1">
        <v>3.0</v>
      </c>
      <c r="K195" s="1">
        <v>-2.176816</v>
      </c>
      <c r="L195" s="1">
        <v>100.0</v>
      </c>
      <c r="M195" s="1">
        <v>0.0</v>
      </c>
      <c r="N195" s="1">
        <v>0.0</v>
      </c>
      <c r="O195" s="1">
        <v>94.382499</v>
      </c>
    </row>
    <row r="196">
      <c r="A196" s="1" t="s">
        <v>678</v>
      </c>
      <c r="B196" s="1" t="s">
        <v>679</v>
      </c>
      <c r="C196" s="3" t="s">
        <v>95</v>
      </c>
      <c r="D196" s="5"/>
      <c r="E196" s="1" t="str">
        <f>IFERROR(__xludf.DUMMYFUNCTION("IFERROR(REGEXEXTRACT(A196, ""res(269|122)""), ""none"")"),"269")</f>
        <v>269</v>
      </c>
      <c r="F196" s="1">
        <v>-18.272222</v>
      </c>
      <c r="G196" s="1">
        <v>10.0</v>
      </c>
      <c r="H196" s="1">
        <v>5.0</v>
      </c>
      <c r="I196" s="1">
        <v>0.3</v>
      </c>
      <c r="J196" s="1">
        <v>2.0</v>
      </c>
      <c r="K196" s="1">
        <v>-0.405121</v>
      </c>
      <c r="L196" s="1">
        <v>100.0</v>
      </c>
      <c r="M196" s="1">
        <v>0.0</v>
      </c>
      <c r="N196" s="1">
        <v>0.0</v>
      </c>
      <c r="O196" s="1">
        <v>98.622657</v>
      </c>
    </row>
    <row r="197">
      <c r="A197" s="1" t="s">
        <v>680</v>
      </c>
      <c r="B197" s="1" t="s">
        <v>681</v>
      </c>
      <c r="C197" s="3" t="s">
        <v>95</v>
      </c>
      <c r="D197" s="5"/>
      <c r="E197" s="1" t="str">
        <f>IFERROR(__xludf.DUMMYFUNCTION("IFERROR(REGEXEXTRACT(A197, ""res(269|122)""), ""none"")"),"269")</f>
        <v>269</v>
      </c>
      <c r="F197" s="1">
        <v>-15.01485</v>
      </c>
      <c r="G197" s="1">
        <v>10.0</v>
      </c>
      <c r="H197" s="1">
        <v>2.0</v>
      </c>
      <c r="I197" s="1">
        <v>0.3</v>
      </c>
      <c r="J197" s="1">
        <v>2.0</v>
      </c>
      <c r="K197" s="1">
        <v>-1.104749</v>
      </c>
      <c r="L197" s="1">
        <v>100.0</v>
      </c>
      <c r="M197" s="1">
        <v>0.0</v>
      </c>
      <c r="N197" s="1">
        <v>0.0</v>
      </c>
      <c r="O197" s="1">
        <v>98.180401</v>
      </c>
    </row>
    <row r="198">
      <c r="A198" s="1" t="s">
        <v>682</v>
      </c>
      <c r="B198" s="1" t="s">
        <v>683</v>
      </c>
      <c r="C198" s="3" t="s">
        <v>95</v>
      </c>
      <c r="D198" s="5"/>
      <c r="E198" s="1" t="str">
        <f>IFERROR(__xludf.DUMMYFUNCTION("IFERROR(REGEXEXTRACT(A198, ""res(269|122)""), ""none"")"),"269")</f>
        <v>269</v>
      </c>
      <c r="F198" s="1">
        <v>-15.989297</v>
      </c>
      <c r="G198" s="1">
        <v>11.0</v>
      </c>
      <c r="H198" s="1">
        <v>5.0</v>
      </c>
      <c r="I198" s="1">
        <v>0.272727</v>
      </c>
      <c r="J198" s="1">
        <v>2.0</v>
      </c>
      <c r="K198" s="1">
        <v>-1.369641</v>
      </c>
      <c r="L198" s="1">
        <v>100.0</v>
      </c>
      <c r="M198" s="1">
        <v>0.0</v>
      </c>
      <c r="N198" s="1">
        <v>0.0</v>
      </c>
      <c r="O198" s="1">
        <v>100.913789</v>
      </c>
    </row>
    <row r="199">
      <c r="A199" s="1" t="s">
        <v>684</v>
      </c>
      <c r="B199" s="1" t="s">
        <v>685</v>
      </c>
      <c r="C199" s="3" t="s">
        <v>95</v>
      </c>
      <c r="D199" s="5"/>
      <c r="E199" s="1" t="str">
        <f>IFERROR(__xludf.DUMMYFUNCTION("IFERROR(REGEXEXTRACT(A199, ""res(269|122)""), ""none"")"),"269")</f>
        <v>269</v>
      </c>
      <c r="F199" s="1">
        <v>-15.306522</v>
      </c>
      <c r="G199" s="1">
        <v>6.0</v>
      </c>
      <c r="H199" s="1">
        <v>3.0</v>
      </c>
      <c r="I199" s="1">
        <v>0.333333</v>
      </c>
      <c r="J199" s="1">
        <v>2.0</v>
      </c>
      <c r="K199" s="1">
        <v>-0.742594</v>
      </c>
      <c r="L199" s="1">
        <v>100.0</v>
      </c>
      <c r="M199" s="1">
        <v>0.0</v>
      </c>
      <c r="N199" s="1">
        <v>0.0</v>
      </c>
      <c r="O199" s="1">
        <v>95.284217</v>
      </c>
    </row>
    <row r="200">
      <c r="A200" s="1" t="s">
        <v>686</v>
      </c>
      <c r="B200" s="1" t="s">
        <v>687</v>
      </c>
      <c r="C200" s="3" t="s">
        <v>95</v>
      </c>
      <c r="D200" s="5"/>
      <c r="E200" s="1" t="str">
        <f>IFERROR(__xludf.DUMMYFUNCTION("IFERROR(REGEXEXTRACT(A200, ""res(269|122)""), ""none"")"),"269")</f>
        <v>269</v>
      </c>
      <c r="F200" s="1">
        <v>-15.475451</v>
      </c>
      <c r="G200" s="1">
        <v>7.0</v>
      </c>
      <c r="H200" s="1">
        <v>3.0</v>
      </c>
      <c r="I200" s="1">
        <v>0.285714</v>
      </c>
      <c r="J200" s="1">
        <v>2.0</v>
      </c>
      <c r="K200" s="1">
        <v>-0.691715</v>
      </c>
      <c r="L200" s="1">
        <v>100.0</v>
      </c>
      <c r="M200" s="1">
        <v>0.0</v>
      </c>
      <c r="N200" s="1">
        <v>0.0</v>
      </c>
      <c r="O200" s="1">
        <v>96.118548</v>
      </c>
    </row>
    <row r="201">
      <c r="A201" s="1" t="s">
        <v>688</v>
      </c>
      <c r="B201" s="1" t="s">
        <v>689</v>
      </c>
      <c r="C201" s="3" t="s">
        <v>95</v>
      </c>
      <c r="D201" s="5"/>
      <c r="E201" s="1" t="str">
        <f>IFERROR(__xludf.DUMMYFUNCTION("IFERROR(REGEXEXTRACT(A201, ""res(269|122)""), ""none"")"),"269")</f>
        <v>269</v>
      </c>
      <c r="F201" s="1">
        <v>-15.264499</v>
      </c>
      <c r="G201" s="1">
        <v>8.0</v>
      </c>
      <c r="H201" s="1">
        <v>4.0</v>
      </c>
      <c r="I201" s="1">
        <v>0.25</v>
      </c>
      <c r="J201" s="1">
        <v>3.0</v>
      </c>
      <c r="K201" s="1">
        <v>-2.824081</v>
      </c>
      <c r="L201" s="1">
        <v>100.0</v>
      </c>
      <c r="M201" s="1">
        <v>0.0</v>
      </c>
      <c r="N201" s="1">
        <v>0.0</v>
      </c>
      <c r="O201" s="1">
        <v>97.16142</v>
      </c>
    </row>
    <row r="202">
      <c r="A202" s="1" t="s">
        <v>690</v>
      </c>
      <c r="B202" s="1" t="s">
        <v>691</v>
      </c>
      <c r="C202" s="3" t="s">
        <v>95</v>
      </c>
      <c r="D202" s="5"/>
      <c r="E202" s="1" t="str">
        <f>IFERROR(__xludf.DUMMYFUNCTION("IFERROR(REGEXEXTRACT(A202, ""res(269|122)""), ""none"")"),"269")</f>
        <v>269</v>
      </c>
      <c r="F202" s="1">
        <v>-17.916145</v>
      </c>
      <c r="G202" s="1">
        <v>7.0</v>
      </c>
      <c r="H202" s="1">
        <v>3.0</v>
      </c>
      <c r="I202" s="1">
        <v>0.285714</v>
      </c>
      <c r="J202" s="1">
        <v>2.0</v>
      </c>
      <c r="K202" s="1">
        <v>-0.498345</v>
      </c>
      <c r="L202" s="1">
        <v>100.0</v>
      </c>
      <c r="M202" s="1">
        <v>0.0</v>
      </c>
      <c r="N202" s="1">
        <v>0.0</v>
      </c>
      <c r="O202" s="1">
        <v>93.871224</v>
      </c>
    </row>
    <row r="203">
      <c r="A203" s="1" t="s">
        <v>692</v>
      </c>
      <c r="B203" s="1" t="s">
        <v>693</v>
      </c>
      <c r="C203" s="3" t="s">
        <v>95</v>
      </c>
      <c r="D203" s="5"/>
      <c r="E203" s="1" t="str">
        <f>IFERROR(__xludf.DUMMYFUNCTION("IFERROR(REGEXEXTRACT(A203, ""res(269|122)""), ""none"")"),"269")</f>
        <v>269</v>
      </c>
      <c r="F203" s="1">
        <v>-17.862429</v>
      </c>
      <c r="G203" s="1">
        <v>7.0</v>
      </c>
      <c r="H203" s="1">
        <v>2.0</v>
      </c>
      <c r="I203" s="1">
        <v>0.428571</v>
      </c>
      <c r="J203" s="1">
        <v>2.0</v>
      </c>
      <c r="K203" s="1">
        <v>-1.010229</v>
      </c>
      <c r="L203" s="1">
        <v>100.0</v>
      </c>
      <c r="M203" s="1">
        <v>0.0</v>
      </c>
      <c r="N203" s="1">
        <v>0.0</v>
      </c>
      <c r="O203" s="1">
        <v>92.555913</v>
      </c>
    </row>
    <row r="204">
      <c r="A204" s="1" t="s">
        <v>694</v>
      </c>
      <c r="B204" s="1" t="s">
        <v>695</v>
      </c>
      <c r="C204" s="3" t="s">
        <v>95</v>
      </c>
      <c r="D204" s="5"/>
      <c r="E204" s="1" t="str">
        <f>IFERROR(__xludf.DUMMYFUNCTION("IFERROR(REGEXEXTRACT(A204, ""res(269|122)""), ""none"")"),"269")</f>
        <v>269</v>
      </c>
      <c r="F204" s="1">
        <v>-17.2393</v>
      </c>
      <c r="G204" s="1">
        <v>10.0</v>
      </c>
      <c r="H204" s="1">
        <v>2.0</v>
      </c>
      <c r="I204" s="1">
        <v>0.4</v>
      </c>
      <c r="J204" s="1">
        <v>2.0</v>
      </c>
      <c r="K204" s="1">
        <v>-0.929713</v>
      </c>
      <c r="L204" s="1">
        <v>100.0</v>
      </c>
      <c r="M204" s="1">
        <v>0.0</v>
      </c>
      <c r="N204" s="1">
        <v>0.0</v>
      </c>
      <c r="O204" s="1">
        <v>96.230987</v>
      </c>
    </row>
    <row r="205">
      <c r="A205" s="1" t="s">
        <v>696</v>
      </c>
      <c r="B205" s="1" t="s">
        <v>697</v>
      </c>
      <c r="C205" s="3" t="s">
        <v>95</v>
      </c>
      <c r="D205" s="5"/>
      <c r="E205" s="1" t="str">
        <f>IFERROR(__xludf.DUMMYFUNCTION("IFERROR(REGEXEXTRACT(A205, ""res(269|122)""), ""none"")"),"269")</f>
        <v>269</v>
      </c>
      <c r="F205" s="1">
        <v>-15.670032</v>
      </c>
      <c r="G205" s="1">
        <v>9.0</v>
      </c>
      <c r="H205" s="1">
        <v>2.0</v>
      </c>
      <c r="I205" s="1">
        <v>0.333333</v>
      </c>
      <c r="J205" s="1">
        <v>3.0</v>
      </c>
      <c r="K205" s="1">
        <v>-2.085592</v>
      </c>
      <c r="L205" s="1">
        <v>100.0</v>
      </c>
      <c r="M205" s="1">
        <v>0.0</v>
      </c>
      <c r="N205" s="1">
        <v>0.0</v>
      </c>
      <c r="O205" s="1">
        <v>96.577709</v>
      </c>
    </row>
    <row r="206">
      <c r="A206" s="1" t="s">
        <v>698</v>
      </c>
      <c r="B206" s="1" t="s">
        <v>699</v>
      </c>
      <c r="C206" s="3" t="s">
        <v>95</v>
      </c>
      <c r="D206" s="5"/>
      <c r="E206" s="1" t="str">
        <f>IFERROR(__xludf.DUMMYFUNCTION("IFERROR(REGEXEXTRACT(A206, ""res(269|122)""), ""none"")"),"269")</f>
        <v>269</v>
      </c>
      <c r="F206" s="1">
        <v>-16.41529</v>
      </c>
      <c r="G206" s="1">
        <v>11.0</v>
      </c>
      <c r="H206" s="1">
        <v>3.0</v>
      </c>
      <c r="I206" s="1">
        <v>0.272727</v>
      </c>
      <c r="J206" s="1">
        <v>2.0</v>
      </c>
      <c r="K206" s="1">
        <v>-1.249983</v>
      </c>
      <c r="L206" s="1">
        <v>100.0</v>
      </c>
      <c r="M206" s="1">
        <v>0.0</v>
      </c>
      <c r="N206" s="1">
        <v>0.0</v>
      </c>
      <c r="O206" s="1">
        <v>98.607454</v>
      </c>
    </row>
    <row r="207">
      <c r="A207" s="1" t="s">
        <v>700</v>
      </c>
      <c r="B207" s="1" t="s">
        <v>701</v>
      </c>
      <c r="C207" s="3" t="s">
        <v>95</v>
      </c>
      <c r="D207" s="5"/>
      <c r="E207" s="1" t="str">
        <f>IFERROR(__xludf.DUMMYFUNCTION("IFERROR(REGEXEXTRACT(A207, ""res(269|122)""), ""none"")"),"269")</f>
        <v>269</v>
      </c>
      <c r="F207" s="1">
        <v>-17.405701</v>
      </c>
      <c r="G207" s="1">
        <v>8.0</v>
      </c>
      <c r="H207" s="1">
        <v>3.0</v>
      </c>
      <c r="I207" s="1">
        <v>0.25</v>
      </c>
      <c r="J207" s="1">
        <v>2.0</v>
      </c>
      <c r="K207" s="1">
        <v>-0.784250999999999</v>
      </c>
      <c r="L207" s="1">
        <v>100.0</v>
      </c>
      <c r="M207" s="1">
        <v>0.0</v>
      </c>
      <c r="N207" s="1">
        <v>0.0</v>
      </c>
      <c r="O207" s="1">
        <v>95.060048</v>
      </c>
    </row>
    <row r="208">
      <c r="A208" s="1" t="s">
        <v>702</v>
      </c>
      <c r="B208" s="1" t="s">
        <v>703</v>
      </c>
      <c r="C208" s="3" t="s">
        <v>95</v>
      </c>
      <c r="D208" s="5"/>
      <c r="E208" s="1" t="str">
        <f>IFERROR(__xludf.DUMMYFUNCTION("IFERROR(REGEXEXTRACT(A208, ""res(269|122)""), ""none"")"),"269")</f>
        <v>269</v>
      </c>
      <c r="F208" s="1">
        <v>-15.051101</v>
      </c>
      <c r="G208" s="1">
        <v>7.0</v>
      </c>
      <c r="H208" s="1">
        <v>1.0</v>
      </c>
      <c r="I208" s="1">
        <v>0.285714</v>
      </c>
      <c r="J208" s="1">
        <v>2.0</v>
      </c>
      <c r="K208" s="1">
        <v>-1.221512</v>
      </c>
      <c r="L208" s="1">
        <v>100.0</v>
      </c>
      <c r="M208" s="1">
        <v>0.0</v>
      </c>
      <c r="N208" s="1">
        <v>0.0</v>
      </c>
      <c r="O208" s="1">
        <v>94.013101</v>
      </c>
    </row>
    <row r="209">
      <c r="A209" s="1" t="s">
        <v>373</v>
      </c>
      <c r="B209" s="1" t="s">
        <v>171</v>
      </c>
      <c r="C209" s="3" t="s">
        <v>33</v>
      </c>
      <c r="D209" s="5"/>
      <c r="E209" s="1" t="str">
        <f>IFERROR(__xludf.DUMMYFUNCTION("IFERROR(REGEXEXTRACT(A209, ""res(269|122)""), ""none"")"),"269")</f>
        <v>269</v>
      </c>
      <c r="F209" s="1">
        <v>-16.284917</v>
      </c>
      <c r="G209" s="1">
        <v>8.0</v>
      </c>
      <c r="H209" s="1">
        <v>5.0</v>
      </c>
      <c r="I209" s="1">
        <v>0.25</v>
      </c>
      <c r="J209" s="1">
        <v>2.0</v>
      </c>
      <c r="K209" s="1">
        <v>-1.566179</v>
      </c>
      <c r="L209" s="1">
        <v>100.0</v>
      </c>
      <c r="M209" s="1">
        <v>0.0</v>
      </c>
      <c r="N209" s="1">
        <v>0.0</v>
      </c>
      <c r="O209" s="1">
        <v>97.398904</v>
      </c>
    </row>
    <row r="210">
      <c r="A210" s="1" t="s">
        <v>704</v>
      </c>
      <c r="B210" s="1" t="s">
        <v>705</v>
      </c>
      <c r="C210" s="3" t="s">
        <v>95</v>
      </c>
      <c r="D210" s="5"/>
      <c r="E210" s="1" t="str">
        <f>IFERROR(__xludf.DUMMYFUNCTION("IFERROR(REGEXEXTRACT(A210, ""res(269|122)""), ""none"")"),"269")</f>
        <v>269</v>
      </c>
      <c r="F210" s="1">
        <v>-15.372243</v>
      </c>
      <c r="G210" s="1">
        <v>9.0</v>
      </c>
      <c r="H210" s="1">
        <v>3.0</v>
      </c>
      <c r="I210" s="1">
        <v>0.444444</v>
      </c>
      <c r="J210" s="1">
        <v>2.0</v>
      </c>
      <c r="K210" s="1">
        <v>-0.654994</v>
      </c>
      <c r="L210" s="1">
        <v>100.0</v>
      </c>
      <c r="M210" s="1">
        <v>0.0</v>
      </c>
      <c r="N210" s="1">
        <v>0.0</v>
      </c>
      <c r="O210" s="1">
        <v>98.417207</v>
      </c>
    </row>
    <row r="211">
      <c r="A211" s="1" t="s">
        <v>706</v>
      </c>
      <c r="B211" s="1" t="s">
        <v>707</v>
      </c>
      <c r="C211" s="3" t="s">
        <v>95</v>
      </c>
      <c r="D211" s="5"/>
      <c r="E211" s="1" t="str">
        <f>IFERROR(__xludf.DUMMYFUNCTION("IFERROR(REGEXEXTRACT(A211, ""res(269|122)""), ""none"")"),"269")</f>
        <v>269</v>
      </c>
      <c r="F211" s="1">
        <v>-15.595989</v>
      </c>
      <c r="G211" s="1">
        <v>6.0</v>
      </c>
      <c r="H211" s="1">
        <v>2.0</v>
      </c>
      <c r="I211" s="1">
        <v>0.333333</v>
      </c>
      <c r="J211" s="1">
        <v>2.0</v>
      </c>
      <c r="K211" s="1">
        <v>-1.006767</v>
      </c>
      <c r="L211" s="1">
        <v>100.0</v>
      </c>
      <c r="M211" s="1">
        <v>0.0</v>
      </c>
      <c r="N211" s="1">
        <v>0.0</v>
      </c>
      <c r="O211" s="1">
        <v>93.730577</v>
      </c>
    </row>
    <row r="212">
      <c r="A212" s="1" t="s">
        <v>708</v>
      </c>
      <c r="B212" s="1" t="s">
        <v>709</v>
      </c>
      <c r="C212" s="3" t="s">
        <v>95</v>
      </c>
      <c r="D212" s="5"/>
      <c r="E212" s="1" t="str">
        <f>IFERROR(__xludf.DUMMYFUNCTION("IFERROR(REGEXEXTRACT(A212, ""res(269|122)""), ""none"")"),"269")</f>
        <v>269</v>
      </c>
      <c r="F212" s="1">
        <v>-15.472997</v>
      </c>
      <c r="G212" s="1">
        <v>12.0</v>
      </c>
      <c r="H212" s="1">
        <v>3.0</v>
      </c>
      <c r="I212" s="1">
        <v>0.25</v>
      </c>
      <c r="J212" s="1">
        <v>2.0</v>
      </c>
      <c r="K212" s="1">
        <v>-1.558156</v>
      </c>
      <c r="L212" s="1">
        <v>100.0</v>
      </c>
      <c r="M212" s="1">
        <v>0.0</v>
      </c>
      <c r="N212" s="1">
        <v>0.0</v>
      </c>
      <c r="O212" s="1">
        <v>100.218847</v>
      </c>
    </row>
    <row r="213">
      <c r="A213" s="1" t="s">
        <v>710</v>
      </c>
      <c r="B213" s="1" t="s">
        <v>711</v>
      </c>
      <c r="C213" s="3" t="s">
        <v>95</v>
      </c>
      <c r="D213" s="5"/>
      <c r="E213" s="1" t="str">
        <f>IFERROR(__xludf.DUMMYFUNCTION("IFERROR(REGEXEXTRACT(A213, ""res(269|122)""), ""none"")"),"269")</f>
        <v>269</v>
      </c>
      <c r="F213" s="1">
        <v>-15.848889</v>
      </c>
      <c r="G213" s="1">
        <v>9.0</v>
      </c>
      <c r="H213" s="1">
        <v>2.0</v>
      </c>
      <c r="I213" s="1">
        <v>0.444444</v>
      </c>
      <c r="J213" s="1">
        <v>2.0</v>
      </c>
      <c r="K213" s="1">
        <v>-0.821315</v>
      </c>
      <c r="L213" s="1">
        <v>100.0</v>
      </c>
      <c r="M213" s="1">
        <v>0.0</v>
      </c>
      <c r="N213" s="1">
        <v>0.0</v>
      </c>
      <c r="O213" s="1">
        <v>96.77424</v>
      </c>
    </row>
    <row r="214">
      <c r="A214" s="1" t="s">
        <v>712</v>
      </c>
      <c r="B214" s="1" t="s">
        <v>713</v>
      </c>
      <c r="C214" s="3" t="s">
        <v>95</v>
      </c>
      <c r="D214" s="5"/>
      <c r="E214" s="1" t="str">
        <f>IFERROR(__xludf.DUMMYFUNCTION("IFERROR(REGEXEXTRACT(A214, ""res(269|122)""), ""none"")"),"269")</f>
        <v>269</v>
      </c>
      <c r="F214" s="1">
        <v>-15.465539</v>
      </c>
      <c r="G214" s="1">
        <v>10.0</v>
      </c>
      <c r="H214" s="1">
        <v>2.0</v>
      </c>
      <c r="I214" s="1">
        <v>0.3</v>
      </c>
      <c r="J214" s="1">
        <v>2.0</v>
      </c>
      <c r="K214" s="1">
        <v>-0.744564999999999</v>
      </c>
      <c r="L214" s="1">
        <v>100.0</v>
      </c>
      <c r="M214" s="1">
        <v>0.0</v>
      </c>
      <c r="N214" s="1">
        <v>0.0</v>
      </c>
      <c r="O214" s="1">
        <v>98.089896</v>
      </c>
    </row>
    <row r="215">
      <c r="A215" s="1" t="s">
        <v>714</v>
      </c>
      <c r="B215" s="1" t="s">
        <v>715</v>
      </c>
      <c r="C215" s="3" t="s">
        <v>95</v>
      </c>
      <c r="D215" s="5"/>
      <c r="E215" s="1" t="str">
        <f>IFERROR(__xludf.DUMMYFUNCTION("IFERROR(REGEXEXTRACT(A215, ""res(269|122)""), ""none"")"),"269")</f>
        <v>269</v>
      </c>
      <c r="F215" s="1">
        <v>-15.548246</v>
      </c>
      <c r="G215" s="1">
        <v>7.0</v>
      </c>
      <c r="H215" s="1">
        <v>3.0</v>
      </c>
      <c r="I215" s="1">
        <v>0.285714</v>
      </c>
      <c r="J215" s="1">
        <v>2.0</v>
      </c>
      <c r="K215" s="1">
        <v>-0.82711</v>
      </c>
      <c r="L215" s="1">
        <v>100.0</v>
      </c>
      <c r="M215" s="1">
        <v>0.0</v>
      </c>
      <c r="N215" s="1">
        <v>0.0</v>
      </c>
      <c r="O215" s="1">
        <v>95.910358</v>
      </c>
    </row>
    <row r="216">
      <c r="A216" s="1" t="s">
        <v>716</v>
      </c>
      <c r="B216" s="1" t="s">
        <v>717</v>
      </c>
      <c r="C216" s="3" t="s">
        <v>95</v>
      </c>
      <c r="D216" s="5"/>
      <c r="E216" s="1" t="str">
        <f>IFERROR(__xludf.DUMMYFUNCTION("IFERROR(REGEXEXTRACT(A216, ""res(269|122)""), ""none"")"),"269")</f>
        <v>269</v>
      </c>
      <c r="F216" s="1">
        <v>-15.47809</v>
      </c>
      <c r="G216" s="1">
        <v>7.0</v>
      </c>
      <c r="H216" s="1">
        <v>2.0</v>
      </c>
      <c r="I216" s="1">
        <v>0.285714</v>
      </c>
      <c r="J216" s="1">
        <v>2.0</v>
      </c>
      <c r="K216" s="1">
        <v>-1.032518</v>
      </c>
      <c r="L216" s="1">
        <v>100.0</v>
      </c>
      <c r="M216" s="1">
        <v>0.0</v>
      </c>
      <c r="N216" s="1">
        <v>0.0</v>
      </c>
      <c r="O216" s="1">
        <v>94.775106</v>
      </c>
    </row>
    <row r="217">
      <c r="A217" s="1" t="s">
        <v>718</v>
      </c>
      <c r="B217" s="1" t="s">
        <v>719</v>
      </c>
      <c r="C217" s="3" t="s">
        <v>95</v>
      </c>
      <c r="D217" s="5"/>
      <c r="E217" s="1" t="str">
        <f>IFERROR(__xludf.DUMMYFUNCTION("IFERROR(REGEXEXTRACT(A217, ""res(269|122)""), ""none"")"),"269")</f>
        <v>269</v>
      </c>
      <c r="F217" s="1">
        <v>-16.063302</v>
      </c>
      <c r="G217" s="1">
        <v>7.0</v>
      </c>
      <c r="H217" s="1">
        <v>3.0</v>
      </c>
      <c r="I217" s="1">
        <v>0.428571</v>
      </c>
      <c r="J217" s="1">
        <v>2.0</v>
      </c>
      <c r="K217" s="1">
        <v>-0.987857</v>
      </c>
      <c r="L217" s="1">
        <v>100.0</v>
      </c>
      <c r="M217" s="1">
        <v>0.0</v>
      </c>
      <c r="N217" s="1">
        <v>0.0</v>
      </c>
      <c r="O217" s="1">
        <v>95.377412</v>
      </c>
    </row>
    <row r="218">
      <c r="A218" s="1" t="s">
        <v>720</v>
      </c>
      <c r="B218" s="1" t="s">
        <v>721</v>
      </c>
      <c r="C218" s="3" t="s">
        <v>95</v>
      </c>
      <c r="D218" s="5"/>
      <c r="E218" s="1" t="str">
        <f>IFERROR(__xludf.DUMMYFUNCTION("IFERROR(REGEXEXTRACT(A218, ""res(269|122)""), ""none"")"),"269")</f>
        <v>269</v>
      </c>
      <c r="F218" s="1">
        <v>-16.896992</v>
      </c>
      <c r="G218" s="1">
        <v>8.0</v>
      </c>
      <c r="H218" s="1">
        <v>3.0</v>
      </c>
      <c r="I218" s="1">
        <v>0.25</v>
      </c>
      <c r="J218" s="1">
        <v>2.0</v>
      </c>
      <c r="K218" s="1">
        <v>-0.288931</v>
      </c>
      <c r="L218" s="1">
        <v>100.0</v>
      </c>
      <c r="M218" s="1">
        <v>0.0</v>
      </c>
      <c r="N218" s="1">
        <v>0.0</v>
      </c>
      <c r="O218" s="1">
        <v>96.064077</v>
      </c>
    </row>
    <row r="219">
      <c r="A219" s="1" t="s">
        <v>722</v>
      </c>
      <c r="B219" s="1" t="s">
        <v>723</v>
      </c>
      <c r="C219" s="3" t="s">
        <v>95</v>
      </c>
      <c r="D219" s="5"/>
      <c r="E219" s="1" t="str">
        <f>IFERROR(__xludf.DUMMYFUNCTION("IFERROR(REGEXEXTRACT(A219, ""res(269|122)""), ""none"")"),"269")</f>
        <v>269</v>
      </c>
      <c r="F219" s="1">
        <v>-15.57465</v>
      </c>
      <c r="G219" s="1">
        <v>10.0</v>
      </c>
      <c r="H219" s="1">
        <v>5.0</v>
      </c>
      <c r="I219" s="1">
        <v>0.4</v>
      </c>
      <c r="J219" s="1">
        <v>2.0</v>
      </c>
      <c r="K219" s="1">
        <v>-0.60161</v>
      </c>
      <c r="L219" s="1">
        <v>100.0</v>
      </c>
      <c r="M219" s="1">
        <v>0.0</v>
      </c>
      <c r="N219" s="1">
        <v>0.0</v>
      </c>
      <c r="O219" s="1">
        <v>101.22374</v>
      </c>
    </row>
    <row r="220">
      <c r="A220" s="1" t="s">
        <v>724</v>
      </c>
      <c r="B220" s="1" t="s">
        <v>725</v>
      </c>
      <c r="C220" s="3" t="s">
        <v>95</v>
      </c>
      <c r="D220" s="5"/>
      <c r="E220" s="1" t="str">
        <f>IFERROR(__xludf.DUMMYFUNCTION("IFERROR(REGEXEXTRACT(A220, ""res(269|122)""), ""none"")"),"269")</f>
        <v>269</v>
      </c>
      <c r="F220" s="1">
        <v>-15.170379</v>
      </c>
      <c r="G220" s="1">
        <v>7.0</v>
      </c>
      <c r="H220" s="1">
        <v>2.0</v>
      </c>
      <c r="I220" s="1">
        <v>0.285714</v>
      </c>
      <c r="J220" s="1">
        <v>2.0</v>
      </c>
      <c r="K220" s="1">
        <v>-0.667648999999999</v>
      </c>
      <c r="L220" s="1">
        <v>100.0</v>
      </c>
      <c r="M220" s="1">
        <v>0.0</v>
      </c>
      <c r="N220" s="1">
        <v>0.0</v>
      </c>
      <c r="O220" s="1">
        <v>95.447686</v>
      </c>
    </row>
    <row r="221">
      <c r="A221" s="1" t="s">
        <v>726</v>
      </c>
      <c r="B221" s="1" t="s">
        <v>727</v>
      </c>
      <c r="C221" s="3" t="s">
        <v>95</v>
      </c>
      <c r="D221" s="5"/>
      <c r="E221" s="1" t="str">
        <f>IFERROR(__xludf.DUMMYFUNCTION("IFERROR(REGEXEXTRACT(A221, ""res(269|122)""), ""none"")"),"269")</f>
        <v>269</v>
      </c>
      <c r="F221" s="1">
        <v>-16.876109</v>
      </c>
      <c r="G221" s="1">
        <v>7.0</v>
      </c>
      <c r="H221" s="1">
        <v>3.0</v>
      </c>
      <c r="I221" s="1">
        <v>0.285714</v>
      </c>
      <c r="J221" s="1">
        <v>2.0</v>
      </c>
      <c r="K221" s="1">
        <v>-0.125013</v>
      </c>
      <c r="L221" s="1">
        <v>100.0</v>
      </c>
      <c r="M221" s="1">
        <v>0.0</v>
      </c>
      <c r="N221" s="1">
        <v>0.0</v>
      </c>
      <c r="O221" s="1">
        <v>95.284592</v>
      </c>
    </row>
    <row r="222">
      <c r="A222" s="1" t="s">
        <v>728</v>
      </c>
      <c r="B222" s="1" t="s">
        <v>729</v>
      </c>
      <c r="C222" s="3" t="s">
        <v>95</v>
      </c>
      <c r="D222" s="5"/>
      <c r="E222" s="1" t="str">
        <f>IFERROR(__xludf.DUMMYFUNCTION("IFERROR(REGEXEXTRACT(A222, ""res(269|122)""), ""none"")"),"269")</f>
        <v>269</v>
      </c>
      <c r="F222" s="1">
        <v>-15.669627</v>
      </c>
      <c r="G222" s="1">
        <v>8.0</v>
      </c>
      <c r="H222" s="1">
        <v>3.0</v>
      </c>
      <c r="I222" s="1">
        <v>0.5</v>
      </c>
      <c r="J222" s="1">
        <v>2.0</v>
      </c>
      <c r="K222" s="1">
        <v>-1.095518</v>
      </c>
      <c r="L222" s="1">
        <v>100.0</v>
      </c>
      <c r="M222" s="1">
        <v>0.0</v>
      </c>
      <c r="N222" s="1">
        <v>0.0</v>
      </c>
      <c r="O222" s="1">
        <v>96.734855</v>
      </c>
    </row>
    <row r="223">
      <c r="A223" s="1" t="s">
        <v>730</v>
      </c>
      <c r="B223" s="1" t="s">
        <v>731</v>
      </c>
      <c r="C223" s="3" t="s">
        <v>95</v>
      </c>
      <c r="D223" s="5"/>
      <c r="E223" s="1" t="str">
        <f>IFERROR(__xludf.DUMMYFUNCTION("IFERROR(REGEXEXTRACT(A223, ""res(269|122)""), ""none"")"),"269")</f>
        <v>269</v>
      </c>
      <c r="F223" s="1">
        <v>-16.538591</v>
      </c>
      <c r="G223" s="1">
        <v>11.0</v>
      </c>
      <c r="H223" s="1">
        <v>2.0</v>
      </c>
      <c r="I223" s="1">
        <v>0.454545</v>
      </c>
      <c r="J223" s="1">
        <v>2.0</v>
      </c>
      <c r="K223" s="1">
        <v>-0.672628</v>
      </c>
      <c r="L223" s="1">
        <v>100.0</v>
      </c>
      <c r="M223" s="1">
        <v>0.0</v>
      </c>
      <c r="N223" s="1">
        <v>0.0</v>
      </c>
      <c r="O223" s="1">
        <v>98.243326</v>
      </c>
    </row>
    <row r="224">
      <c r="A224" s="1" t="s">
        <v>732</v>
      </c>
      <c r="B224" s="1" t="s">
        <v>733</v>
      </c>
      <c r="C224" s="3" t="s">
        <v>95</v>
      </c>
      <c r="D224" s="5"/>
      <c r="E224" s="1" t="str">
        <f>IFERROR(__xludf.DUMMYFUNCTION("IFERROR(REGEXEXTRACT(A224, ""res(269|122)""), ""none"")"),"269")</f>
        <v>269</v>
      </c>
      <c r="F224" s="1">
        <v>-15.518271</v>
      </c>
      <c r="G224" s="1">
        <v>7.0</v>
      </c>
      <c r="H224" s="1">
        <v>2.0</v>
      </c>
      <c r="I224" s="1">
        <v>0.285714</v>
      </c>
      <c r="J224" s="1">
        <v>2.0</v>
      </c>
      <c r="K224" s="1">
        <v>-0.704432</v>
      </c>
      <c r="L224" s="1">
        <v>100.0</v>
      </c>
      <c r="M224" s="1">
        <v>0.0</v>
      </c>
      <c r="N224" s="1">
        <v>0.0</v>
      </c>
      <c r="O224" s="1">
        <v>95.063011</v>
      </c>
    </row>
    <row r="225">
      <c r="A225" s="1" t="s">
        <v>734</v>
      </c>
      <c r="B225" s="1" t="s">
        <v>735</v>
      </c>
      <c r="C225" s="3" t="s">
        <v>95</v>
      </c>
      <c r="D225" s="5"/>
      <c r="E225" s="1" t="str">
        <f>IFERROR(__xludf.DUMMYFUNCTION("IFERROR(REGEXEXTRACT(A225, ""res(269|122)""), ""none"")"),"269")</f>
        <v>269</v>
      </c>
      <c r="F225" s="1">
        <v>-16.273007</v>
      </c>
      <c r="G225" s="1">
        <v>10.0</v>
      </c>
      <c r="H225" s="1">
        <v>5.0</v>
      </c>
      <c r="I225" s="1">
        <v>0.5</v>
      </c>
      <c r="J225" s="1">
        <v>2.0</v>
      </c>
      <c r="K225" s="1">
        <v>-1.336251</v>
      </c>
      <c r="L225" s="1">
        <v>100.0</v>
      </c>
      <c r="M225" s="1">
        <v>0.0</v>
      </c>
      <c r="N225" s="1">
        <v>0.0</v>
      </c>
      <c r="O225" s="1">
        <v>99.890742</v>
      </c>
    </row>
    <row r="226">
      <c r="A226" s="1" t="s">
        <v>736</v>
      </c>
      <c r="B226" s="1" t="s">
        <v>737</v>
      </c>
      <c r="C226" s="3" t="s">
        <v>95</v>
      </c>
      <c r="D226" s="5"/>
      <c r="E226" s="1" t="str">
        <f>IFERROR(__xludf.DUMMYFUNCTION("IFERROR(REGEXEXTRACT(A226, ""res(269|122)""), ""none"")"),"269")</f>
        <v>269</v>
      </c>
      <c r="F226" s="1">
        <v>-15.21474</v>
      </c>
      <c r="G226" s="1">
        <v>9.0</v>
      </c>
      <c r="H226" s="1">
        <v>1.0</v>
      </c>
      <c r="I226" s="1">
        <v>0.333333</v>
      </c>
      <c r="J226" s="1">
        <v>2.0</v>
      </c>
      <c r="K226" s="1">
        <v>-1.192772</v>
      </c>
      <c r="L226" s="1">
        <v>100.0</v>
      </c>
      <c r="M226" s="1">
        <v>0.0</v>
      </c>
      <c r="N226" s="1">
        <v>0.0</v>
      </c>
      <c r="O226" s="1">
        <v>95.925821</v>
      </c>
    </row>
    <row r="227">
      <c r="A227" s="1" t="s">
        <v>738</v>
      </c>
      <c r="B227" s="1" t="s">
        <v>739</v>
      </c>
      <c r="C227" s="3" t="s">
        <v>95</v>
      </c>
      <c r="D227" s="5"/>
      <c r="E227" s="1" t="str">
        <f>IFERROR(__xludf.DUMMYFUNCTION("IFERROR(REGEXEXTRACT(A227, ""res(269|122)""), ""none"")"),"269")</f>
        <v>269</v>
      </c>
      <c r="F227" s="1">
        <v>-15.689275</v>
      </c>
      <c r="G227" s="1">
        <v>6.0</v>
      </c>
      <c r="H227" s="1">
        <v>1.0</v>
      </c>
      <c r="I227" s="1">
        <v>0.333333</v>
      </c>
      <c r="J227" s="1">
        <v>2.0</v>
      </c>
      <c r="K227" s="1">
        <v>-0.283942</v>
      </c>
      <c r="L227" s="1">
        <v>100.0</v>
      </c>
      <c r="M227" s="1">
        <v>0.0</v>
      </c>
      <c r="N227" s="1">
        <v>0.0</v>
      </c>
      <c r="O227" s="1">
        <v>93.360116</v>
      </c>
    </row>
    <row r="228">
      <c r="A228" s="1" t="s">
        <v>740</v>
      </c>
      <c r="B228" s="1" t="s">
        <v>741</v>
      </c>
      <c r="C228" s="3" t="s">
        <v>95</v>
      </c>
      <c r="D228" s="5"/>
      <c r="E228" s="1" t="str">
        <f>IFERROR(__xludf.DUMMYFUNCTION("IFERROR(REGEXEXTRACT(A228, ""res(269|122)""), ""none"")"),"269")</f>
        <v>269</v>
      </c>
      <c r="F228" s="1">
        <v>-19.0248</v>
      </c>
      <c r="G228" s="1">
        <v>10.0</v>
      </c>
      <c r="H228" s="1">
        <v>1.0</v>
      </c>
      <c r="I228" s="1">
        <v>0.3</v>
      </c>
      <c r="J228" s="1">
        <v>2.0</v>
      </c>
      <c r="K228" s="1">
        <v>-0.194124</v>
      </c>
      <c r="L228" s="1">
        <v>100.0</v>
      </c>
      <c r="M228" s="1">
        <v>0.0</v>
      </c>
      <c r="N228" s="1">
        <v>0.0</v>
      </c>
      <c r="O228" s="1">
        <v>94.081076</v>
      </c>
    </row>
    <row r="229">
      <c r="A229" s="1" t="s">
        <v>742</v>
      </c>
      <c r="B229" s="1" t="s">
        <v>743</v>
      </c>
      <c r="C229" s="3" t="s">
        <v>95</v>
      </c>
      <c r="D229" s="5"/>
      <c r="E229" s="1" t="str">
        <f>IFERROR(__xludf.DUMMYFUNCTION("IFERROR(REGEXEXTRACT(A229, ""res(269|122)""), ""none"")"),"269")</f>
        <v>269</v>
      </c>
      <c r="F229" s="1">
        <v>-16.168018</v>
      </c>
      <c r="G229" s="1">
        <v>7.0</v>
      </c>
      <c r="H229" s="1">
        <v>4.0</v>
      </c>
      <c r="I229" s="1">
        <v>0.428571</v>
      </c>
      <c r="J229" s="1">
        <v>2.0</v>
      </c>
      <c r="K229" s="1">
        <v>-1.027591</v>
      </c>
      <c r="L229" s="1">
        <v>100.0</v>
      </c>
      <c r="M229" s="1">
        <v>0.0</v>
      </c>
      <c r="N229" s="1">
        <v>0.0</v>
      </c>
      <c r="O229" s="1">
        <v>96.232962</v>
      </c>
    </row>
    <row r="230">
      <c r="A230" s="1" t="s">
        <v>744</v>
      </c>
      <c r="B230" s="1" t="s">
        <v>745</v>
      </c>
      <c r="C230" s="3" t="s">
        <v>95</v>
      </c>
      <c r="D230" s="5"/>
      <c r="E230" s="1" t="str">
        <f>IFERROR(__xludf.DUMMYFUNCTION("IFERROR(REGEXEXTRACT(A230, ""res(269|122)""), ""none"")"),"269")</f>
        <v>269</v>
      </c>
      <c r="F230" s="1">
        <v>-17.880646</v>
      </c>
      <c r="G230" s="1">
        <v>7.0</v>
      </c>
      <c r="H230" s="1">
        <v>3.0</v>
      </c>
      <c r="I230" s="1">
        <v>0.285714</v>
      </c>
      <c r="J230" s="1">
        <v>2.0</v>
      </c>
      <c r="K230" s="1">
        <v>-0.782756</v>
      </c>
      <c r="L230" s="1">
        <v>100.0</v>
      </c>
      <c r="M230" s="1">
        <v>0.0</v>
      </c>
      <c r="N230" s="1">
        <v>0.0</v>
      </c>
      <c r="O230" s="1">
        <v>93.622312</v>
      </c>
    </row>
    <row r="231">
      <c r="A231" s="1" t="s">
        <v>746</v>
      </c>
      <c r="B231" s="1" t="s">
        <v>747</v>
      </c>
      <c r="C231" s="3" t="s">
        <v>95</v>
      </c>
      <c r="D231" s="5"/>
      <c r="E231" s="1" t="str">
        <f>IFERROR(__xludf.DUMMYFUNCTION("IFERROR(REGEXEXTRACT(A231, ""res(269|122)""), ""none"")"),"269")</f>
        <v>269</v>
      </c>
      <c r="F231" s="1">
        <v>-15.808583</v>
      </c>
      <c r="G231" s="1">
        <v>8.0</v>
      </c>
      <c r="H231" s="1">
        <v>3.0</v>
      </c>
      <c r="I231" s="1">
        <v>0.25</v>
      </c>
      <c r="J231" s="1">
        <v>2.0</v>
      </c>
      <c r="K231" s="1">
        <v>-0.274418999999999</v>
      </c>
      <c r="L231" s="1">
        <v>100.0</v>
      </c>
      <c r="M231" s="1">
        <v>0.0</v>
      </c>
      <c r="N231" s="1">
        <v>0.0</v>
      </c>
      <c r="O231" s="1">
        <v>97.166998</v>
      </c>
    </row>
    <row r="232">
      <c r="A232" s="1" t="s">
        <v>748</v>
      </c>
      <c r="B232" s="1" t="s">
        <v>749</v>
      </c>
      <c r="C232" s="3" t="s">
        <v>95</v>
      </c>
      <c r="D232" s="5"/>
      <c r="E232" s="1" t="str">
        <f>IFERROR(__xludf.DUMMYFUNCTION("IFERROR(REGEXEXTRACT(A232, ""res(269|122)""), ""none"")"),"269")</f>
        <v>269</v>
      </c>
      <c r="F232" s="1">
        <v>-15.922666</v>
      </c>
      <c r="G232" s="1">
        <v>11.0</v>
      </c>
      <c r="H232" s="1">
        <v>4.0</v>
      </c>
      <c r="I232" s="1">
        <v>0.272727</v>
      </c>
      <c r="J232" s="1">
        <v>2.0</v>
      </c>
      <c r="K232" s="1">
        <v>-1.281239</v>
      </c>
      <c r="L232" s="1">
        <v>100.0</v>
      </c>
      <c r="M232" s="1">
        <v>0.0</v>
      </c>
      <c r="N232" s="1">
        <v>0.0</v>
      </c>
      <c r="O232" s="1">
        <v>100.068822</v>
      </c>
    </row>
    <row r="233">
      <c r="A233" s="1" t="s">
        <v>750</v>
      </c>
      <c r="B233" s="1" t="s">
        <v>751</v>
      </c>
      <c r="C233" s="3" t="s">
        <v>95</v>
      </c>
      <c r="D233" s="5"/>
      <c r="E233" s="1" t="str">
        <f>IFERROR(__xludf.DUMMYFUNCTION("IFERROR(REGEXEXTRACT(A233, ""res(269|122)""), ""none"")"),"269")</f>
        <v>269</v>
      </c>
      <c r="F233" s="1">
        <v>-16.054057</v>
      </c>
      <c r="G233" s="1">
        <v>8.0</v>
      </c>
      <c r="H233" s="1">
        <v>3.0</v>
      </c>
      <c r="I233" s="1">
        <v>0.25</v>
      </c>
      <c r="J233" s="1">
        <v>3.0</v>
      </c>
      <c r="K233" s="1">
        <v>-2.086385</v>
      </c>
      <c r="L233" s="1">
        <v>100.0</v>
      </c>
      <c r="M233" s="1">
        <v>0.0</v>
      </c>
      <c r="N233" s="1">
        <v>0.0</v>
      </c>
      <c r="O233" s="1">
        <v>96.109558</v>
      </c>
    </row>
    <row r="234">
      <c r="A234" s="1" t="s">
        <v>752</v>
      </c>
      <c r="B234" s="1" t="s">
        <v>753</v>
      </c>
      <c r="C234" s="3" t="s">
        <v>95</v>
      </c>
      <c r="D234" s="5"/>
      <c r="E234" s="1" t="str">
        <f>IFERROR(__xludf.DUMMYFUNCTION("IFERROR(REGEXEXTRACT(A234, ""res(269|122)""), ""none"")"),"269")</f>
        <v>269</v>
      </c>
      <c r="F234" s="1">
        <v>-15.254939</v>
      </c>
      <c r="G234" s="1">
        <v>10.0</v>
      </c>
      <c r="H234" s="1">
        <v>2.0</v>
      </c>
      <c r="I234" s="1">
        <v>0.3</v>
      </c>
      <c r="J234" s="1">
        <v>3.0</v>
      </c>
      <c r="K234" s="1">
        <v>-1.268036</v>
      </c>
      <c r="L234" s="1">
        <v>100.0</v>
      </c>
      <c r="M234" s="1">
        <v>0.0</v>
      </c>
      <c r="N234" s="1">
        <v>0.0</v>
      </c>
      <c r="O234" s="1">
        <v>98.777025</v>
      </c>
    </row>
    <row r="235">
      <c r="A235" s="1" t="s">
        <v>754</v>
      </c>
      <c r="B235" s="1" t="s">
        <v>755</v>
      </c>
      <c r="C235" s="3" t="s">
        <v>95</v>
      </c>
      <c r="D235" s="5"/>
      <c r="E235" s="1" t="str">
        <f>IFERROR(__xludf.DUMMYFUNCTION("IFERROR(REGEXEXTRACT(A235, ""res(269|122)""), ""none"")"),"269")</f>
        <v>269</v>
      </c>
      <c r="F235" s="1">
        <v>-15.154038</v>
      </c>
      <c r="G235" s="1">
        <v>9.0</v>
      </c>
      <c r="H235" s="1">
        <v>2.0</v>
      </c>
      <c r="I235" s="1">
        <v>0.333333</v>
      </c>
      <c r="J235" s="1">
        <v>2.0</v>
      </c>
      <c r="K235" s="1">
        <v>-0.848837</v>
      </c>
      <c r="L235" s="1">
        <v>100.0</v>
      </c>
      <c r="M235" s="1">
        <v>0.0</v>
      </c>
      <c r="N235" s="1">
        <v>0.0</v>
      </c>
      <c r="O235" s="1">
        <v>97.330458</v>
      </c>
    </row>
    <row r="236">
      <c r="A236" s="1" t="s">
        <v>756</v>
      </c>
      <c r="B236" s="1" t="s">
        <v>757</v>
      </c>
      <c r="C236" s="3" t="s">
        <v>95</v>
      </c>
      <c r="D236" s="5"/>
      <c r="E236" s="1" t="str">
        <f>IFERROR(__xludf.DUMMYFUNCTION("IFERROR(REGEXEXTRACT(A236, ""res(269|122)""), ""none"")"),"269")</f>
        <v>269</v>
      </c>
      <c r="F236" s="1">
        <v>-15.837791</v>
      </c>
      <c r="G236" s="1">
        <v>7.0</v>
      </c>
      <c r="H236" s="1">
        <v>2.0</v>
      </c>
      <c r="I236" s="1">
        <v>0.285714</v>
      </c>
      <c r="J236" s="1">
        <v>2.0</v>
      </c>
      <c r="K236" s="1">
        <v>-1.071572</v>
      </c>
      <c r="L236" s="1">
        <v>100.0</v>
      </c>
      <c r="M236" s="1">
        <v>0.0</v>
      </c>
      <c r="N236" s="1">
        <v>0.0</v>
      </c>
      <c r="O236" s="1">
        <v>94.376351</v>
      </c>
    </row>
    <row r="237">
      <c r="A237" s="1" t="s">
        <v>758</v>
      </c>
      <c r="B237" s="1" t="s">
        <v>759</v>
      </c>
      <c r="C237" s="3" t="s">
        <v>95</v>
      </c>
      <c r="D237" s="5"/>
      <c r="E237" s="1" t="str">
        <f>IFERROR(__xludf.DUMMYFUNCTION("IFERROR(REGEXEXTRACT(A237, ""res(269|122)""), ""none"")"),"269")</f>
        <v>269</v>
      </c>
      <c r="F237" s="1">
        <v>-15.397445</v>
      </c>
      <c r="G237" s="1">
        <v>8.0</v>
      </c>
      <c r="H237" s="1">
        <v>5.0</v>
      </c>
      <c r="I237" s="1">
        <v>0.5</v>
      </c>
      <c r="J237" s="1">
        <v>2.0</v>
      </c>
      <c r="K237" s="1">
        <v>-1.534955</v>
      </c>
      <c r="L237" s="1">
        <v>100.0</v>
      </c>
      <c r="M237" s="1">
        <v>0.0</v>
      </c>
      <c r="N237" s="1">
        <v>0.0</v>
      </c>
      <c r="O237" s="1">
        <v>98.5676</v>
      </c>
    </row>
    <row r="238">
      <c r="A238" s="1" t="s">
        <v>760</v>
      </c>
      <c r="B238" s="1" t="s">
        <v>761</v>
      </c>
      <c r="C238" s="3" t="s">
        <v>95</v>
      </c>
      <c r="D238" s="5"/>
      <c r="E238" s="1" t="str">
        <f>IFERROR(__xludf.DUMMYFUNCTION("IFERROR(REGEXEXTRACT(A238, ""res(269|122)""), ""none"")"),"269")</f>
        <v>269</v>
      </c>
      <c r="F238" s="1">
        <v>-15.876867</v>
      </c>
      <c r="G238" s="1">
        <v>9.0</v>
      </c>
      <c r="H238" s="1">
        <v>5.0</v>
      </c>
      <c r="I238" s="1">
        <v>0.444444</v>
      </c>
      <c r="J238" s="1">
        <v>2.0</v>
      </c>
      <c r="K238" s="1">
        <v>-0.548546</v>
      </c>
      <c r="L238" s="1">
        <v>100.0</v>
      </c>
      <c r="M238" s="1">
        <v>0.0</v>
      </c>
      <c r="N238" s="1">
        <v>0.0</v>
      </c>
      <c r="O238" s="1">
        <v>100.019031</v>
      </c>
    </row>
    <row r="239">
      <c r="A239" s="1" t="s">
        <v>762</v>
      </c>
      <c r="B239" s="1" t="s">
        <v>763</v>
      </c>
      <c r="C239" s="3" t="s">
        <v>95</v>
      </c>
      <c r="D239" s="5"/>
      <c r="E239" s="1" t="str">
        <f>IFERROR(__xludf.DUMMYFUNCTION("IFERROR(REGEXEXTRACT(A239, ""res(269|122)""), ""none"")"),"269")</f>
        <v>269</v>
      </c>
      <c r="F239" s="1">
        <v>-15.298627</v>
      </c>
      <c r="G239" s="1">
        <v>8.0</v>
      </c>
      <c r="H239" s="1">
        <v>2.0</v>
      </c>
      <c r="I239" s="1">
        <v>0.25</v>
      </c>
      <c r="J239" s="1">
        <v>2.0</v>
      </c>
      <c r="K239" s="1">
        <v>-0.483175</v>
      </c>
      <c r="L239" s="1">
        <v>100.0</v>
      </c>
      <c r="M239" s="1">
        <v>0.0</v>
      </c>
      <c r="N239" s="1">
        <v>0.0</v>
      </c>
      <c r="O239" s="1">
        <v>96.468198</v>
      </c>
    </row>
    <row r="240">
      <c r="A240" s="1" t="s">
        <v>764</v>
      </c>
      <c r="B240" s="1" t="s">
        <v>765</v>
      </c>
      <c r="C240" s="3" t="s">
        <v>95</v>
      </c>
      <c r="D240" s="5"/>
      <c r="E240" s="1" t="str">
        <f>IFERROR(__xludf.DUMMYFUNCTION("IFERROR(REGEXEXTRACT(A240, ""res(269|122)""), ""none"")"),"269")</f>
        <v>269</v>
      </c>
      <c r="F240" s="1">
        <v>-18.469678</v>
      </c>
      <c r="G240" s="1">
        <v>10.0</v>
      </c>
      <c r="H240" s="1">
        <v>4.0</v>
      </c>
      <c r="I240" s="1">
        <v>0.4</v>
      </c>
      <c r="J240" s="1">
        <v>2.0</v>
      </c>
      <c r="K240" s="1">
        <v>-1.363106</v>
      </c>
      <c r="L240" s="1">
        <v>100.0</v>
      </c>
      <c r="M240" s="1">
        <v>0.0</v>
      </c>
      <c r="N240" s="1">
        <v>0.0</v>
      </c>
      <c r="O240" s="1">
        <v>96.567216</v>
      </c>
    </row>
    <row r="241">
      <c r="A241" s="1" t="s">
        <v>766</v>
      </c>
      <c r="B241" s="1" t="s">
        <v>767</v>
      </c>
      <c r="C241" s="3" t="s">
        <v>95</v>
      </c>
      <c r="D241" s="5"/>
      <c r="E241" s="1" t="str">
        <f>IFERROR(__xludf.DUMMYFUNCTION("IFERROR(REGEXEXTRACT(A241, ""res(269|122)""), ""none"")"),"269")</f>
        <v>269</v>
      </c>
      <c r="F241" s="1">
        <v>-16.667832</v>
      </c>
      <c r="G241" s="1">
        <v>6.0</v>
      </c>
      <c r="H241" s="1">
        <v>2.0</v>
      </c>
      <c r="I241" s="1">
        <v>0.333333</v>
      </c>
      <c r="J241" s="1">
        <v>2.0</v>
      </c>
      <c r="K241" s="1">
        <v>-1.030818</v>
      </c>
      <c r="L241" s="1">
        <v>100.0</v>
      </c>
      <c r="M241" s="1">
        <v>0.0</v>
      </c>
      <c r="N241" s="1">
        <v>0.0</v>
      </c>
      <c r="O241" s="1">
        <v>92.634683</v>
      </c>
    </row>
    <row r="242">
      <c r="A242" s="1" t="s">
        <v>374</v>
      </c>
      <c r="B242" s="1" t="s">
        <v>174</v>
      </c>
      <c r="C242" s="3" t="s">
        <v>24</v>
      </c>
      <c r="D242" s="5"/>
      <c r="E242" s="1" t="str">
        <f>IFERROR(__xludf.DUMMYFUNCTION("IFERROR(REGEXEXTRACT(A242, ""res(269|122)""), ""none"")"),"269")</f>
        <v>269</v>
      </c>
      <c r="F242" s="1">
        <v>-16.118663</v>
      </c>
      <c r="G242" s="1">
        <v>9.0</v>
      </c>
      <c r="H242" s="1">
        <v>1.0</v>
      </c>
      <c r="I242" s="1">
        <v>0.333333</v>
      </c>
      <c r="J242" s="1">
        <v>2.0</v>
      </c>
      <c r="K242" s="1">
        <v>-0.368431</v>
      </c>
      <c r="L242" s="1">
        <v>100.0</v>
      </c>
      <c r="M242" s="1">
        <v>0.0</v>
      </c>
      <c r="N242" s="1">
        <v>0.0</v>
      </c>
      <c r="O242" s="1">
        <v>95.846239</v>
      </c>
    </row>
    <row r="243">
      <c r="A243" s="1" t="s">
        <v>768</v>
      </c>
      <c r="B243" s="1" t="s">
        <v>769</v>
      </c>
      <c r="C243" s="3" t="s">
        <v>95</v>
      </c>
      <c r="D243" s="5"/>
      <c r="E243" s="1" t="str">
        <f>IFERROR(__xludf.DUMMYFUNCTION("IFERROR(REGEXEXTRACT(A243, ""res(269|122)""), ""none"")"),"269")</f>
        <v>269</v>
      </c>
      <c r="F243" s="1">
        <v>-15.215774</v>
      </c>
      <c r="G243" s="1">
        <v>7.0</v>
      </c>
      <c r="H243" s="1">
        <v>3.0</v>
      </c>
      <c r="I243" s="1">
        <v>0.285714</v>
      </c>
      <c r="J243" s="1">
        <v>2.0</v>
      </c>
      <c r="K243" s="1">
        <v>-0.616062</v>
      </c>
      <c r="L243" s="1">
        <v>100.0</v>
      </c>
      <c r="M243" s="1">
        <v>0.0</v>
      </c>
      <c r="N243" s="1">
        <v>0.0</v>
      </c>
      <c r="O243" s="1">
        <v>96.453878</v>
      </c>
    </row>
    <row r="244">
      <c r="A244" s="1" t="s">
        <v>770</v>
      </c>
      <c r="B244" s="1" t="s">
        <v>771</v>
      </c>
      <c r="C244" s="3" t="s">
        <v>95</v>
      </c>
      <c r="D244" s="5"/>
      <c r="E244" s="1" t="str">
        <f>IFERROR(__xludf.DUMMYFUNCTION("IFERROR(REGEXEXTRACT(A244, ""res(269|122)""), ""none"")"),"269")</f>
        <v>269</v>
      </c>
      <c r="F244" s="1">
        <v>-15.561513</v>
      </c>
      <c r="G244" s="1">
        <v>7.0</v>
      </c>
      <c r="H244" s="1">
        <v>2.0</v>
      </c>
      <c r="I244" s="1">
        <v>0.285714</v>
      </c>
      <c r="J244" s="1">
        <v>2.0</v>
      </c>
      <c r="K244" s="1">
        <v>-0.958047</v>
      </c>
      <c r="L244" s="1">
        <v>100.0</v>
      </c>
      <c r="M244" s="1">
        <v>0.0</v>
      </c>
      <c r="N244" s="1">
        <v>0.0</v>
      </c>
      <c r="O244" s="1">
        <v>94.766154</v>
      </c>
    </row>
    <row r="245">
      <c r="A245" s="1" t="s">
        <v>772</v>
      </c>
      <c r="B245" s="1" t="s">
        <v>773</v>
      </c>
      <c r="C245" s="3" t="s">
        <v>95</v>
      </c>
      <c r="D245" s="5"/>
      <c r="E245" s="1" t="str">
        <f>IFERROR(__xludf.DUMMYFUNCTION("IFERROR(REGEXEXTRACT(A245, ""res(269|122)""), ""none"")"),"269")</f>
        <v>269</v>
      </c>
      <c r="F245" s="1">
        <v>-15.089943</v>
      </c>
      <c r="G245" s="1">
        <v>9.0</v>
      </c>
      <c r="H245" s="1">
        <v>3.0</v>
      </c>
      <c r="I245" s="1">
        <v>0.444444</v>
      </c>
      <c r="J245" s="1">
        <v>2.0</v>
      </c>
      <c r="K245" s="1">
        <v>-0.893755</v>
      </c>
      <c r="L245" s="1">
        <v>100.0</v>
      </c>
      <c r="M245" s="1">
        <v>0.0</v>
      </c>
      <c r="N245" s="1">
        <v>0.0</v>
      </c>
      <c r="O245" s="1">
        <v>98.460746</v>
      </c>
    </row>
    <row r="246">
      <c r="A246" s="1" t="s">
        <v>774</v>
      </c>
      <c r="B246" s="1" t="s">
        <v>775</v>
      </c>
      <c r="C246" s="3" t="s">
        <v>95</v>
      </c>
      <c r="D246" s="5"/>
      <c r="E246" s="1" t="str">
        <f>IFERROR(__xludf.DUMMYFUNCTION("IFERROR(REGEXEXTRACT(A246, ""res(269|122)""), ""none"")"),"269")</f>
        <v>269</v>
      </c>
      <c r="F246" s="1">
        <v>-15.129961</v>
      </c>
      <c r="G246" s="1">
        <v>9.0</v>
      </c>
      <c r="H246" s="1">
        <v>1.0</v>
      </c>
      <c r="I246" s="1">
        <v>0.333333</v>
      </c>
      <c r="J246" s="1">
        <v>2.0</v>
      </c>
      <c r="K246" s="1">
        <v>-1.424951</v>
      </c>
      <c r="L246" s="1">
        <v>100.0</v>
      </c>
      <c r="M246" s="1">
        <v>0.0</v>
      </c>
      <c r="N246" s="1">
        <v>0.0</v>
      </c>
      <c r="O246" s="1">
        <v>95.778421</v>
      </c>
    </row>
    <row r="247">
      <c r="A247" s="1" t="s">
        <v>776</v>
      </c>
      <c r="B247" s="1" t="s">
        <v>777</v>
      </c>
      <c r="C247" s="3" t="s">
        <v>95</v>
      </c>
      <c r="D247" s="5"/>
      <c r="E247" s="1" t="str">
        <f>IFERROR(__xludf.DUMMYFUNCTION("IFERROR(REGEXEXTRACT(A247, ""res(269|122)""), ""none"")"),"269")</f>
        <v>269</v>
      </c>
      <c r="F247" s="1">
        <v>-15.779634</v>
      </c>
      <c r="G247" s="1">
        <v>10.0</v>
      </c>
      <c r="H247" s="1">
        <v>5.0</v>
      </c>
      <c r="I247" s="1">
        <v>0.3</v>
      </c>
      <c r="J247" s="1">
        <v>2.0</v>
      </c>
      <c r="K247" s="1">
        <v>-0.855369</v>
      </c>
      <c r="L247" s="1">
        <v>100.0</v>
      </c>
      <c r="M247" s="1">
        <v>0.0</v>
      </c>
      <c r="N247" s="1">
        <v>0.0</v>
      </c>
      <c r="O247" s="1">
        <v>100.664997</v>
      </c>
    </row>
    <row r="248">
      <c r="A248" s="1" t="s">
        <v>778</v>
      </c>
      <c r="B248" s="1" t="s">
        <v>779</v>
      </c>
      <c r="C248" s="3" t="s">
        <v>95</v>
      </c>
      <c r="D248" s="5"/>
      <c r="E248" s="1" t="str">
        <f>IFERROR(__xludf.DUMMYFUNCTION("IFERROR(REGEXEXTRACT(A248, ""res(269|122)""), ""none"")"),"269")</f>
        <v>269</v>
      </c>
      <c r="F248" s="1">
        <v>-15.06211</v>
      </c>
      <c r="G248" s="1">
        <v>7.0</v>
      </c>
      <c r="H248" s="1">
        <v>3.0</v>
      </c>
      <c r="I248" s="1">
        <v>0.285714</v>
      </c>
      <c r="J248" s="1">
        <v>2.0</v>
      </c>
      <c r="K248" s="1">
        <v>-0.778561</v>
      </c>
      <c r="L248" s="1">
        <v>100.0</v>
      </c>
      <c r="M248" s="1">
        <v>0.0</v>
      </c>
      <c r="N248" s="1">
        <v>0.0</v>
      </c>
      <c r="O248" s="1">
        <v>96.445043</v>
      </c>
    </row>
    <row r="249">
      <c r="A249" s="1" t="s">
        <v>780</v>
      </c>
      <c r="B249" s="1" t="s">
        <v>781</v>
      </c>
      <c r="C249" s="3" t="s">
        <v>95</v>
      </c>
      <c r="D249" s="5"/>
      <c r="E249" s="1" t="str">
        <f>IFERROR(__xludf.DUMMYFUNCTION("IFERROR(REGEXEXTRACT(A249, ""res(269|122)""), ""none"")"),"269")</f>
        <v>269</v>
      </c>
      <c r="F249" s="1">
        <v>-15.228987</v>
      </c>
      <c r="G249" s="1">
        <v>7.0</v>
      </c>
      <c r="H249" s="1">
        <v>1.0</v>
      </c>
      <c r="I249" s="1">
        <v>0.285714</v>
      </c>
      <c r="J249" s="1">
        <v>2.0</v>
      </c>
      <c r="K249" s="1">
        <v>-0.497766</v>
      </c>
      <c r="L249" s="1">
        <v>100.0</v>
      </c>
      <c r="M249" s="1">
        <v>0.0</v>
      </c>
      <c r="N249" s="1">
        <v>0.0</v>
      </c>
      <c r="O249" s="1">
        <v>94.558961</v>
      </c>
    </row>
    <row r="250">
      <c r="A250" s="1" t="s">
        <v>782</v>
      </c>
      <c r="B250" s="1" t="s">
        <v>783</v>
      </c>
      <c r="C250" s="3" t="s">
        <v>95</v>
      </c>
      <c r="D250" s="5"/>
      <c r="E250" s="1" t="str">
        <f>IFERROR(__xludf.DUMMYFUNCTION("IFERROR(REGEXEXTRACT(A250, ""res(269|122)""), ""none"")"),"269")</f>
        <v>269</v>
      </c>
      <c r="F250" s="1">
        <v>-16.62153</v>
      </c>
      <c r="G250" s="1">
        <v>7.0</v>
      </c>
      <c r="H250" s="1">
        <v>3.0</v>
      </c>
      <c r="I250" s="1">
        <v>0.285714</v>
      </c>
      <c r="J250" s="1">
        <v>2.0</v>
      </c>
      <c r="K250" s="1">
        <v>-0.582049</v>
      </c>
      <c r="L250" s="1">
        <v>100.0</v>
      </c>
      <c r="M250" s="1">
        <v>0.0</v>
      </c>
      <c r="N250" s="1">
        <v>0.0</v>
      </c>
      <c r="O250" s="1">
        <v>95.082135</v>
      </c>
    </row>
    <row r="251">
      <c r="A251" s="1" t="s">
        <v>375</v>
      </c>
      <c r="B251" s="1" t="s">
        <v>376</v>
      </c>
      <c r="C251" s="3" t="s">
        <v>24</v>
      </c>
      <c r="D251" s="5"/>
      <c r="E251" s="1" t="str">
        <f>IFERROR(__xludf.DUMMYFUNCTION("IFERROR(REGEXEXTRACT(A251, ""res(269|122)""), ""none"")"),"269")</f>
        <v>269</v>
      </c>
      <c r="F251" s="1">
        <v>-15.441678</v>
      </c>
      <c r="G251" s="1">
        <v>7.0</v>
      </c>
      <c r="H251" s="1">
        <v>3.0</v>
      </c>
      <c r="I251" s="1">
        <v>0.571429</v>
      </c>
      <c r="J251" s="1">
        <v>2.0</v>
      </c>
      <c r="K251" s="1">
        <v>-0.383116</v>
      </c>
      <c r="L251" s="1">
        <v>100.0</v>
      </c>
      <c r="M251" s="1">
        <v>0.0</v>
      </c>
      <c r="N251" s="1">
        <v>0.0</v>
      </c>
      <c r="O251" s="1">
        <v>96.746635</v>
      </c>
    </row>
    <row r="252">
      <c r="A252" s="1" t="s">
        <v>784</v>
      </c>
      <c r="B252" s="1" t="s">
        <v>785</v>
      </c>
      <c r="C252" s="3" t="s">
        <v>95</v>
      </c>
      <c r="D252" s="5"/>
      <c r="E252" s="1" t="str">
        <f>IFERROR(__xludf.DUMMYFUNCTION("IFERROR(REGEXEXTRACT(A252, ""res(269|122)""), ""none"")"),"269")</f>
        <v>269</v>
      </c>
      <c r="F252" s="1">
        <v>-16.853684</v>
      </c>
      <c r="G252" s="1">
        <v>8.0</v>
      </c>
      <c r="H252" s="1">
        <v>2.0</v>
      </c>
      <c r="I252" s="1">
        <v>0.25</v>
      </c>
      <c r="J252" s="1">
        <v>2.0</v>
      </c>
      <c r="K252" s="1">
        <v>-0.61432</v>
      </c>
      <c r="L252" s="1">
        <v>100.0</v>
      </c>
      <c r="M252" s="1">
        <v>0.0</v>
      </c>
      <c r="N252" s="1">
        <v>0.0</v>
      </c>
      <c r="O252" s="1">
        <v>94.781996</v>
      </c>
    </row>
    <row r="253">
      <c r="A253" s="1" t="s">
        <v>786</v>
      </c>
      <c r="B253" s="1" t="s">
        <v>787</v>
      </c>
      <c r="C253" s="3" t="s">
        <v>95</v>
      </c>
      <c r="D253" s="5"/>
      <c r="E253" s="1" t="str">
        <f>IFERROR(__xludf.DUMMYFUNCTION("IFERROR(REGEXEXTRACT(A253, ""res(269|122)""), ""none"")"),"269")</f>
        <v>269</v>
      </c>
      <c r="F253" s="1">
        <v>-16.043158</v>
      </c>
      <c r="G253" s="1">
        <v>11.0</v>
      </c>
      <c r="H253" s="1">
        <v>4.0</v>
      </c>
      <c r="I253" s="1">
        <v>0.272727</v>
      </c>
      <c r="J253" s="1">
        <v>2.0</v>
      </c>
      <c r="K253" s="1">
        <v>-0.622452999999999</v>
      </c>
      <c r="L253" s="1">
        <v>100.0</v>
      </c>
      <c r="M253" s="1">
        <v>0.0</v>
      </c>
      <c r="N253" s="1">
        <v>0.0</v>
      </c>
      <c r="O253" s="1">
        <v>100.607116</v>
      </c>
    </row>
    <row r="254">
      <c r="A254" s="1" t="s">
        <v>788</v>
      </c>
      <c r="B254" s="1" t="s">
        <v>789</v>
      </c>
      <c r="C254" s="3" t="s">
        <v>95</v>
      </c>
      <c r="D254" s="5"/>
      <c r="E254" s="1" t="str">
        <f>IFERROR(__xludf.DUMMYFUNCTION("IFERROR(REGEXEXTRACT(A254, ""res(269|122)""), ""none"")"),"269")</f>
        <v>269</v>
      </c>
      <c r="F254" s="1">
        <v>-17.026364</v>
      </c>
      <c r="G254" s="1">
        <v>9.0</v>
      </c>
      <c r="H254" s="1">
        <v>3.0</v>
      </c>
      <c r="I254" s="1">
        <v>0.333333</v>
      </c>
      <c r="J254" s="1">
        <v>2.0</v>
      </c>
      <c r="K254" s="1">
        <v>-1.021611</v>
      </c>
      <c r="L254" s="1">
        <v>100.0</v>
      </c>
      <c r="M254" s="1">
        <v>0.0</v>
      </c>
      <c r="N254" s="1">
        <v>0.0</v>
      </c>
      <c r="O254" s="1">
        <v>96.285358</v>
      </c>
    </row>
    <row r="255">
      <c r="A255" s="1" t="s">
        <v>790</v>
      </c>
      <c r="B255" s="1" t="s">
        <v>791</v>
      </c>
      <c r="C255" s="3" t="s">
        <v>95</v>
      </c>
      <c r="D255" s="5"/>
      <c r="E255" s="1" t="str">
        <f>IFERROR(__xludf.DUMMYFUNCTION("IFERROR(REGEXEXTRACT(A255, ""res(269|122)""), ""none"")"),"269")</f>
        <v>269</v>
      </c>
      <c r="F255" s="1">
        <v>-15.968585</v>
      </c>
      <c r="G255" s="1">
        <v>7.0</v>
      </c>
      <c r="H255" s="1">
        <v>2.0</v>
      </c>
      <c r="I255" s="1">
        <v>0.285714</v>
      </c>
      <c r="J255" s="1">
        <v>2.0</v>
      </c>
      <c r="K255" s="1">
        <v>-1.25003</v>
      </c>
      <c r="L255" s="1">
        <v>100.0</v>
      </c>
      <c r="M255" s="1">
        <v>0.0</v>
      </c>
      <c r="N255" s="1">
        <v>0.0</v>
      </c>
      <c r="O255" s="1">
        <v>94.067099</v>
      </c>
    </row>
    <row r="256">
      <c r="A256" s="1" t="s">
        <v>792</v>
      </c>
      <c r="B256" s="1" t="s">
        <v>793</v>
      </c>
      <c r="C256" s="3" t="s">
        <v>95</v>
      </c>
      <c r="D256" s="5"/>
      <c r="E256" s="1" t="str">
        <f>IFERROR(__xludf.DUMMYFUNCTION("IFERROR(REGEXEXTRACT(A256, ""res(269|122)""), ""none"")"),"269")</f>
        <v>269</v>
      </c>
      <c r="F256" s="1">
        <v>-15.701944</v>
      </c>
      <c r="G256" s="1">
        <v>7.0</v>
      </c>
      <c r="H256" s="1">
        <v>3.0</v>
      </c>
      <c r="I256" s="1">
        <v>0.285714</v>
      </c>
      <c r="J256" s="1">
        <v>2.0</v>
      </c>
      <c r="K256" s="1">
        <v>-0.189779</v>
      </c>
      <c r="L256" s="1">
        <v>100.0</v>
      </c>
      <c r="M256" s="1">
        <v>0.0</v>
      </c>
      <c r="N256" s="1">
        <v>0.0</v>
      </c>
      <c r="O256" s="1">
        <v>96.393991</v>
      </c>
    </row>
    <row r="257">
      <c r="A257" s="1" t="s">
        <v>794</v>
      </c>
      <c r="B257" s="1" t="s">
        <v>795</v>
      </c>
      <c r="C257" s="3" t="s">
        <v>95</v>
      </c>
      <c r="D257" s="5"/>
      <c r="E257" s="1" t="str">
        <f>IFERROR(__xludf.DUMMYFUNCTION("IFERROR(REGEXEXTRACT(A257, ""res(269|122)""), ""none"")"),"269")</f>
        <v>269</v>
      </c>
      <c r="F257" s="1">
        <v>-15.795906</v>
      </c>
      <c r="G257" s="1">
        <v>11.0</v>
      </c>
      <c r="H257" s="1">
        <v>4.0</v>
      </c>
      <c r="I257" s="1">
        <v>0.363636</v>
      </c>
      <c r="J257" s="1">
        <v>2.0</v>
      </c>
      <c r="K257" s="1">
        <v>-1.368672</v>
      </c>
      <c r="L257" s="1">
        <v>100.0</v>
      </c>
      <c r="M257" s="1">
        <v>0.0</v>
      </c>
      <c r="N257" s="1">
        <v>0.0</v>
      </c>
      <c r="O257" s="1">
        <v>100.199058</v>
      </c>
    </row>
    <row r="258">
      <c r="A258" s="1" t="s">
        <v>796</v>
      </c>
      <c r="B258" s="1" t="s">
        <v>797</v>
      </c>
      <c r="C258" s="3" t="s">
        <v>95</v>
      </c>
      <c r="D258" s="5"/>
      <c r="E258" s="1" t="str">
        <f>IFERROR(__xludf.DUMMYFUNCTION("IFERROR(REGEXEXTRACT(A258, ""res(269|122)""), ""none"")"),"269")</f>
        <v>269</v>
      </c>
      <c r="F258" s="1">
        <v>-16.171652</v>
      </c>
      <c r="G258" s="1">
        <v>11.0</v>
      </c>
      <c r="H258" s="1">
        <v>4.0</v>
      </c>
      <c r="I258" s="1">
        <v>0.272727</v>
      </c>
      <c r="J258" s="1">
        <v>2.0</v>
      </c>
      <c r="K258" s="1">
        <v>-0.585379</v>
      </c>
      <c r="L258" s="1">
        <v>100.0</v>
      </c>
      <c r="M258" s="1">
        <v>0.0</v>
      </c>
      <c r="N258" s="1">
        <v>0.0</v>
      </c>
      <c r="O258" s="1">
        <v>100.515696</v>
      </c>
    </row>
    <row r="259">
      <c r="A259" s="1" t="s">
        <v>798</v>
      </c>
      <c r="B259" s="1" t="s">
        <v>799</v>
      </c>
      <c r="C259" s="3" t="s">
        <v>95</v>
      </c>
      <c r="D259" s="5"/>
      <c r="E259" s="1" t="str">
        <f>IFERROR(__xludf.DUMMYFUNCTION("IFERROR(REGEXEXTRACT(A259, ""res(269|122)""), ""none"")"),"269")</f>
        <v>269</v>
      </c>
      <c r="F259" s="1">
        <v>-16.782024</v>
      </c>
      <c r="G259" s="1">
        <v>12.0</v>
      </c>
      <c r="H259" s="1">
        <v>4.0</v>
      </c>
      <c r="I259" s="1">
        <v>0.583333</v>
      </c>
      <c r="J259" s="1">
        <v>2.0</v>
      </c>
      <c r="K259" s="1">
        <v>-1.036546</v>
      </c>
      <c r="L259" s="1">
        <v>100.0</v>
      </c>
      <c r="M259" s="1">
        <v>0.0</v>
      </c>
      <c r="N259" s="1">
        <v>0.0</v>
      </c>
      <c r="O259" s="1">
        <v>100.764763</v>
      </c>
    </row>
    <row r="260">
      <c r="A260" s="1" t="s">
        <v>800</v>
      </c>
      <c r="B260" s="1" t="s">
        <v>801</v>
      </c>
      <c r="C260" s="3" t="s">
        <v>95</v>
      </c>
      <c r="D260" s="5"/>
      <c r="E260" s="1" t="str">
        <f>IFERROR(__xludf.DUMMYFUNCTION("IFERROR(REGEXEXTRACT(A260, ""res(269|122)""), ""none"")"),"269")</f>
        <v>269</v>
      </c>
      <c r="F260" s="1">
        <v>-16.864079</v>
      </c>
      <c r="G260" s="1">
        <v>8.0</v>
      </c>
      <c r="H260" s="1">
        <v>3.0</v>
      </c>
      <c r="I260" s="1">
        <v>0.375</v>
      </c>
      <c r="J260" s="1">
        <v>2.0</v>
      </c>
      <c r="K260" s="1">
        <v>-0.61508</v>
      </c>
      <c r="L260" s="1">
        <v>100.0</v>
      </c>
      <c r="M260" s="1">
        <v>0.0</v>
      </c>
      <c r="N260" s="1">
        <v>0.0</v>
      </c>
      <c r="O260" s="1">
        <v>95.895841</v>
      </c>
    </row>
    <row r="261">
      <c r="A261" s="1" t="s">
        <v>802</v>
      </c>
      <c r="B261" s="1" t="s">
        <v>803</v>
      </c>
      <c r="C261" s="3" t="s">
        <v>95</v>
      </c>
      <c r="D261" s="5"/>
      <c r="E261" s="1" t="str">
        <f>IFERROR(__xludf.DUMMYFUNCTION("IFERROR(REGEXEXTRACT(A261, ""res(269|122)""), ""none"")"),"269")</f>
        <v>269</v>
      </c>
      <c r="F261" s="1">
        <v>-15.073154</v>
      </c>
      <c r="G261" s="1">
        <v>10.0</v>
      </c>
      <c r="H261" s="1">
        <v>2.0</v>
      </c>
      <c r="I261" s="1">
        <v>0.4</v>
      </c>
      <c r="J261" s="1">
        <v>2.0</v>
      </c>
      <c r="K261" s="1">
        <v>-1.488286</v>
      </c>
      <c r="L261" s="1">
        <v>100.0</v>
      </c>
      <c r="M261" s="1">
        <v>0.0</v>
      </c>
      <c r="N261" s="1">
        <v>0.0</v>
      </c>
      <c r="O261" s="1">
        <v>97.83856</v>
      </c>
    </row>
    <row r="262">
      <c r="A262" s="1" t="s">
        <v>804</v>
      </c>
      <c r="B262" s="1" t="s">
        <v>805</v>
      </c>
      <c r="C262" s="3" t="s">
        <v>95</v>
      </c>
      <c r="D262" s="5"/>
      <c r="E262" s="1" t="str">
        <f>IFERROR(__xludf.DUMMYFUNCTION("IFERROR(REGEXEXTRACT(A262, ""res(269|122)""), ""none"")"),"269")</f>
        <v>269</v>
      </c>
      <c r="F262" s="1">
        <v>-16.216069</v>
      </c>
      <c r="G262" s="1">
        <v>7.0</v>
      </c>
      <c r="H262" s="1">
        <v>2.0</v>
      </c>
      <c r="I262" s="1">
        <v>0.285714</v>
      </c>
      <c r="J262" s="1">
        <v>2.0</v>
      </c>
      <c r="K262" s="1">
        <v>-0.390856</v>
      </c>
      <c r="L262" s="1">
        <v>100.0</v>
      </c>
      <c r="M262" s="1">
        <v>0.0</v>
      </c>
      <c r="N262" s="1">
        <v>0.0</v>
      </c>
      <c r="O262" s="1">
        <v>94.678789</v>
      </c>
    </row>
    <row r="263">
      <c r="A263" s="1" t="s">
        <v>806</v>
      </c>
      <c r="B263" s="1" t="s">
        <v>807</v>
      </c>
      <c r="C263" s="3" t="s">
        <v>95</v>
      </c>
      <c r="D263" s="5"/>
      <c r="E263" s="1" t="str">
        <f>IFERROR(__xludf.DUMMYFUNCTION("IFERROR(REGEXEXTRACT(A263, ""res(269|122)""), ""none"")"),"269")</f>
        <v>269</v>
      </c>
      <c r="F263" s="1">
        <v>-17.639319</v>
      </c>
      <c r="G263" s="1">
        <v>12.0</v>
      </c>
      <c r="H263" s="1">
        <v>3.0</v>
      </c>
      <c r="I263" s="1">
        <v>0.25</v>
      </c>
      <c r="J263" s="1">
        <v>2.0</v>
      </c>
      <c r="K263" s="1">
        <v>-0.813736</v>
      </c>
      <c r="L263" s="1">
        <v>100.0</v>
      </c>
      <c r="M263" s="1">
        <v>0.0</v>
      </c>
      <c r="N263" s="1">
        <v>0.0</v>
      </c>
      <c r="O263" s="1">
        <v>98.796945</v>
      </c>
    </row>
    <row r="264">
      <c r="A264" s="1" t="s">
        <v>808</v>
      </c>
      <c r="B264" s="1" t="s">
        <v>809</v>
      </c>
      <c r="C264" s="3" t="s">
        <v>95</v>
      </c>
      <c r="D264" s="5"/>
      <c r="E264" s="1" t="str">
        <f>IFERROR(__xludf.DUMMYFUNCTION("IFERROR(REGEXEXTRACT(A264, ""res(269|122)""), ""none"")"),"269")</f>
        <v>269</v>
      </c>
      <c r="F264" s="1">
        <v>-15.326067</v>
      </c>
      <c r="G264" s="1">
        <v>6.0</v>
      </c>
      <c r="H264" s="1">
        <v>1.0</v>
      </c>
      <c r="I264" s="1">
        <v>0.333333</v>
      </c>
      <c r="J264" s="1">
        <v>2.0</v>
      </c>
      <c r="K264" s="1">
        <v>-1.450523</v>
      </c>
      <c r="L264" s="1">
        <v>100.0</v>
      </c>
      <c r="M264" s="1">
        <v>0.0</v>
      </c>
      <c r="N264" s="1">
        <v>0.0</v>
      </c>
      <c r="O264" s="1">
        <v>92.556743</v>
      </c>
    </row>
    <row r="265">
      <c r="A265" s="1" t="s">
        <v>810</v>
      </c>
      <c r="B265" s="1" t="s">
        <v>811</v>
      </c>
      <c r="C265" s="3" t="s">
        <v>95</v>
      </c>
      <c r="D265" s="5"/>
      <c r="E265" s="1" t="str">
        <f>IFERROR(__xludf.DUMMYFUNCTION("IFERROR(REGEXEXTRACT(A265, ""res(269|122)""), ""none"")"),"269")</f>
        <v>269</v>
      </c>
      <c r="F265" s="1">
        <v>-16.419687</v>
      </c>
      <c r="G265" s="1">
        <v>11.0</v>
      </c>
      <c r="H265" s="1">
        <v>4.0</v>
      </c>
      <c r="I265" s="1">
        <v>0.272727</v>
      </c>
      <c r="J265" s="1">
        <v>2.0</v>
      </c>
      <c r="K265" s="1">
        <v>-0.954938</v>
      </c>
      <c r="L265" s="1">
        <v>100.0</v>
      </c>
      <c r="M265" s="1">
        <v>0.0</v>
      </c>
      <c r="N265" s="1">
        <v>0.0</v>
      </c>
      <c r="O265" s="1">
        <v>99.898102</v>
      </c>
    </row>
    <row r="266">
      <c r="A266" s="1" t="s">
        <v>812</v>
      </c>
      <c r="B266" s="1" t="s">
        <v>813</v>
      </c>
      <c r="C266" s="3" t="s">
        <v>95</v>
      </c>
      <c r="D266" s="5"/>
      <c r="E266" s="1" t="str">
        <f>IFERROR(__xludf.DUMMYFUNCTION("IFERROR(REGEXEXTRACT(A266, ""res(269|122)""), ""none"")"),"269")</f>
        <v>269</v>
      </c>
      <c r="F266" s="1">
        <v>-15.739191</v>
      </c>
      <c r="G266" s="1">
        <v>8.0</v>
      </c>
      <c r="H266" s="1">
        <v>3.0</v>
      </c>
      <c r="I266" s="1">
        <v>0.625</v>
      </c>
      <c r="J266" s="1">
        <v>2.0</v>
      </c>
      <c r="K266" s="1">
        <v>-0.299369999999999</v>
      </c>
      <c r="L266" s="1">
        <v>100.0</v>
      </c>
      <c r="M266" s="1">
        <v>0.0</v>
      </c>
      <c r="N266" s="1">
        <v>0.0</v>
      </c>
      <c r="O266" s="1">
        <v>97.586439</v>
      </c>
    </row>
    <row r="267">
      <c r="A267" s="1" t="s">
        <v>377</v>
      </c>
      <c r="B267" s="1" t="s">
        <v>378</v>
      </c>
      <c r="C267" s="3" t="s">
        <v>24</v>
      </c>
      <c r="D267" s="5"/>
      <c r="E267" s="1" t="str">
        <f>IFERROR(__xludf.DUMMYFUNCTION("IFERROR(REGEXEXTRACT(A267, ""res(269|122)""), ""none"")"),"269")</f>
        <v>269</v>
      </c>
      <c r="F267" s="1">
        <v>-15.43829</v>
      </c>
      <c r="G267" s="1">
        <v>8.0</v>
      </c>
      <c r="H267" s="1">
        <v>3.0</v>
      </c>
      <c r="I267" s="1">
        <v>0.375</v>
      </c>
      <c r="J267" s="1">
        <v>2.0</v>
      </c>
      <c r="K267" s="1">
        <v>-1.14393</v>
      </c>
      <c r="L267" s="1">
        <v>100.0</v>
      </c>
      <c r="M267" s="1">
        <v>0.0</v>
      </c>
      <c r="N267" s="1">
        <v>0.0</v>
      </c>
      <c r="O267" s="1">
        <v>96.79278</v>
      </c>
    </row>
    <row r="268">
      <c r="A268" s="1" t="s">
        <v>814</v>
      </c>
      <c r="B268" s="1" t="s">
        <v>815</v>
      </c>
      <c r="C268" s="3" t="s">
        <v>95</v>
      </c>
      <c r="D268" s="5"/>
      <c r="E268" s="1" t="str">
        <f>IFERROR(__xludf.DUMMYFUNCTION("IFERROR(REGEXEXTRACT(A268, ""res(269|122)""), ""none"")"),"269")</f>
        <v>269</v>
      </c>
      <c r="F268" s="1">
        <v>-15.995072</v>
      </c>
      <c r="G268" s="1">
        <v>11.0</v>
      </c>
      <c r="H268" s="1">
        <v>3.0</v>
      </c>
      <c r="I268" s="1">
        <v>0.363636</v>
      </c>
      <c r="J268" s="1">
        <v>2.0</v>
      </c>
      <c r="K268" s="1">
        <v>-1.313084</v>
      </c>
      <c r="L268" s="1">
        <v>100.0</v>
      </c>
      <c r="M268" s="1">
        <v>0.0</v>
      </c>
      <c r="N268" s="1">
        <v>0.0</v>
      </c>
      <c r="O268" s="1">
        <v>99.05548</v>
      </c>
    </row>
    <row r="269">
      <c r="A269" s="1" t="s">
        <v>816</v>
      </c>
      <c r="B269" s="1" t="s">
        <v>817</v>
      </c>
      <c r="C269" s="3" t="s">
        <v>95</v>
      </c>
      <c r="D269" s="5"/>
      <c r="E269" s="1" t="str">
        <f>IFERROR(__xludf.DUMMYFUNCTION("IFERROR(REGEXEXTRACT(A269, ""res(269|122)""), ""none"")"),"269")</f>
        <v>269</v>
      </c>
      <c r="F269" s="1">
        <v>-15.888689</v>
      </c>
      <c r="G269" s="1">
        <v>10.0</v>
      </c>
      <c r="H269" s="1">
        <v>2.0</v>
      </c>
      <c r="I269" s="1">
        <v>0.3</v>
      </c>
      <c r="J269" s="1">
        <v>2.0</v>
      </c>
      <c r="K269" s="1">
        <v>-0.501779</v>
      </c>
      <c r="L269" s="1">
        <v>100.0</v>
      </c>
      <c r="M269" s="1">
        <v>0.0</v>
      </c>
      <c r="N269" s="1">
        <v>0.0</v>
      </c>
      <c r="O269" s="1">
        <v>97.909532</v>
      </c>
    </row>
    <row r="270">
      <c r="A270" s="1" t="s">
        <v>818</v>
      </c>
      <c r="B270" s="1" t="s">
        <v>819</v>
      </c>
      <c r="C270" s="3" t="s">
        <v>95</v>
      </c>
      <c r="D270" s="5"/>
      <c r="E270" s="1" t="str">
        <f>IFERROR(__xludf.DUMMYFUNCTION("IFERROR(REGEXEXTRACT(A270, ""res(269|122)""), ""none"")"),"269")</f>
        <v>269</v>
      </c>
      <c r="F270" s="1">
        <v>-15.155713</v>
      </c>
      <c r="G270" s="1">
        <v>7.0</v>
      </c>
      <c r="H270" s="1">
        <v>2.0</v>
      </c>
      <c r="I270" s="1">
        <v>0.428571</v>
      </c>
      <c r="J270" s="1">
        <v>2.0</v>
      </c>
      <c r="K270" s="1">
        <v>-1.146592</v>
      </c>
      <c r="L270" s="1">
        <v>100.0</v>
      </c>
      <c r="M270" s="1">
        <v>0.0</v>
      </c>
      <c r="N270" s="1">
        <v>0.0</v>
      </c>
      <c r="O270" s="1">
        <v>95.126266</v>
      </c>
    </row>
    <row r="271">
      <c r="A271" s="1" t="s">
        <v>379</v>
      </c>
      <c r="B271" s="1" t="s">
        <v>380</v>
      </c>
      <c r="C271" s="3" t="s">
        <v>24</v>
      </c>
      <c r="D271" s="5"/>
      <c r="E271" s="1" t="str">
        <f>IFERROR(__xludf.DUMMYFUNCTION("IFERROR(REGEXEXTRACT(A271, ""res(269|122)""), ""none"")"),"269")</f>
        <v>269</v>
      </c>
      <c r="F271" s="1">
        <v>-16.179464</v>
      </c>
      <c r="G271" s="1">
        <v>11.0</v>
      </c>
      <c r="H271" s="1">
        <v>5.0</v>
      </c>
      <c r="I271" s="1">
        <v>0.454545</v>
      </c>
      <c r="J271" s="1">
        <v>2.0</v>
      </c>
      <c r="K271" s="1">
        <v>-0.328299</v>
      </c>
      <c r="L271" s="1">
        <v>100.0</v>
      </c>
      <c r="M271" s="1">
        <v>0.0</v>
      </c>
      <c r="N271" s="1">
        <v>0.0</v>
      </c>
      <c r="O271" s="1">
        <v>101.946782</v>
      </c>
    </row>
    <row r="272">
      <c r="A272" s="1" t="s">
        <v>820</v>
      </c>
      <c r="B272" s="1" t="s">
        <v>821</v>
      </c>
      <c r="C272" s="3" t="s">
        <v>95</v>
      </c>
      <c r="D272" s="5"/>
      <c r="E272" s="1" t="str">
        <f>IFERROR(__xludf.DUMMYFUNCTION("IFERROR(REGEXEXTRACT(A272, ""res(269|122)""), ""none"")"),"269")</f>
        <v>269</v>
      </c>
      <c r="F272" s="1">
        <v>-15.633367</v>
      </c>
      <c r="G272" s="1">
        <v>7.0</v>
      </c>
      <c r="H272" s="1">
        <v>1.0</v>
      </c>
      <c r="I272" s="1">
        <v>0.285714</v>
      </c>
      <c r="J272" s="1">
        <v>2.0</v>
      </c>
      <c r="K272" s="1">
        <v>-1.709096</v>
      </c>
      <c r="L272" s="1">
        <v>100.0</v>
      </c>
      <c r="M272" s="1">
        <v>0.0</v>
      </c>
      <c r="N272" s="1">
        <v>0.0</v>
      </c>
      <c r="O272" s="1">
        <v>92.943251</v>
      </c>
    </row>
    <row r="273">
      <c r="A273" s="1" t="s">
        <v>822</v>
      </c>
      <c r="B273" s="1" t="s">
        <v>823</v>
      </c>
      <c r="C273" s="3" t="s">
        <v>95</v>
      </c>
      <c r="D273" s="5"/>
      <c r="E273" s="1" t="str">
        <f>IFERROR(__xludf.DUMMYFUNCTION("IFERROR(REGEXEXTRACT(A273, ""res(269|122)""), ""none"")"),"269")</f>
        <v>269</v>
      </c>
      <c r="F273" s="1">
        <v>-15.42158</v>
      </c>
      <c r="G273" s="1">
        <v>11.0</v>
      </c>
      <c r="H273" s="1">
        <v>4.0</v>
      </c>
      <c r="I273" s="1">
        <v>0.272727</v>
      </c>
      <c r="J273" s="1">
        <v>3.0</v>
      </c>
      <c r="K273" s="1">
        <v>-1.893395</v>
      </c>
      <c r="L273" s="1">
        <v>100.0</v>
      </c>
      <c r="M273" s="1">
        <v>0.0</v>
      </c>
      <c r="N273" s="1">
        <v>0.0</v>
      </c>
      <c r="O273" s="1">
        <v>100.957752</v>
      </c>
    </row>
    <row r="274">
      <c r="A274" s="1" t="s">
        <v>381</v>
      </c>
      <c r="B274" s="1" t="s">
        <v>177</v>
      </c>
      <c r="C274" s="3" t="s">
        <v>24</v>
      </c>
      <c r="D274" s="3" t="s">
        <v>423</v>
      </c>
      <c r="E274" s="1" t="str">
        <f>IFERROR(__xludf.DUMMYFUNCTION("IFERROR(REGEXEXTRACT(A274, ""res(269|122)""), ""none"")"),"269")</f>
        <v>269</v>
      </c>
      <c r="F274" s="1">
        <v>-15.935374</v>
      </c>
      <c r="G274" s="1">
        <v>10.0</v>
      </c>
      <c r="H274" s="1">
        <v>2.0</v>
      </c>
      <c r="I274" s="1">
        <v>0.3</v>
      </c>
      <c r="J274" s="1">
        <v>3.0</v>
      </c>
      <c r="K274" s="1">
        <v>-1.849118</v>
      </c>
      <c r="L274" s="1">
        <v>100.0</v>
      </c>
      <c r="M274" s="1">
        <v>0.0</v>
      </c>
      <c r="N274" s="1">
        <v>0.0</v>
      </c>
      <c r="O274" s="1">
        <v>97.515508</v>
      </c>
    </row>
    <row r="275">
      <c r="A275" s="1" t="s">
        <v>824</v>
      </c>
      <c r="B275" s="1" t="s">
        <v>825</v>
      </c>
      <c r="C275" s="3" t="s">
        <v>95</v>
      </c>
      <c r="D275" s="5"/>
      <c r="E275" s="1" t="str">
        <f>IFERROR(__xludf.DUMMYFUNCTION("IFERROR(REGEXEXTRACT(A275, ""res(269|122)""), ""none"")"),"269")</f>
        <v>269</v>
      </c>
      <c r="F275" s="1">
        <v>-15.008357</v>
      </c>
      <c r="G275" s="1">
        <v>8.0</v>
      </c>
      <c r="H275" s="1">
        <v>2.0</v>
      </c>
      <c r="I275" s="1">
        <v>0.25</v>
      </c>
      <c r="J275" s="1">
        <v>2.0</v>
      </c>
      <c r="K275" s="1">
        <v>-0.295051</v>
      </c>
      <c r="L275" s="1">
        <v>100.0</v>
      </c>
      <c r="M275" s="1">
        <v>0.0</v>
      </c>
      <c r="N275" s="1">
        <v>0.0</v>
      </c>
      <c r="O275" s="1">
        <v>96.946592</v>
      </c>
    </row>
    <row r="276">
      <c r="A276" s="1" t="s">
        <v>826</v>
      </c>
      <c r="B276" s="1" t="s">
        <v>827</v>
      </c>
      <c r="C276" s="3" t="s">
        <v>95</v>
      </c>
      <c r="D276" s="5"/>
      <c r="E276" s="1" t="str">
        <f>IFERROR(__xludf.DUMMYFUNCTION("IFERROR(REGEXEXTRACT(A276, ""res(269|122)""), ""none"")"),"269")</f>
        <v>269</v>
      </c>
      <c r="F276" s="1">
        <v>-16.467141</v>
      </c>
      <c r="G276" s="1">
        <v>9.0</v>
      </c>
      <c r="H276" s="1">
        <v>1.0</v>
      </c>
      <c r="I276" s="1">
        <v>0.333333</v>
      </c>
      <c r="J276" s="1">
        <v>2.0</v>
      </c>
      <c r="K276" s="1">
        <v>-0.424315999999999</v>
      </c>
      <c r="L276" s="1">
        <v>100.0</v>
      </c>
      <c r="M276" s="1">
        <v>0.0</v>
      </c>
      <c r="N276" s="1">
        <v>0.0</v>
      </c>
      <c r="O276" s="1">
        <v>95.441876</v>
      </c>
    </row>
    <row r="277">
      <c r="A277" s="1" t="s">
        <v>828</v>
      </c>
      <c r="B277" s="1" t="s">
        <v>829</v>
      </c>
      <c r="C277" s="3" t="s">
        <v>95</v>
      </c>
      <c r="D277" s="5"/>
      <c r="E277" s="1" t="str">
        <f>IFERROR(__xludf.DUMMYFUNCTION("IFERROR(REGEXEXTRACT(A277, ""res(269|122)""), ""none"")"),"269")</f>
        <v>269</v>
      </c>
      <c r="F277" s="1">
        <v>-15.535685</v>
      </c>
      <c r="G277" s="1">
        <v>8.0</v>
      </c>
      <c r="H277" s="1">
        <v>2.0</v>
      </c>
      <c r="I277" s="1">
        <v>0.25</v>
      </c>
      <c r="J277" s="1">
        <v>2.0</v>
      </c>
      <c r="K277" s="1">
        <v>-0.527892</v>
      </c>
      <c r="L277" s="1">
        <v>100.0</v>
      </c>
      <c r="M277" s="1">
        <v>0.0</v>
      </c>
      <c r="N277" s="1">
        <v>0.0</v>
      </c>
      <c r="O277" s="1">
        <v>96.186423</v>
      </c>
    </row>
    <row r="278">
      <c r="A278" s="1" t="s">
        <v>830</v>
      </c>
      <c r="B278" s="1" t="s">
        <v>831</v>
      </c>
      <c r="C278" s="3" t="s">
        <v>95</v>
      </c>
      <c r="D278" s="5"/>
      <c r="E278" s="1" t="str">
        <f>IFERROR(__xludf.DUMMYFUNCTION("IFERROR(REGEXEXTRACT(A278, ""res(269|122)""), ""none"")"),"269")</f>
        <v>269</v>
      </c>
      <c r="F278" s="1">
        <v>-15.839717</v>
      </c>
      <c r="G278" s="1">
        <v>6.0</v>
      </c>
      <c r="H278" s="1">
        <v>1.0</v>
      </c>
      <c r="I278" s="1">
        <v>0.5</v>
      </c>
      <c r="J278" s="1">
        <v>2.0</v>
      </c>
      <c r="K278" s="1">
        <v>-0.508068</v>
      </c>
      <c r="L278" s="1">
        <v>100.0</v>
      </c>
      <c r="M278" s="1">
        <v>0.0</v>
      </c>
      <c r="N278" s="1">
        <v>0.0</v>
      </c>
      <c r="O278" s="1">
        <v>93.152215</v>
      </c>
    </row>
    <row r="279">
      <c r="A279" s="1" t="s">
        <v>832</v>
      </c>
      <c r="B279" s="1" t="s">
        <v>833</v>
      </c>
      <c r="C279" s="3" t="s">
        <v>95</v>
      </c>
      <c r="D279" s="5"/>
      <c r="E279" s="1" t="str">
        <f>IFERROR(__xludf.DUMMYFUNCTION("IFERROR(REGEXEXTRACT(A279, ""res(269|122)""), ""none"")"),"269")</f>
        <v>269</v>
      </c>
      <c r="F279" s="1">
        <v>-15.836233</v>
      </c>
      <c r="G279" s="1">
        <v>7.0</v>
      </c>
      <c r="H279" s="1">
        <v>3.0</v>
      </c>
      <c r="I279" s="1">
        <v>0.428571</v>
      </c>
      <c r="J279" s="1">
        <v>2.0</v>
      </c>
      <c r="K279" s="1">
        <v>-0.436698</v>
      </c>
      <c r="L279" s="1">
        <v>100.0</v>
      </c>
      <c r="M279" s="1">
        <v>0.0</v>
      </c>
      <c r="N279" s="1">
        <v>0.0</v>
      </c>
      <c r="O279" s="1">
        <v>96.15564</v>
      </c>
    </row>
    <row r="280">
      <c r="A280" s="1" t="s">
        <v>382</v>
      </c>
      <c r="B280" s="1" t="s">
        <v>180</v>
      </c>
      <c r="C280" s="3" t="s">
        <v>33</v>
      </c>
      <c r="D280" s="3" t="s">
        <v>424</v>
      </c>
      <c r="E280" s="1" t="str">
        <f>IFERROR(__xludf.DUMMYFUNCTION("IFERROR(REGEXEXTRACT(A280, ""res(269|122)""), ""none"")"),"269")</f>
        <v>269</v>
      </c>
      <c r="F280" s="1">
        <v>-15.953649</v>
      </c>
      <c r="G280" s="1">
        <v>12.0</v>
      </c>
      <c r="H280" s="1">
        <v>5.0</v>
      </c>
      <c r="I280" s="1">
        <v>0.416667</v>
      </c>
      <c r="J280" s="1">
        <v>3.0</v>
      </c>
      <c r="K280" s="1">
        <v>-0.584621</v>
      </c>
      <c r="L280" s="1">
        <v>100.0</v>
      </c>
      <c r="M280" s="1">
        <v>0.0</v>
      </c>
      <c r="N280" s="1">
        <v>0.0</v>
      </c>
      <c r="O280" s="1">
        <v>103.878397</v>
      </c>
    </row>
    <row r="281">
      <c r="A281" s="1" t="s">
        <v>383</v>
      </c>
      <c r="B281" s="1" t="s">
        <v>183</v>
      </c>
      <c r="C281" s="3" t="s">
        <v>33</v>
      </c>
      <c r="D281" s="3" t="s">
        <v>425</v>
      </c>
      <c r="E281" s="1" t="str">
        <f>IFERROR(__xludf.DUMMYFUNCTION("IFERROR(REGEXEXTRACT(A281, ""res(269|122)""), ""none"")"),"269")</f>
        <v>269</v>
      </c>
      <c r="F281" s="1">
        <v>-15.953649</v>
      </c>
      <c r="G281" s="1">
        <v>12.0</v>
      </c>
      <c r="H281" s="1">
        <v>5.0</v>
      </c>
      <c r="I281" s="1">
        <v>0.416667</v>
      </c>
      <c r="J281" s="1">
        <v>3.0</v>
      </c>
      <c r="K281" s="1">
        <v>-0.584621</v>
      </c>
      <c r="L281" s="1">
        <v>100.0</v>
      </c>
      <c r="M281" s="1">
        <v>0.0</v>
      </c>
      <c r="N281" s="1">
        <v>0.0</v>
      </c>
      <c r="O281" s="1">
        <v>103.878397</v>
      </c>
    </row>
    <row r="282">
      <c r="A282" s="1" t="s">
        <v>834</v>
      </c>
      <c r="B282" s="1" t="s">
        <v>835</v>
      </c>
      <c r="C282" s="3" t="s">
        <v>95</v>
      </c>
      <c r="D282" s="5"/>
      <c r="E282" s="1" t="str">
        <f>IFERROR(__xludf.DUMMYFUNCTION("IFERROR(REGEXEXTRACT(A282, ""res(269|122)""), ""none"")"),"269")</f>
        <v>269</v>
      </c>
      <c r="F282" s="1">
        <v>-16.225663</v>
      </c>
      <c r="G282" s="1">
        <v>8.0</v>
      </c>
      <c r="H282" s="1">
        <v>2.0</v>
      </c>
      <c r="I282" s="1">
        <v>0.375</v>
      </c>
      <c r="J282" s="1">
        <v>2.0</v>
      </c>
      <c r="K282" s="1">
        <v>-0.720027</v>
      </c>
      <c r="L282" s="1">
        <v>100.0</v>
      </c>
      <c r="M282" s="1">
        <v>0.0</v>
      </c>
      <c r="N282" s="1">
        <v>0.0</v>
      </c>
      <c r="O282" s="1">
        <v>95.42931</v>
      </c>
    </row>
    <row r="283">
      <c r="A283" s="1" t="s">
        <v>836</v>
      </c>
      <c r="B283" s="1" t="s">
        <v>837</v>
      </c>
      <c r="C283" s="3" t="s">
        <v>95</v>
      </c>
      <c r="D283" s="5"/>
      <c r="E283" s="1" t="str">
        <f>IFERROR(__xludf.DUMMYFUNCTION("IFERROR(REGEXEXTRACT(A283, ""res(269|122)""), ""none"")"),"269")</f>
        <v>269</v>
      </c>
      <c r="F283" s="1">
        <v>-15.207792</v>
      </c>
      <c r="G283" s="1">
        <v>10.0</v>
      </c>
      <c r="H283" s="1">
        <v>5.0</v>
      </c>
      <c r="I283" s="1">
        <v>0.5</v>
      </c>
      <c r="J283" s="1">
        <v>2.0</v>
      </c>
      <c r="K283" s="1">
        <v>-0.487261</v>
      </c>
      <c r="L283" s="1">
        <v>100.0</v>
      </c>
      <c r="M283" s="1">
        <v>0.0</v>
      </c>
      <c r="N283" s="1">
        <v>0.0</v>
      </c>
      <c r="O283" s="1">
        <v>101.804947</v>
      </c>
    </row>
    <row r="284">
      <c r="A284" s="1" t="s">
        <v>384</v>
      </c>
      <c r="B284" s="1" t="s">
        <v>385</v>
      </c>
      <c r="C284" s="3" t="s">
        <v>24</v>
      </c>
      <c r="D284" s="3" t="s">
        <v>426</v>
      </c>
      <c r="E284" s="1" t="str">
        <f>IFERROR(__xludf.DUMMYFUNCTION("IFERROR(REGEXEXTRACT(A284, ""res(269|122)""), ""none"")"),"269")</f>
        <v>269</v>
      </c>
      <c r="F284" s="1">
        <v>-15.47128</v>
      </c>
      <c r="G284" s="1">
        <v>8.0</v>
      </c>
      <c r="H284" s="1">
        <v>5.0</v>
      </c>
      <c r="I284" s="1">
        <v>0.5</v>
      </c>
      <c r="J284" s="1">
        <v>2.0</v>
      </c>
      <c r="K284" s="1">
        <v>-0.38008</v>
      </c>
      <c r="L284" s="1">
        <v>100.0</v>
      </c>
      <c r="M284" s="1">
        <v>0.0</v>
      </c>
      <c r="N284" s="1">
        <v>0.0</v>
      </c>
      <c r="O284" s="1">
        <v>99.64864</v>
      </c>
    </row>
    <row r="285">
      <c r="A285" s="1" t="s">
        <v>386</v>
      </c>
      <c r="B285" s="1" t="s">
        <v>185</v>
      </c>
      <c r="C285" s="3" t="s">
        <v>24</v>
      </c>
      <c r="D285" s="3" t="s">
        <v>427</v>
      </c>
      <c r="E285" s="1" t="str">
        <f>IFERROR(__xludf.DUMMYFUNCTION("IFERROR(REGEXEXTRACT(A285, ""res(269|122)""), ""none"")"),"269")</f>
        <v>269</v>
      </c>
      <c r="F285" s="1">
        <v>-15.47128</v>
      </c>
      <c r="G285" s="1">
        <v>8.0</v>
      </c>
      <c r="H285" s="1">
        <v>5.0</v>
      </c>
      <c r="I285" s="1">
        <v>0.5</v>
      </c>
      <c r="J285" s="1">
        <v>2.0</v>
      </c>
      <c r="K285" s="1">
        <v>-0.38008</v>
      </c>
      <c r="L285" s="1">
        <v>100.0</v>
      </c>
      <c r="M285" s="1">
        <v>0.0</v>
      </c>
      <c r="N285" s="1">
        <v>0.0</v>
      </c>
      <c r="O285" s="1">
        <v>99.64864</v>
      </c>
    </row>
    <row r="286">
      <c r="A286" s="1" t="s">
        <v>387</v>
      </c>
      <c r="B286" s="1" t="s">
        <v>388</v>
      </c>
      <c r="C286" s="3" t="s">
        <v>24</v>
      </c>
      <c r="D286" s="5"/>
      <c r="E286" s="1" t="str">
        <f>IFERROR(__xludf.DUMMYFUNCTION("IFERROR(REGEXEXTRACT(A286, ""res(269|122)""), ""none"")"),"269")</f>
        <v>269</v>
      </c>
      <c r="F286" s="1">
        <v>-15.350062</v>
      </c>
      <c r="G286" s="1">
        <v>8.0</v>
      </c>
      <c r="H286" s="1">
        <v>3.0</v>
      </c>
      <c r="I286" s="1">
        <v>0.375</v>
      </c>
      <c r="J286" s="1">
        <v>2.0</v>
      </c>
      <c r="K286" s="1">
        <v>-1.00126</v>
      </c>
      <c r="L286" s="1">
        <v>100.0</v>
      </c>
      <c r="M286" s="1">
        <v>0.0</v>
      </c>
      <c r="N286" s="1">
        <v>0.0</v>
      </c>
      <c r="O286" s="1">
        <v>97.023678</v>
      </c>
    </row>
    <row r="287">
      <c r="A287" s="1" t="s">
        <v>838</v>
      </c>
      <c r="B287" s="1" t="s">
        <v>839</v>
      </c>
      <c r="C287" s="3" t="s">
        <v>95</v>
      </c>
      <c r="D287" s="5"/>
      <c r="E287" s="1" t="str">
        <f>IFERROR(__xludf.DUMMYFUNCTION("IFERROR(REGEXEXTRACT(A287, ""res(269|122)""), ""none"")"),"269")</f>
        <v>269</v>
      </c>
      <c r="F287" s="1">
        <v>-15.388725</v>
      </c>
      <c r="G287" s="1">
        <v>8.0</v>
      </c>
      <c r="H287" s="1">
        <v>2.0</v>
      </c>
      <c r="I287" s="1">
        <v>0.25</v>
      </c>
      <c r="J287" s="1">
        <v>2.0</v>
      </c>
      <c r="K287" s="1">
        <v>-0.538614</v>
      </c>
      <c r="L287" s="1">
        <v>100.0</v>
      </c>
      <c r="M287" s="1">
        <v>0.0</v>
      </c>
      <c r="N287" s="1">
        <v>0.0</v>
      </c>
      <c r="O287" s="1">
        <v>96.322661</v>
      </c>
    </row>
    <row r="288">
      <c r="A288" s="1" t="s">
        <v>840</v>
      </c>
      <c r="B288" s="1" t="s">
        <v>841</v>
      </c>
      <c r="C288" s="3" t="s">
        <v>95</v>
      </c>
      <c r="D288" s="5"/>
      <c r="E288" s="1" t="str">
        <f>IFERROR(__xludf.DUMMYFUNCTION("IFERROR(REGEXEXTRACT(A288, ""res(269|122)""), ""none"")"),"269")</f>
        <v>269</v>
      </c>
      <c r="F288" s="1">
        <v>-15.208228</v>
      </c>
      <c r="G288" s="1">
        <v>7.0</v>
      </c>
      <c r="H288" s="1">
        <v>1.0</v>
      </c>
      <c r="I288" s="1">
        <v>0.285714</v>
      </c>
      <c r="J288" s="1">
        <v>2.0</v>
      </c>
      <c r="K288" s="1">
        <v>-0.319762</v>
      </c>
      <c r="L288" s="1">
        <v>100.0</v>
      </c>
      <c r="M288" s="1">
        <v>0.0</v>
      </c>
      <c r="N288" s="1">
        <v>0.0</v>
      </c>
      <c r="O288" s="1">
        <v>94.757724</v>
      </c>
    </row>
    <row r="289">
      <c r="A289" s="1" t="s">
        <v>842</v>
      </c>
      <c r="B289" s="1" t="s">
        <v>843</v>
      </c>
      <c r="C289" s="3" t="s">
        <v>95</v>
      </c>
      <c r="D289" s="5"/>
      <c r="E289" s="1" t="str">
        <f>IFERROR(__xludf.DUMMYFUNCTION("IFERROR(REGEXEXTRACT(A289, ""res(269|122)""), ""none"")"),"269")</f>
        <v>269</v>
      </c>
      <c r="F289" s="1">
        <v>-15.313395</v>
      </c>
      <c r="G289" s="1">
        <v>8.0</v>
      </c>
      <c r="H289" s="1">
        <v>3.0</v>
      </c>
      <c r="I289" s="1">
        <v>0.25</v>
      </c>
      <c r="J289" s="1">
        <v>2.0</v>
      </c>
      <c r="K289" s="1">
        <v>-0.692413</v>
      </c>
      <c r="L289" s="1">
        <v>100.0</v>
      </c>
      <c r="M289" s="1">
        <v>0.0</v>
      </c>
      <c r="N289" s="1">
        <v>0.0</v>
      </c>
      <c r="O289" s="1">
        <v>97.244192</v>
      </c>
    </row>
    <row r="290">
      <c r="A290" s="1" t="s">
        <v>844</v>
      </c>
      <c r="B290" s="1" t="s">
        <v>845</v>
      </c>
      <c r="C290" s="3" t="s">
        <v>95</v>
      </c>
      <c r="D290" s="5"/>
      <c r="E290" s="1" t="str">
        <f>IFERROR(__xludf.DUMMYFUNCTION("IFERROR(REGEXEXTRACT(A290, ""res(269|122)""), ""none"")"),"269")</f>
        <v>269</v>
      </c>
      <c r="F290" s="1">
        <v>-15.721708</v>
      </c>
      <c r="G290" s="1">
        <v>8.0</v>
      </c>
      <c r="H290" s="1">
        <v>2.0</v>
      </c>
      <c r="I290" s="1">
        <v>0.25</v>
      </c>
      <c r="J290" s="1">
        <v>2.0</v>
      </c>
      <c r="K290" s="1">
        <v>-0.627078</v>
      </c>
      <c r="L290" s="1">
        <v>100.0</v>
      </c>
      <c r="M290" s="1">
        <v>0.0</v>
      </c>
      <c r="N290" s="1">
        <v>0.0</v>
      </c>
      <c r="O290" s="1">
        <v>95.901214</v>
      </c>
    </row>
    <row r="291">
      <c r="A291" s="1" t="s">
        <v>389</v>
      </c>
      <c r="B291" s="1" t="s">
        <v>390</v>
      </c>
      <c r="C291" s="3" t="s">
        <v>24</v>
      </c>
      <c r="D291" s="5"/>
      <c r="E291" s="1" t="str">
        <f>IFERROR(__xludf.DUMMYFUNCTION("IFERROR(REGEXEXTRACT(A291, ""res(269|122)""), ""none"")"),"269")</f>
        <v>269</v>
      </c>
      <c r="F291" s="1">
        <v>-17.013166</v>
      </c>
      <c r="G291" s="1">
        <v>10.0</v>
      </c>
      <c r="H291" s="1">
        <v>3.0</v>
      </c>
      <c r="I291" s="1">
        <v>0.4</v>
      </c>
      <c r="J291" s="1">
        <v>2.0</v>
      </c>
      <c r="K291" s="1">
        <v>-0.429581</v>
      </c>
      <c r="L291" s="1">
        <v>100.0</v>
      </c>
      <c r="M291" s="1">
        <v>0.0</v>
      </c>
      <c r="N291" s="1">
        <v>0.0</v>
      </c>
      <c r="O291" s="1">
        <v>97.957253</v>
      </c>
    </row>
    <row r="292">
      <c r="A292" s="1" t="s">
        <v>846</v>
      </c>
      <c r="B292" s="1" t="s">
        <v>847</v>
      </c>
      <c r="C292" s="3" t="s">
        <v>95</v>
      </c>
      <c r="D292" s="5"/>
      <c r="E292" s="1" t="str">
        <f>IFERROR(__xludf.DUMMYFUNCTION("IFERROR(REGEXEXTRACT(A292, ""res(269|122)""), ""none"")"),"269")</f>
        <v>269</v>
      </c>
      <c r="F292" s="1">
        <v>-15.366705</v>
      </c>
      <c r="G292" s="1">
        <v>8.0</v>
      </c>
      <c r="H292" s="1">
        <v>5.0</v>
      </c>
      <c r="I292" s="1">
        <v>0.375</v>
      </c>
      <c r="J292" s="1">
        <v>2.0</v>
      </c>
      <c r="K292" s="1">
        <v>-1.175689</v>
      </c>
      <c r="L292" s="1">
        <v>100.0</v>
      </c>
      <c r="M292" s="1">
        <v>0.0</v>
      </c>
      <c r="N292" s="1">
        <v>0.0</v>
      </c>
      <c r="O292" s="1">
        <v>98.832606</v>
      </c>
    </row>
    <row r="293">
      <c r="A293" s="1" t="s">
        <v>848</v>
      </c>
      <c r="B293" s="1" t="s">
        <v>849</v>
      </c>
      <c r="C293" s="3" t="s">
        <v>95</v>
      </c>
      <c r="D293" s="5"/>
      <c r="E293" s="1" t="str">
        <f>IFERROR(__xludf.DUMMYFUNCTION("IFERROR(REGEXEXTRACT(A293, ""res(269|122)""), ""none"")"),"269")</f>
        <v>269</v>
      </c>
      <c r="F293" s="1">
        <v>-16.609541</v>
      </c>
      <c r="G293" s="1">
        <v>13.0</v>
      </c>
      <c r="H293" s="1">
        <v>3.0</v>
      </c>
      <c r="I293" s="1">
        <v>0.307692</v>
      </c>
      <c r="J293" s="1">
        <v>2.0</v>
      </c>
      <c r="K293" s="1">
        <v>-0.78753</v>
      </c>
      <c r="L293" s="1">
        <v>100.0</v>
      </c>
      <c r="M293" s="1">
        <v>0.0</v>
      </c>
      <c r="N293" s="1">
        <v>0.0</v>
      </c>
      <c r="O293" s="1">
        <v>100.910621</v>
      </c>
    </row>
    <row r="294">
      <c r="A294" s="1" t="s">
        <v>391</v>
      </c>
      <c r="B294" s="1" t="s">
        <v>392</v>
      </c>
      <c r="C294" s="3" t="s">
        <v>24</v>
      </c>
      <c r="D294" s="5"/>
      <c r="E294" s="1" t="str">
        <f>IFERROR(__xludf.DUMMYFUNCTION("IFERROR(REGEXEXTRACT(A294, ""res(269|122)""), ""none"")"),"269")</f>
        <v>269</v>
      </c>
      <c r="F294" s="1">
        <v>-17.033126</v>
      </c>
      <c r="G294" s="1">
        <v>11.0</v>
      </c>
      <c r="H294" s="1">
        <v>5.0</v>
      </c>
      <c r="I294" s="1">
        <v>0.363636</v>
      </c>
      <c r="J294" s="1">
        <v>2.0</v>
      </c>
      <c r="K294" s="1">
        <v>-1.0082</v>
      </c>
      <c r="L294" s="1">
        <v>100.0</v>
      </c>
      <c r="M294" s="1">
        <v>0.0</v>
      </c>
      <c r="N294" s="1">
        <v>0.0</v>
      </c>
      <c r="O294" s="1">
        <v>100.32231</v>
      </c>
    </row>
    <row r="295">
      <c r="A295" s="1" t="s">
        <v>850</v>
      </c>
      <c r="B295" s="1" t="s">
        <v>851</v>
      </c>
      <c r="C295" s="3" t="s">
        <v>95</v>
      </c>
      <c r="D295" s="5"/>
      <c r="E295" s="1" t="str">
        <f>IFERROR(__xludf.DUMMYFUNCTION("IFERROR(REGEXEXTRACT(A295, ""res(269|122)""), ""none"")"),"269")</f>
        <v>269</v>
      </c>
      <c r="F295" s="1">
        <v>-17.462623</v>
      </c>
      <c r="G295" s="1">
        <v>7.0</v>
      </c>
      <c r="H295" s="1">
        <v>3.0</v>
      </c>
      <c r="I295" s="1">
        <v>0.571429</v>
      </c>
      <c r="J295" s="1">
        <v>2.0</v>
      </c>
      <c r="K295" s="1">
        <v>-0.909463</v>
      </c>
      <c r="L295" s="1">
        <v>100.0</v>
      </c>
      <c r="M295" s="1">
        <v>0.0</v>
      </c>
      <c r="N295" s="1">
        <v>0.0</v>
      </c>
      <c r="O295" s="1">
        <v>94.199343</v>
      </c>
    </row>
    <row r="296">
      <c r="A296" s="1" t="s">
        <v>852</v>
      </c>
      <c r="B296" s="1" t="s">
        <v>853</v>
      </c>
      <c r="C296" s="3" t="s">
        <v>95</v>
      </c>
      <c r="D296" s="5"/>
      <c r="E296" s="1" t="str">
        <f>IFERROR(__xludf.DUMMYFUNCTION("IFERROR(REGEXEXTRACT(A296, ""res(269|122)""), ""none"")"),"269")</f>
        <v>269</v>
      </c>
      <c r="F296" s="1">
        <v>-16.083759</v>
      </c>
      <c r="G296" s="1">
        <v>8.0</v>
      </c>
      <c r="H296" s="1">
        <v>3.0</v>
      </c>
      <c r="I296" s="1">
        <v>0.25</v>
      </c>
      <c r="J296" s="1">
        <v>3.0</v>
      </c>
      <c r="K296" s="1">
        <v>-1.577405</v>
      </c>
      <c r="L296" s="1">
        <v>100.0</v>
      </c>
      <c r="M296" s="1">
        <v>0.0</v>
      </c>
      <c r="N296" s="1">
        <v>0.0</v>
      </c>
      <c r="O296" s="1">
        <v>96.588836</v>
      </c>
    </row>
    <row r="297">
      <c r="A297" s="1" t="s">
        <v>854</v>
      </c>
      <c r="B297" s="1" t="s">
        <v>855</v>
      </c>
      <c r="C297" s="3" t="s">
        <v>95</v>
      </c>
      <c r="D297" s="5"/>
      <c r="E297" s="1" t="str">
        <f>IFERROR(__xludf.DUMMYFUNCTION("IFERROR(REGEXEXTRACT(A297, ""res(269|122)""), ""none"")"),"269")</f>
        <v>269</v>
      </c>
      <c r="F297" s="1">
        <v>-15.73636</v>
      </c>
      <c r="G297" s="1">
        <v>6.0</v>
      </c>
      <c r="H297" s="1">
        <v>3.0</v>
      </c>
      <c r="I297" s="1">
        <v>0.5</v>
      </c>
      <c r="J297" s="1">
        <v>2.0</v>
      </c>
      <c r="K297" s="1">
        <v>-0.341348999999999</v>
      </c>
      <c r="L297" s="1">
        <v>100.0</v>
      </c>
      <c r="M297" s="1">
        <v>0.0</v>
      </c>
      <c r="N297" s="1">
        <v>0.0</v>
      </c>
      <c r="O297" s="1">
        <v>95.422291</v>
      </c>
    </row>
    <row r="298">
      <c r="A298" s="1" t="s">
        <v>856</v>
      </c>
      <c r="B298" s="1" t="s">
        <v>857</v>
      </c>
      <c r="C298" s="3" t="s">
        <v>95</v>
      </c>
      <c r="D298" s="5"/>
      <c r="E298" s="1" t="str">
        <f>IFERROR(__xludf.DUMMYFUNCTION("IFERROR(REGEXEXTRACT(A298, ""res(269|122)""), ""none"")"),"269")</f>
        <v>269</v>
      </c>
      <c r="F298" s="1">
        <v>-15.16839</v>
      </c>
      <c r="G298" s="1">
        <v>10.0</v>
      </c>
      <c r="H298" s="1">
        <v>3.0</v>
      </c>
      <c r="I298" s="1">
        <v>0.4</v>
      </c>
      <c r="J298" s="1">
        <v>2.0</v>
      </c>
      <c r="K298" s="1">
        <v>-1.293499</v>
      </c>
      <c r="L298" s="1">
        <v>100.0</v>
      </c>
      <c r="M298" s="1">
        <v>0.0</v>
      </c>
      <c r="N298" s="1">
        <v>0.0</v>
      </c>
      <c r="O298" s="1">
        <v>98.938111</v>
      </c>
    </row>
    <row r="299">
      <c r="A299" s="1" t="s">
        <v>858</v>
      </c>
      <c r="B299" s="1" t="s">
        <v>859</v>
      </c>
      <c r="C299" s="3" t="s">
        <v>95</v>
      </c>
      <c r="D299" s="5"/>
      <c r="E299" s="1" t="str">
        <f>IFERROR(__xludf.DUMMYFUNCTION("IFERROR(REGEXEXTRACT(A299, ""res(269|122)""), ""none"")"),"269")</f>
        <v>269</v>
      </c>
      <c r="F299" s="1">
        <v>-15.267258</v>
      </c>
      <c r="G299" s="1">
        <v>10.0</v>
      </c>
      <c r="H299" s="1">
        <v>3.0</v>
      </c>
      <c r="I299" s="1">
        <v>0.4</v>
      </c>
      <c r="J299" s="1">
        <v>2.0</v>
      </c>
      <c r="K299" s="1">
        <v>-0.752593</v>
      </c>
      <c r="L299" s="1">
        <v>100.0</v>
      </c>
      <c r="M299" s="1">
        <v>0.0</v>
      </c>
      <c r="N299" s="1">
        <v>0.0</v>
      </c>
      <c r="O299" s="1">
        <v>99.380149</v>
      </c>
    </row>
    <row r="300">
      <c r="A300" s="1" t="s">
        <v>860</v>
      </c>
      <c r="B300" s="1" t="s">
        <v>861</v>
      </c>
      <c r="C300" s="3" t="s">
        <v>95</v>
      </c>
      <c r="D300" s="5"/>
      <c r="E300" s="1" t="str">
        <f>IFERROR(__xludf.DUMMYFUNCTION("IFERROR(REGEXEXTRACT(A300, ""res(269|122)""), ""none"")"),"269")</f>
        <v>269</v>
      </c>
      <c r="F300" s="1">
        <v>-15.466833</v>
      </c>
      <c r="G300" s="1">
        <v>8.0</v>
      </c>
      <c r="H300" s="1">
        <v>3.0</v>
      </c>
      <c r="I300" s="1">
        <v>0.5</v>
      </c>
      <c r="J300" s="1">
        <v>2.0</v>
      </c>
      <c r="K300" s="1">
        <v>-0.908309</v>
      </c>
      <c r="L300" s="1">
        <v>100.0</v>
      </c>
      <c r="M300" s="1">
        <v>0.0</v>
      </c>
      <c r="N300" s="1">
        <v>0.0</v>
      </c>
      <c r="O300" s="1">
        <v>97.124858</v>
      </c>
    </row>
    <row r="301">
      <c r="A301" s="1" t="s">
        <v>862</v>
      </c>
      <c r="B301" s="1" t="s">
        <v>863</v>
      </c>
      <c r="C301" s="3" t="s">
        <v>95</v>
      </c>
      <c r="D301" s="5"/>
      <c r="E301" s="1" t="str">
        <f>IFERROR(__xludf.DUMMYFUNCTION("IFERROR(REGEXEXTRACT(A301, ""res(269|122)""), ""none"")"),"269")</f>
        <v>269</v>
      </c>
      <c r="F301" s="1">
        <v>-15.440269</v>
      </c>
      <c r="G301" s="1">
        <v>9.0</v>
      </c>
      <c r="H301" s="1">
        <v>2.0</v>
      </c>
      <c r="I301" s="1">
        <v>0.333333</v>
      </c>
      <c r="J301" s="1">
        <v>2.0</v>
      </c>
      <c r="K301" s="1">
        <v>-0.877261</v>
      </c>
      <c r="L301" s="1">
        <v>100.0</v>
      </c>
      <c r="M301" s="1">
        <v>0.0</v>
      </c>
      <c r="N301" s="1">
        <v>0.0</v>
      </c>
      <c r="O301" s="1">
        <v>97.015803</v>
      </c>
    </row>
    <row r="302">
      <c r="A302" s="1" t="s">
        <v>864</v>
      </c>
      <c r="B302" s="1" t="s">
        <v>865</v>
      </c>
      <c r="C302" s="3" t="s">
        <v>95</v>
      </c>
      <c r="D302" s="5"/>
      <c r="E302" s="1" t="str">
        <f>IFERROR(__xludf.DUMMYFUNCTION("IFERROR(REGEXEXTRACT(A302, ""res(269|122)""), ""none"")"),"269")</f>
        <v>269</v>
      </c>
      <c r="F302" s="1">
        <v>-15.95213</v>
      </c>
      <c r="G302" s="1">
        <v>10.0</v>
      </c>
      <c r="H302" s="1">
        <v>2.0</v>
      </c>
      <c r="I302" s="1">
        <v>0.3</v>
      </c>
      <c r="J302" s="1">
        <v>3.0</v>
      </c>
      <c r="K302" s="1">
        <v>-0.719791</v>
      </c>
      <c r="L302" s="1">
        <v>100.0</v>
      </c>
      <c r="M302" s="1">
        <v>0.0</v>
      </c>
      <c r="N302" s="1">
        <v>0.0</v>
      </c>
      <c r="O302" s="1">
        <v>98.628079</v>
      </c>
    </row>
    <row r="303">
      <c r="A303" s="1" t="s">
        <v>866</v>
      </c>
      <c r="B303" s="1" t="s">
        <v>867</v>
      </c>
      <c r="C303" s="3" t="s">
        <v>95</v>
      </c>
      <c r="D303" s="5"/>
      <c r="E303" s="1" t="str">
        <f>IFERROR(__xludf.DUMMYFUNCTION("IFERROR(REGEXEXTRACT(A303, ""res(269|122)""), ""none"")"),"269")</f>
        <v>269</v>
      </c>
      <c r="F303" s="1">
        <v>-15.017663</v>
      </c>
      <c r="G303" s="1">
        <v>9.0</v>
      </c>
      <c r="H303" s="1">
        <v>2.0</v>
      </c>
      <c r="I303" s="1">
        <v>0.333333</v>
      </c>
      <c r="J303" s="1">
        <v>2.0</v>
      </c>
      <c r="K303" s="1">
        <v>-0.893776999999999</v>
      </c>
      <c r="L303" s="1">
        <v>100.0</v>
      </c>
      <c r="M303" s="1">
        <v>0.0</v>
      </c>
      <c r="N303" s="1">
        <v>0.0</v>
      </c>
      <c r="O303" s="1">
        <v>97.421893</v>
      </c>
    </row>
    <row r="304">
      <c r="A304" s="1" t="s">
        <v>393</v>
      </c>
      <c r="B304" s="1" t="s">
        <v>394</v>
      </c>
      <c r="C304" s="3" t="s">
        <v>24</v>
      </c>
      <c r="D304" s="5"/>
      <c r="E304" s="1" t="str">
        <f>IFERROR(__xludf.DUMMYFUNCTION("IFERROR(REGEXEXTRACT(A304, ""res(269|122)""), ""none"")"),"269")</f>
        <v>269</v>
      </c>
      <c r="F304" s="1">
        <v>-15.889195</v>
      </c>
      <c r="G304" s="1">
        <v>10.0</v>
      </c>
      <c r="H304" s="1">
        <v>4.0</v>
      </c>
      <c r="I304" s="1">
        <v>0.3</v>
      </c>
      <c r="J304" s="1">
        <v>2.0</v>
      </c>
      <c r="K304" s="1">
        <v>-1.177871</v>
      </c>
      <c r="L304" s="1">
        <v>100.0</v>
      </c>
      <c r="M304" s="1">
        <v>0.0</v>
      </c>
      <c r="N304" s="1">
        <v>0.0</v>
      </c>
      <c r="O304" s="1">
        <v>99.232934</v>
      </c>
    </row>
    <row r="305">
      <c r="A305" s="1" t="s">
        <v>868</v>
      </c>
      <c r="B305" s="1" t="s">
        <v>869</v>
      </c>
      <c r="C305" s="3" t="s">
        <v>95</v>
      </c>
      <c r="D305" s="5"/>
      <c r="E305" s="1" t="str">
        <f>IFERROR(__xludf.DUMMYFUNCTION("IFERROR(REGEXEXTRACT(A305, ""res(269|122)""), ""none"")"),"269")</f>
        <v>269</v>
      </c>
      <c r="F305" s="1">
        <v>-15.798237</v>
      </c>
      <c r="G305" s="1">
        <v>10.0</v>
      </c>
      <c r="H305" s="1">
        <v>5.0</v>
      </c>
      <c r="I305" s="1">
        <v>0.3</v>
      </c>
      <c r="J305" s="1">
        <v>2.0</v>
      </c>
      <c r="K305" s="1">
        <v>-0.411076</v>
      </c>
      <c r="L305" s="1">
        <v>100.0</v>
      </c>
      <c r="M305" s="1">
        <v>0.0</v>
      </c>
      <c r="N305" s="1">
        <v>0.0</v>
      </c>
      <c r="O305" s="1">
        <v>101.090687</v>
      </c>
    </row>
    <row r="306">
      <c r="A306" s="1" t="s">
        <v>870</v>
      </c>
      <c r="B306" s="1" t="s">
        <v>871</v>
      </c>
      <c r="C306" s="3" t="s">
        <v>95</v>
      </c>
      <c r="D306" s="5"/>
      <c r="E306" s="1" t="str">
        <f>IFERROR(__xludf.DUMMYFUNCTION("IFERROR(REGEXEXTRACT(A306, ""res(269|122)""), ""none"")"),"269")</f>
        <v>269</v>
      </c>
      <c r="F306" s="1">
        <v>-16.621533</v>
      </c>
      <c r="G306" s="1">
        <v>7.0</v>
      </c>
      <c r="H306" s="1">
        <v>4.0</v>
      </c>
      <c r="I306" s="1">
        <v>0.285714</v>
      </c>
      <c r="J306" s="1">
        <v>2.0</v>
      </c>
      <c r="K306" s="1">
        <v>-0.270832</v>
      </c>
      <c r="L306" s="1">
        <v>100.0</v>
      </c>
      <c r="M306" s="1">
        <v>0.0</v>
      </c>
      <c r="N306" s="1">
        <v>0.0</v>
      </c>
      <c r="O306" s="1">
        <v>96.393349</v>
      </c>
    </row>
    <row r="307">
      <c r="A307" s="1" t="s">
        <v>872</v>
      </c>
      <c r="B307" s="1" t="s">
        <v>873</v>
      </c>
      <c r="C307" s="3" t="s">
        <v>95</v>
      </c>
      <c r="D307" s="5"/>
      <c r="E307" s="1" t="str">
        <f>IFERROR(__xludf.DUMMYFUNCTION("IFERROR(REGEXEXTRACT(A307, ""res(269|122)""), ""none"")"),"269")</f>
        <v>269</v>
      </c>
      <c r="F307" s="1">
        <v>-16.35205</v>
      </c>
      <c r="G307" s="1">
        <v>8.0</v>
      </c>
      <c r="H307" s="1">
        <v>2.0</v>
      </c>
      <c r="I307" s="1">
        <v>0.25</v>
      </c>
      <c r="J307" s="1">
        <v>2.0</v>
      </c>
      <c r="K307" s="1">
        <v>-0.15387</v>
      </c>
      <c r="L307" s="1">
        <v>100.0</v>
      </c>
      <c r="M307" s="1">
        <v>0.0</v>
      </c>
      <c r="N307" s="1">
        <v>0.0</v>
      </c>
      <c r="O307" s="1">
        <v>95.74408</v>
      </c>
    </row>
    <row r="308">
      <c r="A308" s="1" t="s">
        <v>874</v>
      </c>
      <c r="B308" s="1" t="s">
        <v>875</v>
      </c>
      <c r="C308" s="3" t="s">
        <v>95</v>
      </c>
      <c r="D308" s="5"/>
      <c r="E308" s="1" t="str">
        <f>IFERROR(__xludf.DUMMYFUNCTION("IFERROR(REGEXEXTRACT(A308, ""res(269|122)""), ""none"")"),"269")</f>
        <v>269</v>
      </c>
      <c r="F308" s="1">
        <v>-15.406217</v>
      </c>
      <c r="G308" s="1">
        <v>8.0</v>
      </c>
      <c r="H308" s="1">
        <v>5.0</v>
      </c>
      <c r="I308" s="1">
        <v>0.25</v>
      </c>
      <c r="J308" s="1">
        <v>2.0</v>
      </c>
      <c r="K308" s="1">
        <v>-0.966931</v>
      </c>
      <c r="L308" s="1">
        <v>100.0</v>
      </c>
      <c r="M308" s="1">
        <v>0.0</v>
      </c>
      <c r="N308" s="1">
        <v>0.0</v>
      </c>
      <c r="O308" s="1">
        <v>98.876852</v>
      </c>
    </row>
    <row r="309">
      <c r="A309" s="1" t="s">
        <v>876</v>
      </c>
      <c r="B309" s="1" t="s">
        <v>877</v>
      </c>
      <c r="C309" s="3" t="s">
        <v>95</v>
      </c>
      <c r="D309" s="5"/>
      <c r="E309" s="1" t="str">
        <f>IFERROR(__xludf.DUMMYFUNCTION("IFERROR(REGEXEXTRACT(A309, ""res(269|122)""), ""none"")"),"269")</f>
        <v>269</v>
      </c>
      <c r="F309" s="1">
        <v>-17.556171</v>
      </c>
      <c r="G309" s="1">
        <v>8.0</v>
      </c>
      <c r="H309" s="1">
        <v>3.0</v>
      </c>
      <c r="I309" s="1">
        <v>0.25</v>
      </c>
      <c r="J309" s="1">
        <v>2.0</v>
      </c>
      <c r="K309" s="1">
        <v>-1.35943</v>
      </c>
      <c r="L309" s="1">
        <v>100.0</v>
      </c>
      <c r="M309" s="1">
        <v>0.0</v>
      </c>
      <c r="N309" s="1">
        <v>0.0</v>
      </c>
      <c r="O309" s="1">
        <v>94.334399</v>
      </c>
    </row>
    <row r="310">
      <c r="A310" s="1" t="s">
        <v>878</v>
      </c>
      <c r="B310" s="1" t="s">
        <v>879</v>
      </c>
      <c r="C310" s="3" t="s">
        <v>95</v>
      </c>
      <c r="D310" s="5"/>
      <c r="E310" s="1" t="str">
        <f>IFERROR(__xludf.DUMMYFUNCTION("IFERROR(REGEXEXTRACT(A310, ""res(269|122)""), ""none"")"),"269")</f>
        <v>269</v>
      </c>
      <c r="F310" s="1">
        <v>-15.508555</v>
      </c>
      <c r="G310" s="1">
        <v>11.0</v>
      </c>
      <c r="H310" s="1">
        <v>1.0</v>
      </c>
      <c r="I310" s="1">
        <v>0.272727</v>
      </c>
      <c r="J310" s="1">
        <v>2.0</v>
      </c>
      <c r="K310" s="1">
        <v>-0.8107</v>
      </c>
      <c r="L310" s="1">
        <v>100.0</v>
      </c>
      <c r="M310" s="1">
        <v>0.0</v>
      </c>
      <c r="N310" s="1">
        <v>0.0</v>
      </c>
      <c r="O310" s="1">
        <v>97.953472</v>
      </c>
    </row>
    <row r="311">
      <c r="A311" s="1" t="s">
        <v>880</v>
      </c>
      <c r="B311" s="1" t="s">
        <v>881</v>
      </c>
      <c r="C311" s="3" t="s">
        <v>95</v>
      </c>
      <c r="D311" s="5"/>
      <c r="E311" s="1" t="str">
        <f>IFERROR(__xludf.DUMMYFUNCTION("IFERROR(REGEXEXTRACT(A311, ""res(269|122)""), ""none"")"),"269")</f>
        <v>269</v>
      </c>
      <c r="F311" s="1">
        <v>-16.108989</v>
      </c>
      <c r="G311" s="1">
        <v>9.0</v>
      </c>
      <c r="H311" s="1">
        <v>4.0</v>
      </c>
      <c r="I311" s="1">
        <v>0.333333</v>
      </c>
      <c r="J311" s="1">
        <v>2.0</v>
      </c>
      <c r="K311" s="1">
        <v>-0.91906</v>
      </c>
      <c r="L311" s="1">
        <v>100.0</v>
      </c>
      <c r="M311" s="1">
        <v>0.0</v>
      </c>
      <c r="N311" s="1">
        <v>0.0</v>
      </c>
      <c r="O311" s="1">
        <v>98.305284</v>
      </c>
    </row>
    <row r="312">
      <c r="C312" s="5"/>
      <c r="D312" s="5"/>
    </row>
    <row r="313">
      <c r="C313" s="5"/>
      <c r="D313" s="5"/>
    </row>
    <row r="314">
      <c r="C314" s="5"/>
      <c r="D314" s="5"/>
    </row>
    <row r="315">
      <c r="B315" s="4">
        <f>310 - COUNTIF(C:C,"no")</f>
        <v>84</v>
      </c>
      <c r="C315" s="5"/>
      <c r="D315" s="5"/>
    </row>
    <row r="316">
      <c r="C316" s="5"/>
      <c r="D316" s="5"/>
    </row>
    <row r="317">
      <c r="C317" s="5"/>
      <c r="D317" s="5"/>
    </row>
    <row r="318">
      <c r="C318" s="5"/>
      <c r="D318" s="5"/>
    </row>
    <row r="319">
      <c r="C319" s="5"/>
      <c r="D319" s="5"/>
    </row>
    <row r="320">
      <c r="C320" s="5"/>
      <c r="D320" s="5"/>
    </row>
    <row r="321">
      <c r="C321" s="5"/>
      <c r="D321" s="5"/>
    </row>
    <row r="322">
      <c r="C322" s="5"/>
      <c r="D322" s="5"/>
    </row>
    <row r="323">
      <c r="C323" s="5"/>
      <c r="D323" s="5"/>
    </row>
    <row r="324">
      <c r="C324" s="5"/>
      <c r="D324" s="5"/>
    </row>
    <row r="325">
      <c r="C325" s="5"/>
      <c r="D325" s="5"/>
    </row>
    <row r="326">
      <c r="C326" s="5"/>
      <c r="D326" s="5"/>
    </row>
    <row r="327">
      <c r="C327" s="5"/>
      <c r="D327" s="5"/>
    </row>
    <row r="328">
      <c r="C328" s="5"/>
      <c r="D328" s="5"/>
    </row>
    <row r="329">
      <c r="C329" s="5"/>
      <c r="D329" s="5"/>
    </row>
    <row r="330">
      <c r="C330" s="5"/>
      <c r="D330" s="5"/>
    </row>
    <row r="331">
      <c r="C331" s="5"/>
      <c r="D331" s="5"/>
    </row>
    <row r="332">
      <c r="C332" s="5"/>
      <c r="D332" s="5"/>
    </row>
    <row r="333">
      <c r="C333" s="5"/>
      <c r="D333" s="5"/>
    </row>
    <row r="334">
      <c r="C334" s="5"/>
      <c r="D334" s="5"/>
    </row>
    <row r="335">
      <c r="C335" s="5"/>
      <c r="D335" s="5"/>
    </row>
    <row r="336">
      <c r="C336" s="5"/>
      <c r="D336" s="5"/>
    </row>
    <row r="337">
      <c r="C337" s="5"/>
      <c r="D337" s="5"/>
    </row>
    <row r="338">
      <c r="C338" s="5"/>
      <c r="D338" s="5"/>
    </row>
    <row r="339">
      <c r="C339" s="5"/>
      <c r="D339" s="5"/>
    </row>
    <row r="340">
      <c r="C340" s="5"/>
      <c r="D340" s="5"/>
    </row>
    <row r="341">
      <c r="C341" s="5"/>
      <c r="D341" s="5"/>
    </row>
    <row r="342">
      <c r="C342" s="5"/>
      <c r="D342" s="5"/>
    </row>
    <row r="343">
      <c r="C343" s="5"/>
      <c r="D343" s="5"/>
    </row>
    <row r="344">
      <c r="C344" s="5"/>
      <c r="D344" s="5"/>
    </row>
    <row r="345">
      <c r="C345" s="5"/>
      <c r="D345" s="5"/>
    </row>
    <row r="346">
      <c r="C346" s="5"/>
      <c r="D346" s="5"/>
    </row>
    <row r="347">
      <c r="C347" s="5"/>
      <c r="D347" s="5"/>
    </row>
    <row r="348">
      <c r="C348" s="5"/>
      <c r="D348" s="5"/>
    </row>
    <row r="349">
      <c r="C349" s="5"/>
      <c r="D349" s="5"/>
    </row>
    <row r="350">
      <c r="C350" s="5"/>
      <c r="D350" s="5"/>
    </row>
    <row r="351">
      <c r="C351" s="5"/>
      <c r="D351" s="5"/>
    </row>
    <row r="352">
      <c r="C352" s="5"/>
      <c r="D352" s="5"/>
    </row>
    <row r="353">
      <c r="C353" s="5"/>
      <c r="D353" s="5"/>
    </row>
    <row r="354">
      <c r="C354" s="5"/>
      <c r="D354" s="5"/>
    </row>
    <row r="355">
      <c r="C355" s="5"/>
      <c r="D355" s="5"/>
    </row>
    <row r="356">
      <c r="C356" s="5"/>
      <c r="D356" s="5"/>
    </row>
    <row r="357">
      <c r="C357" s="5"/>
      <c r="D357" s="5"/>
    </row>
    <row r="358">
      <c r="C358" s="5"/>
      <c r="D358" s="5"/>
    </row>
    <row r="359">
      <c r="C359" s="5"/>
      <c r="D359" s="5"/>
    </row>
    <row r="360">
      <c r="C360" s="5"/>
      <c r="D360" s="5"/>
    </row>
    <row r="361">
      <c r="C361" s="5"/>
      <c r="D361" s="5"/>
    </row>
    <row r="362">
      <c r="C362" s="5"/>
      <c r="D362" s="5"/>
    </row>
    <row r="363">
      <c r="C363" s="5"/>
      <c r="D363" s="5"/>
    </row>
    <row r="364">
      <c r="C364" s="5"/>
      <c r="D364" s="5"/>
    </row>
    <row r="365">
      <c r="C365" s="5"/>
      <c r="D365" s="5"/>
    </row>
    <row r="366">
      <c r="C366" s="5"/>
      <c r="D366" s="5"/>
    </row>
    <row r="367">
      <c r="C367" s="5"/>
      <c r="D367" s="5"/>
    </row>
    <row r="368">
      <c r="C368" s="5"/>
      <c r="D368" s="5"/>
    </row>
    <row r="369">
      <c r="C369" s="5"/>
      <c r="D369" s="5"/>
    </row>
    <row r="370">
      <c r="C370" s="5"/>
      <c r="D370" s="5"/>
    </row>
    <row r="371">
      <c r="C371" s="5"/>
      <c r="D371" s="5"/>
    </row>
    <row r="372">
      <c r="C372" s="5"/>
      <c r="D372" s="5"/>
    </row>
    <row r="373">
      <c r="C373" s="5"/>
      <c r="D373" s="5"/>
    </row>
    <row r="374">
      <c r="C374" s="5"/>
      <c r="D374" s="5"/>
    </row>
    <row r="375">
      <c r="C375" s="5"/>
      <c r="D375" s="5"/>
    </row>
    <row r="376">
      <c r="C376" s="5"/>
      <c r="D376" s="5"/>
    </row>
    <row r="377">
      <c r="C377" s="5"/>
      <c r="D377" s="5"/>
    </row>
    <row r="378">
      <c r="C378" s="5"/>
      <c r="D378" s="5"/>
    </row>
    <row r="379">
      <c r="C379" s="5"/>
      <c r="D379" s="5"/>
    </row>
    <row r="380">
      <c r="C380" s="5"/>
      <c r="D380" s="5"/>
    </row>
    <row r="381">
      <c r="C381" s="5"/>
      <c r="D381" s="5"/>
    </row>
    <row r="382">
      <c r="C382" s="5"/>
      <c r="D382" s="5"/>
    </row>
    <row r="383">
      <c r="C383" s="5"/>
      <c r="D383" s="5"/>
    </row>
    <row r="384">
      <c r="C384" s="5"/>
      <c r="D384" s="5"/>
    </row>
    <row r="385">
      <c r="C385" s="5"/>
      <c r="D385" s="5"/>
    </row>
    <row r="386">
      <c r="C386" s="5"/>
      <c r="D386" s="5"/>
    </row>
    <row r="387">
      <c r="C387" s="5"/>
      <c r="D387" s="5"/>
    </row>
    <row r="388">
      <c r="C388" s="5"/>
      <c r="D388" s="5"/>
    </row>
    <row r="389">
      <c r="C389" s="5"/>
      <c r="D389" s="5"/>
    </row>
    <row r="390">
      <c r="C390" s="5"/>
      <c r="D390" s="5"/>
    </row>
    <row r="391">
      <c r="C391" s="5"/>
      <c r="D391" s="5"/>
    </row>
    <row r="392">
      <c r="C392" s="5"/>
      <c r="D392" s="5"/>
    </row>
    <row r="393">
      <c r="C393" s="5"/>
      <c r="D393" s="5"/>
    </row>
    <row r="394">
      <c r="C394" s="5"/>
      <c r="D394" s="5"/>
    </row>
    <row r="395">
      <c r="C395" s="5"/>
      <c r="D395" s="5"/>
    </row>
    <row r="396">
      <c r="C396" s="5"/>
      <c r="D396" s="5"/>
    </row>
    <row r="397">
      <c r="C397" s="5"/>
      <c r="D397" s="5"/>
    </row>
    <row r="398">
      <c r="C398" s="5"/>
      <c r="D398" s="5"/>
    </row>
    <row r="399">
      <c r="C399" s="5"/>
      <c r="D399" s="5"/>
    </row>
    <row r="400">
      <c r="C400" s="5"/>
      <c r="D400" s="5"/>
    </row>
    <row r="401">
      <c r="C401" s="5"/>
      <c r="D401" s="5"/>
    </row>
    <row r="402">
      <c r="C402" s="5"/>
      <c r="D402" s="5"/>
    </row>
    <row r="403">
      <c r="C403" s="5"/>
      <c r="D403" s="5"/>
    </row>
    <row r="404">
      <c r="C404" s="5"/>
      <c r="D404" s="5"/>
    </row>
    <row r="405">
      <c r="C405" s="5"/>
      <c r="D405" s="5"/>
    </row>
    <row r="406">
      <c r="C406" s="5"/>
      <c r="D406" s="5"/>
    </row>
    <row r="407">
      <c r="C407" s="5"/>
      <c r="D407" s="5"/>
    </row>
    <row r="408">
      <c r="C408" s="5"/>
      <c r="D408" s="5"/>
    </row>
    <row r="409">
      <c r="C409" s="5"/>
      <c r="D409" s="5"/>
    </row>
    <row r="410">
      <c r="C410" s="5"/>
      <c r="D410" s="5"/>
    </row>
    <row r="411">
      <c r="C411" s="5"/>
      <c r="D411" s="5"/>
    </row>
    <row r="412">
      <c r="C412" s="5"/>
      <c r="D412" s="5"/>
    </row>
    <row r="413">
      <c r="C413" s="5"/>
      <c r="D413" s="5"/>
    </row>
    <row r="414">
      <c r="C414" s="5"/>
      <c r="D414" s="5"/>
    </row>
    <row r="415">
      <c r="C415" s="5"/>
      <c r="D415" s="5"/>
    </row>
    <row r="416">
      <c r="C416" s="5"/>
      <c r="D416" s="5"/>
    </row>
    <row r="417">
      <c r="C417" s="5"/>
      <c r="D417" s="5"/>
    </row>
    <row r="418">
      <c r="C418" s="5"/>
      <c r="D418" s="5"/>
    </row>
    <row r="419">
      <c r="C419" s="5"/>
      <c r="D419" s="5"/>
    </row>
    <row r="420">
      <c r="C420" s="5"/>
      <c r="D420" s="5"/>
    </row>
    <row r="421">
      <c r="C421" s="5"/>
      <c r="D421" s="5"/>
    </row>
    <row r="422">
      <c r="C422" s="5"/>
      <c r="D422" s="5"/>
    </row>
    <row r="423">
      <c r="C423" s="5"/>
      <c r="D423" s="5"/>
    </row>
    <row r="424">
      <c r="C424" s="5"/>
      <c r="D424" s="5"/>
    </row>
    <row r="425">
      <c r="C425" s="5"/>
      <c r="D425" s="5"/>
    </row>
    <row r="426">
      <c r="C426" s="5"/>
      <c r="D426" s="5"/>
    </row>
    <row r="427">
      <c r="C427" s="5"/>
      <c r="D427" s="5"/>
    </row>
    <row r="428">
      <c r="C428" s="5"/>
      <c r="D428" s="5"/>
    </row>
    <row r="429">
      <c r="C429" s="5"/>
      <c r="D429" s="5"/>
    </row>
    <row r="430">
      <c r="C430" s="5"/>
      <c r="D430" s="5"/>
    </row>
    <row r="431">
      <c r="C431" s="5"/>
      <c r="D431" s="5"/>
    </row>
    <row r="432">
      <c r="C432" s="5"/>
      <c r="D432" s="5"/>
    </row>
    <row r="433">
      <c r="C433" s="5"/>
      <c r="D433" s="5"/>
    </row>
    <row r="434">
      <c r="C434" s="5"/>
      <c r="D434" s="5"/>
    </row>
    <row r="435">
      <c r="C435" s="5"/>
      <c r="D435" s="5"/>
    </row>
    <row r="436">
      <c r="C436" s="5"/>
      <c r="D436" s="5"/>
    </row>
    <row r="437">
      <c r="C437" s="5"/>
      <c r="D437" s="5"/>
    </row>
    <row r="438">
      <c r="C438" s="5"/>
      <c r="D438" s="5"/>
    </row>
    <row r="439">
      <c r="C439" s="5"/>
      <c r="D439" s="5"/>
    </row>
    <row r="440">
      <c r="C440" s="5"/>
      <c r="D440" s="5"/>
    </row>
    <row r="441">
      <c r="C441" s="5"/>
      <c r="D441" s="5"/>
    </row>
    <row r="442">
      <c r="C442" s="5"/>
      <c r="D442" s="5"/>
    </row>
    <row r="443">
      <c r="C443" s="5"/>
      <c r="D443" s="5"/>
    </row>
    <row r="444">
      <c r="C444" s="5"/>
      <c r="D444" s="5"/>
    </row>
    <row r="445">
      <c r="C445" s="5"/>
      <c r="D445" s="5"/>
    </row>
    <row r="446">
      <c r="C446" s="5"/>
      <c r="D446" s="5"/>
    </row>
    <row r="447">
      <c r="C447" s="5"/>
      <c r="D447" s="5"/>
    </row>
    <row r="448">
      <c r="C448" s="5"/>
      <c r="D448" s="5"/>
    </row>
    <row r="449">
      <c r="C449" s="5"/>
      <c r="D449" s="5"/>
    </row>
    <row r="450">
      <c r="C450" s="5"/>
      <c r="D450" s="5"/>
    </row>
    <row r="451">
      <c r="C451" s="5"/>
      <c r="D451" s="5"/>
    </row>
    <row r="452">
      <c r="C452" s="5"/>
      <c r="D452" s="5"/>
    </row>
    <row r="453">
      <c r="C453" s="5"/>
      <c r="D453" s="5"/>
    </row>
    <row r="454">
      <c r="C454" s="5"/>
      <c r="D454" s="5"/>
    </row>
    <row r="455">
      <c r="C455" s="5"/>
      <c r="D455" s="5"/>
    </row>
    <row r="456">
      <c r="C456" s="5"/>
      <c r="D456" s="5"/>
    </row>
    <row r="457">
      <c r="C457" s="5"/>
      <c r="D457" s="5"/>
    </row>
    <row r="458">
      <c r="C458" s="5"/>
      <c r="D458" s="5"/>
    </row>
    <row r="459">
      <c r="C459" s="5"/>
      <c r="D459" s="5"/>
    </row>
    <row r="460">
      <c r="C460" s="5"/>
      <c r="D460" s="5"/>
    </row>
    <row r="461">
      <c r="C461" s="5"/>
      <c r="D461" s="5"/>
    </row>
    <row r="462">
      <c r="C462" s="5"/>
      <c r="D462" s="5"/>
    </row>
    <row r="463">
      <c r="C463" s="5"/>
      <c r="D463" s="5"/>
    </row>
    <row r="464">
      <c r="C464" s="5"/>
      <c r="D464" s="5"/>
    </row>
    <row r="465">
      <c r="C465" s="5"/>
      <c r="D465" s="5"/>
    </row>
    <row r="466">
      <c r="C466" s="5"/>
      <c r="D466" s="5"/>
    </row>
    <row r="467">
      <c r="C467" s="5"/>
      <c r="D467" s="5"/>
    </row>
    <row r="468">
      <c r="C468" s="5"/>
      <c r="D468" s="5"/>
    </row>
    <row r="469">
      <c r="C469" s="5"/>
      <c r="D469" s="5"/>
    </row>
    <row r="470">
      <c r="C470" s="5"/>
      <c r="D470" s="5"/>
    </row>
    <row r="471">
      <c r="C471" s="5"/>
      <c r="D471" s="5"/>
    </row>
    <row r="472">
      <c r="C472" s="5"/>
      <c r="D472" s="5"/>
    </row>
    <row r="473">
      <c r="C473" s="5"/>
      <c r="D473" s="5"/>
    </row>
    <row r="474">
      <c r="C474" s="5"/>
      <c r="D474" s="5"/>
    </row>
    <row r="475">
      <c r="C475" s="5"/>
      <c r="D475" s="5"/>
    </row>
    <row r="476">
      <c r="C476" s="5"/>
      <c r="D476" s="5"/>
    </row>
    <row r="477">
      <c r="C477" s="5"/>
      <c r="D477" s="5"/>
    </row>
    <row r="478">
      <c r="C478" s="5"/>
      <c r="D478" s="5"/>
    </row>
    <row r="479">
      <c r="C479" s="5"/>
      <c r="D479" s="5"/>
    </row>
    <row r="480">
      <c r="C480" s="5"/>
      <c r="D480" s="5"/>
    </row>
    <row r="481">
      <c r="C481" s="5"/>
      <c r="D481" s="5"/>
    </row>
    <row r="482">
      <c r="C482" s="5"/>
      <c r="D482" s="5"/>
    </row>
    <row r="483">
      <c r="C483" s="5"/>
      <c r="D483" s="5"/>
    </row>
    <row r="484">
      <c r="C484" s="5"/>
      <c r="D484" s="5"/>
    </row>
    <row r="485">
      <c r="C485" s="5"/>
      <c r="D485" s="5"/>
    </row>
    <row r="486">
      <c r="C486" s="5"/>
      <c r="D486" s="5"/>
    </row>
    <row r="487">
      <c r="C487" s="5"/>
      <c r="D487" s="5"/>
    </row>
    <row r="488">
      <c r="C488" s="5"/>
      <c r="D488" s="5"/>
    </row>
    <row r="489">
      <c r="C489" s="5"/>
      <c r="D489" s="5"/>
    </row>
    <row r="490">
      <c r="C490" s="5"/>
      <c r="D490" s="5"/>
    </row>
    <row r="491">
      <c r="C491" s="5"/>
      <c r="D491" s="5"/>
    </row>
    <row r="492">
      <c r="C492" s="5"/>
      <c r="D492" s="5"/>
    </row>
    <row r="493">
      <c r="C493" s="5"/>
      <c r="D493" s="5"/>
    </row>
    <row r="494">
      <c r="C494" s="5"/>
      <c r="D494" s="5"/>
    </row>
    <row r="495">
      <c r="C495" s="5"/>
      <c r="D495" s="5"/>
    </row>
    <row r="496">
      <c r="C496" s="5"/>
      <c r="D496" s="5"/>
    </row>
    <row r="497">
      <c r="C497" s="5"/>
      <c r="D497" s="5"/>
    </row>
    <row r="498">
      <c r="C498" s="5"/>
      <c r="D498" s="5"/>
    </row>
    <row r="499">
      <c r="C499" s="5"/>
      <c r="D499" s="5"/>
    </row>
    <row r="500">
      <c r="C500" s="5"/>
      <c r="D500" s="5"/>
    </row>
    <row r="501">
      <c r="C501" s="5"/>
      <c r="D501" s="5"/>
    </row>
    <row r="502">
      <c r="C502" s="5"/>
      <c r="D502" s="5"/>
    </row>
    <row r="503">
      <c r="C503" s="5"/>
      <c r="D503" s="5"/>
    </row>
    <row r="504">
      <c r="C504" s="5"/>
      <c r="D504" s="5"/>
    </row>
    <row r="505">
      <c r="C505" s="5"/>
      <c r="D505" s="5"/>
    </row>
    <row r="506">
      <c r="C506" s="5"/>
      <c r="D506" s="5"/>
    </row>
    <row r="507">
      <c r="C507" s="5"/>
      <c r="D507" s="5"/>
    </row>
    <row r="508">
      <c r="C508" s="5"/>
      <c r="D508" s="5"/>
    </row>
    <row r="509">
      <c r="C509" s="5"/>
      <c r="D509" s="5"/>
    </row>
    <row r="510">
      <c r="C510" s="5"/>
      <c r="D510" s="5"/>
    </row>
    <row r="511">
      <c r="C511" s="5"/>
      <c r="D511" s="5"/>
    </row>
    <row r="512">
      <c r="C512" s="5"/>
      <c r="D512" s="5"/>
    </row>
    <row r="513">
      <c r="C513" s="5"/>
      <c r="D513" s="5"/>
    </row>
    <row r="514">
      <c r="C514" s="5"/>
      <c r="D514" s="5"/>
    </row>
    <row r="515">
      <c r="C515" s="5"/>
      <c r="D515" s="5"/>
    </row>
    <row r="516">
      <c r="C516" s="5"/>
      <c r="D516" s="5"/>
    </row>
    <row r="517">
      <c r="C517" s="5"/>
      <c r="D517" s="5"/>
    </row>
    <row r="518">
      <c r="C518" s="5"/>
      <c r="D518" s="5"/>
    </row>
    <row r="519">
      <c r="C519" s="5"/>
      <c r="D519" s="5"/>
    </row>
    <row r="520">
      <c r="C520" s="5"/>
      <c r="D520" s="5"/>
    </row>
    <row r="521">
      <c r="C521" s="5"/>
      <c r="D521" s="5"/>
    </row>
    <row r="522">
      <c r="C522" s="5"/>
      <c r="D522" s="5"/>
    </row>
    <row r="523">
      <c r="C523" s="5"/>
      <c r="D523" s="5"/>
    </row>
    <row r="524">
      <c r="C524" s="5"/>
      <c r="D524" s="5"/>
    </row>
    <row r="525">
      <c r="C525" s="5"/>
      <c r="D525" s="5"/>
    </row>
    <row r="526">
      <c r="C526" s="5"/>
      <c r="D526" s="5"/>
    </row>
    <row r="527">
      <c r="C527" s="5"/>
      <c r="D527" s="5"/>
    </row>
    <row r="528">
      <c r="C528" s="5"/>
      <c r="D528" s="5"/>
    </row>
    <row r="529">
      <c r="C529" s="5"/>
      <c r="D529" s="5"/>
    </row>
    <row r="530">
      <c r="C530" s="5"/>
      <c r="D530" s="5"/>
    </row>
    <row r="531">
      <c r="C531" s="5"/>
      <c r="D531" s="5"/>
    </row>
    <row r="532">
      <c r="C532" s="5"/>
      <c r="D532" s="5"/>
    </row>
    <row r="533">
      <c r="C533" s="5"/>
      <c r="D533" s="5"/>
    </row>
    <row r="534">
      <c r="C534" s="5"/>
      <c r="D534" s="5"/>
    </row>
    <row r="535">
      <c r="C535" s="5"/>
      <c r="D535" s="5"/>
    </row>
    <row r="536">
      <c r="C536" s="5"/>
      <c r="D536" s="5"/>
    </row>
    <row r="537">
      <c r="C537" s="5"/>
      <c r="D537" s="5"/>
    </row>
    <row r="538">
      <c r="C538" s="5"/>
      <c r="D538" s="5"/>
    </row>
    <row r="539">
      <c r="C539" s="5"/>
      <c r="D539" s="5"/>
    </row>
    <row r="540">
      <c r="C540" s="5"/>
      <c r="D540" s="5"/>
    </row>
    <row r="541">
      <c r="C541" s="5"/>
      <c r="D541" s="5"/>
    </row>
    <row r="542">
      <c r="C542" s="5"/>
      <c r="D542" s="5"/>
    </row>
    <row r="543">
      <c r="C543" s="5"/>
      <c r="D543" s="5"/>
    </row>
    <row r="544">
      <c r="C544" s="5"/>
      <c r="D544" s="5"/>
    </row>
    <row r="545">
      <c r="C545" s="5"/>
      <c r="D545" s="5"/>
    </row>
    <row r="546">
      <c r="C546" s="5"/>
      <c r="D546" s="5"/>
    </row>
    <row r="547">
      <c r="C547" s="5"/>
      <c r="D547" s="5"/>
    </row>
    <row r="548">
      <c r="C548" s="5"/>
      <c r="D548" s="5"/>
    </row>
    <row r="549">
      <c r="C549" s="5"/>
      <c r="D549" s="5"/>
    </row>
    <row r="550">
      <c r="C550" s="5"/>
      <c r="D550" s="5"/>
    </row>
    <row r="551">
      <c r="C551" s="5"/>
      <c r="D551" s="5"/>
    </row>
    <row r="552">
      <c r="C552" s="5"/>
      <c r="D552" s="5"/>
    </row>
    <row r="553">
      <c r="C553" s="5"/>
      <c r="D553" s="5"/>
    </row>
    <row r="554">
      <c r="C554" s="5"/>
      <c r="D554" s="5"/>
    </row>
    <row r="555">
      <c r="C555" s="5"/>
      <c r="D555" s="5"/>
    </row>
    <row r="556">
      <c r="C556" s="5"/>
      <c r="D556" s="5"/>
    </row>
    <row r="557">
      <c r="C557" s="5"/>
      <c r="D557" s="5"/>
    </row>
    <row r="558">
      <c r="C558" s="5"/>
      <c r="D558" s="5"/>
    </row>
    <row r="559">
      <c r="C559" s="5"/>
      <c r="D559" s="5"/>
    </row>
    <row r="560">
      <c r="C560" s="5"/>
      <c r="D560" s="5"/>
    </row>
    <row r="561">
      <c r="C561" s="5"/>
      <c r="D561" s="5"/>
    </row>
    <row r="562">
      <c r="C562" s="5"/>
      <c r="D562" s="5"/>
    </row>
    <row r="563">
      <c r="C563" s="5"/>
      <c r="D563" s="5"/>
    </row>
    <row r="564">
      <c r="C564" s="5"/>
      <c r="D564" s="5"/>
    </row>
    <row r="565">
      <c r="C565" s="5"/>
      <c r="D565" s="5"/>
    </row>
    <row r="566">
      <c r="C566" s="5"/>
      <c r="D566" s="5"/>
    </row>
    <row r="567">
      <c r="C567" s="5"/>
      <c r="D567" s="5"/>
    </row>
    <row r="568">
      <c r="C568" s="5"/>
      <c r="D568" s="5"/>
    </row>
    <row r="569">
      <c r="C569" s="5"/>
      <c r="D569" s="5"/>
    </row>
    <row r="570">
      <c r="C570" s="5"/>
      <c r="D570" s="5"/>
    </row>
    <row r="571">
      <c r="C571" s="5"/>
      <c r="D571" s="5"/>
    </row>
    <row r="572">
      <c r="C572" s="5"/>
      <c r="D572" s="5"/>
    </row>
    <row r="573">
      <c r="C573" s="5"/>
      <c r="D573" s="5"/>
    </row>
    <row r="574">
      <c r="C574" s="5"/>
      <c r="D574" s="5"/>
    </row>
    <row r="575">
      <c r="C575" s="5"/>
      <c r="D575" s="5"/>
    </row>
    <row r="576">
      <c r="C576" s="5"/>
      <c r="D576" s="5"/>
    </row>
    <row r="577">
      <c r="C577" s="5"/>
      <c r="D577" s="5"/>
    </row>
    <row r="578">
      <c r="C578" s="5"/>
      <c r="D578" s="5"/>
    </row>
    <row r="579">
      <c r="C579" s="5"/>
      <c r="D579" s="5"/>
    </row>
    <row r="580">
      <c r="C580" s="5"/>
      <c r="D580" s="5"/>
    </row>
    <row r="581">
      <c r="C581" s="5"/>
      <c r="D581" s="5"/>
    </row>
    <row r="582">
      <c r="C582" s="5"/>
      <c r="D582" s="5"/>
    </row>
    <row r="583">
      <c r="C583" s="5"/>
      <c r="D583" s="5"/>
    </row>
    <row r="584">
      <c r="C584" s="5"/>
      <c r="D584" s="5"/>
    </row>
    <row r="585">
      <c r="C585" s="5"/>
      <c r="D585" s="5"/>
    </row>
    <row r="586">
      <c r="C586" s="5"/>
      <c r="D586" s="5"/>
    </row>
    <row r="587">
      <c r="C587" s="5"/>
      <c r="D587" s="5"/>
    </row>
    <row r="588">
      <c r="C588" s="5"/>
      <c r="D588" s="5"/>
    </row>
    <row r="589">
      <c r="C589" s="5"/>
      <c r="D589" s="5"/>
    </row>
    <row r="590">
      <c r="C590" s="5"/>
      <c r="D590" s="5"/>
    </row>
    <row r="591">
      <c r="C591" s="5"/>
      <c r="D591" s="5"/>
    </row>
    <row r="592">
      <c r="C592" s="5"/>
      <c r="D592" s="5"/>
    </row>
    <row r="593">
      <c r="C593" s="5"/>
      <c r="D593" s="5"/>
    </row>
    <row r="594">
      <c r="C594" s="5"/>
      <c r="D594" s="5"/>
    </row>
    <row r="595">
      <c r="C595" s="5"/>
      <c r="D595" s="5"/>
    </row>
    <row r="596">
      <c r="C596" s="5"/>
      <c r="D596" s="5"/>
    </row>
    <row r="597">
      <c r="C597" s="5"/>
      <c r="D597" s="5"/>
    </row>
    <row r="598">
      <c r="C598" s="5"/>
      <c r="D598" s="5"/>
    </row>
    <row r="599">
      <c r="C599" s="5"/>
      <c r="D599" s="5"/>
    </row>
    <row r="600">
      <c r="C600" s="5"/>
      <c r="D600" s="5"/>
    </row>
    <row r="601">
      <c r="C601" s="5"/>
      <c r="D601" s="5"/>
    </row>
    <row r="602">
      <c r="C602" s="5"/>
      <c r="D602" s="5"/>
    </row>
    <row r="603">
      <c r="C603" s="5"/>
      <c r="D603" s="5"/>
    </row>
    <row r="604">
      <c r="C604" s="5"/>
      <c r="D604" s="5"/>
    </row>
    <row r="605">
      <c r="C605" s="5"/>
      <c r="D605" s="5"/>
    </row>
    <row r="606">
      <c r="C606" s="5"/>
      <c r="D606" s="5"/>
    </row>
    <row r="607">
      <c r="C607" s="5"/>
      <c r="D607" s="5"/>
    </row>
    <row r="608">
      <c r="C608" s="5"/>
      <c r="D608" s="5"/>
    </row>
    <row r="609">
      <c r="C609" s="5"/>
      <c r="D609" s="5"/>
    </row>
    <row r="610">
      <c r="C610" s="5"/>
      <c r="D610" s="5"/>
    </row>
    <row r="611">
      <c r="C611" s="5"/>
      <c r="D611" s="5"/>
    </row>
    <row r="612">
      <c r="C612" s="5"/>
      <c r="D612" s="5"/>
    </row>
    <row r="613">
      <c r="C613" s="5"/>
      <c r="D613" s="5"/>
    </row>
    <row r="614">
      <c r="C614" s="5"/>
      <c r="D614" s="5"/>
    </row>
    <row r="615">
      <c r="C615" s="5"/>
      <c r="D615" s="5"/>
    </row>
    <row r="616">
      <c r="C616" s="5"/>
      <c r="D616" s="5"/>
    </row>
    <row r="617">
      <c r="C617" s="5"/>
      <c r="D617" s="5"/>
    </row>
    <row r="618">
      <c r="C618" s="5"/>
      <c r="D618" s="5"/>
    </row>
    <row r="619">
      <c r="C619" s="5"/>
      <c r="D619" s="5"/>
    </row>
    <row r="620">
      <c r="C620" s="5"/>
      <c r="D620" s="5"/>
    </row>
    <row r="621">
      <c r="C621" s="5"/>
      <c r="D621" s="5"/>
    </row>
    <row r="622">
      <c r="C622" s="5"/>
      <c r="D622" s="5"/>
    </row>
    <row r="623">
      <c r="C623" s="5"/>
      <c r="D623" s="5"/>
    </row>
    <row r="624">
      <c r="C624" s="5"/>
      <c r="D624" s="5"/>
    </row>
    <row r="625">
      <c r="C625" s="5"/>
      <c r="D625" s="5"/>
    </row>
    <row r="626">
      <c r="C626" s="5"/>
      <c r="D626" s="5"/>
    </row>
    <row r="627">
      <c r="C627" s="5"/>
      <c r="D627" s="5"/>
    </row>
    <row r="628">
      <c r="C628" s="5"/>
      <c r="D628" s="5"/>
    </row>
    <row r="629">
      <c r="C629" s="5"/>
      <c r="D629" s="5"/>
    </row>
    <row r="630">
      <c r="C630" s="5"/>
      <c r="D630" s="5"/>
    </row>
    <row r="631">
      <c r="C631" s="5"/>
      <c r="D631" s="5"/>
    </row>
    <row r="632">
      <c r="C632" s="5"/>
      <c r="D632" s="5"/>
    </row>
    <row r="633">
      <c r="C633" s="5"/>
      <c r="D633" s="5"/>
    </row>
    <row r="634">
      <c r="C634" s="5"/>
      <c r="D634" s="5"/>
    </row>
    <row r="635">
      <c r="C635" s="5"/>
      <c r="D635" s="5"/>
    </row>
    <row r="636">
      <c r="C636" s="5"/>
      <c r="D636" s="5"/>
    </row>
    <row r="637">
      <c r="C637" s="5"/>
      <c r="D637" s="5"/>
    </row>
    <row r="638">
      <c r="C638" s="5"/>
      <c r="D638" s="5"/>
    </row>
    <row r="639">
      <c r="C639" s="5"/>
      <c r="D639" s="5"/>
    </row>
    <row r="640">
      <c r="C640" s="5"/>
      <c r="D640" s="5"/>
    </row>
    <row r="641">
      <c r="C641" s="5"/>
      <c r="D641" s="5"/>
    </row>
    <row r="642">
      <c r="C642" s="5"/>
      <c r="D642" s="5"/>
    </row>
    <row r="643">
      <c r="C643" s="5"/>
      <c r="D643" s="5"/>
    </row>
    <row r="644">
      <c r="C644" s="5"/>
      <c r="D644" s="5"/>
    </row>
    <row r="645">
      <c r="C645" s="5"/>
      <c r="D645" s="5"/>
    </row>
    <row r="646">
      <c r="C646" s="5"/>
      <c r="D646" s="5"/>
    </row>
    <row r="647">
      <c r="C647" s="5"/>
      <c r="D647" s="5"/>
    </row>
    <row r="648">
      <c r="C648" s="5"/>
      <c r="D648" s="5"/>
    </row>
    <row r="649">
      <c r="C649" s="5"/>
      <c r="D649" s="5"/>
    </row>
    <row r="650">
      <c r="C650" s="5"/>
      <c r="D650" s="5"/>
    </row>
    <row r="651">
      <c r="C651" s="5"/>
      <c r="D651" s="5"/>
    </row>
    <row r="652">
      <c r="C652" s="5"/>
      <c r="D652" s="5"/>
    </row>
    <row r="653">
      <c r="C653" s="5"/>
      <c r="D653" s="5"/>
    </row>
    <row r="654">
      <c r="C654" s="5"/>
      <c r="D654" s="5"/>
    </row>
    <row r="655">
      <c r="C655" s="5"/>
      <c r="D655" s="5"/>
    </row>
    <row r="656">
      <c r="C656" s="5"/>
      <c r="D656" s="5"/>
    </row>
    <row r="657">
      <c r="C657" s="5"/>
      <c r="D657" s="5"/>
    </row>
    <row r="658">
      <c r="C658" s="5"/>
      <c r="D658" s="5"/>
    </row>
    <row r="659">
      <c r="C659" s="5"/>
      <c r="D659" s="5"/>
    </row>
    <row r="660">
      <c r="C660" s="5"/>
      <c r="D660" s="5"/>
    </row>
    <row r="661">
      <c r="C661" s="5"/>
      <c r="D661" s="5"/>
    </row>
    <row r="662">
      <c r="C662" s="5"/>
      <c r="D662" s="5"/>
    </row>
    <row r="663">
      <c r="C663" s="5"/>
      <c r="D663" s="5"/>
    </row>
    <row r="664">
      <c r="C664" s="5"/>
      <c r="D664" s="5"/>
    </row>
    <row r="665">
      <c r="C665" s="5"/>
      <c r="D665" s="5"/>
    </row>
    <row r="666">
      <c r="C666" s="5"/>
      <c r="D666" s="5"/>
    </row>
    <row r="667">
      <c r="C667" s="5"/>
      <c r="D667" s="5"/>
    </row>
    <row r="668">
      <c r="C668" s="5"/>
      <c r="D668" s="5"/>
    </row>
    <row r="669">
      <c r="C669" s="5"/>
      <c r="D669" s="5"/>
    </row>
    <row r="670">
      <c r="C670" s="5"/>
      <c r="D670" s="5"/>
    </row>
    <row r="671">
      <c r="C671" s="5"/>
      <c r="D671" s="5"/>
    </row>
    <row r="672">
      <c r="C672" s="5"/>
      <c r="D672" s="5"/>
    </row>
    <row r="673">
      <c r="C673" s="5"/>
      <c r="D673" s="5"/>
    </row>
    <row r="674">
      <c r="C674" s="5"/>
      <c r="D674" s="5"/>
    </row>
    <row r="675">
      <c r="C675" s="5"/>
      <c r="D675" s="5"/>
    </row>
    <row r="676">
      <c r="C676" s="5"/>
      <c r="D676" s="5"/>
    </row>
    <row r="677">
      <c r="C677" s="5"/>
      <c r="D677" s="5"/>
    </row>
    <row r="678">
      <c r="C678" s="5"/>
      <c r="D678" s="5"/>
    </row>
    <row r="679">
      <c r="C679" s="5"/>
      <c r="D679" s="5"/>
    </row>
    <row r="680">
      <c r="C680" s="5"/>
      <c r="D680" s="5"/>
    </row>
    <row r="681">
      <c r="C681" s="5"/>
      <c r="D681" s="5"/>
    </row>
    <row r="682">
      <c r="C682" s="5"/>
      <c r="D682" s="5"/>
    </row>
    <row r="683">
      <c r="C683" s="5"/>
      <c r="D683" s="5"/>
    </row>
    <row r="684">
      <c r="C684" s="5"/>
      <c r="D684" s="5"/>
    </row>
    <row r="685">
      <c r="C685" s="5"/>
      <c r="D685" s="5"/>
    </row>
    <row r="686">
      <c r="C686" s="5"/>
      <c r="D686" s="5"/>
    </row>
    <row r="687">
      <c r="C687" s="5"/>
      <c r="D687" s="5"/>
    </row>
    <row r="688">
      <c r="C688" s="5"/>
      <c r="D688" s="5"/>
    </row>
    <row r="689">
      <c r="C689" s="5"/>
      <c r="D689" s="5"/>
    </row>
    <row r="690">
      <c r="C690" s="5"/>
      <c r="D690" s="5"/>
    </row>
  </sheetData>
  <conditionalFormatting sqref="C1:C690">
    <cfRule type="containsText" dxfId="0" priority="1" operator="containsText" text="yes">
      <formula>NOT(ISERROR(SEARCH(("yes"),(C1))))</formula>
    </cfRule>
  </conditionalFormatting>
  <conditionalFormatting sqref="C1:C690">
    <cfRule type="containsText" dxfId="1" priority="2" operator="containsText" text="decent">
      <formula>NOT(ISERROR(SEARCH(("decent"),(C1))))</formula>
    </cfRule>
  </conditionalFormatting>
  <conditionalFormatting sqref="C1:C690">
    <cfRule type="containsText" dxfId="2" priority="3" operator="containsText" text="maybe">
      <formula>NOT(ISERROR(SEARCH(("maybe"),(C1))))</formula>
    </cfRule>
  </conditionalFormatting>
  <conditionalFormatting sqref="C1:C690">
    <cfRule type="containsText" dxfId="3" priority="4" operator="containsText" text="no">
      <formula>NOT(ISERROR(SEARCH(("no"),(C1))))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min="2" max="2" width="46.38"/>
    <col customWidth="1" min="5" max="7" width="20.88"/>
  </cols>
  <sheetData>
    <row r="1">
      <c r="A1" s="1"/>
      <c r="B1" s="1"/>
      <c r="C1" s="1"/>
      <c r="D1" s="1" t="s">
        <v>0</v>
      </c>
      <c r="E1" s="1" t="s">
        <v>1</v>
      </c>
      <c r="F1" s="3" t="s">
        <v>3</v>
      </c>
      <c r="G1" s="3" t="s">
        <v>4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>
      <c r="A2" s="1" t="s">
        <v>19</v>
      </c>
      <c r="B2" s="1" t="str">
        <f>IFERROR(__xludf.DUMMYFUNCTION("""../"" &amp; REGEXEXTRACT(D2, ""[^/]+$"")"),"../res122_7F16_receptor_only_PV-003476110573_20_3.pdb")</f>
        <v>../res122_7F16_receptor_only_PV-003476110573_20_3.pdb</v>
      </c>
      <c r="C2" s="1" t="s">
        <v>1059</v>
      </c>
      <c r="D2" s="1" t="s">
        <v>188</v>
      </c>
      <c r="E2" s="1" t="s">
        <v>22</v>
      </c>
      <c r="F2" s="3" t="s">
        <v>24</v>
      </c>
      <c r="G2" s="3" t="s">
        <v>25</v>
      </c>
      <c r="H2" s="1" t="str">
        <f>IFERROR(__xludf.DUMMYFUNCTION("IFERROR(REGEXEXTRACT(D2, ""res(269|122)""), ""none"")"),"122")</f>
        <v>122</v>
      </c>
      <c r="I2" s="1">
        <v>-15.535781</v>
      </c>
      <c r="J2" s="1">
        <v>9.0</v>
      </c>
      <c r="K2" s="1">
        <v>3.0</v>
      </c>
      <c r="L2" s="1">
        <v>0.444444</v>
      </c>
      <c r="M2" s="1">
        <v>2.0</v>
      </c>
      <c r="N2" s="1">
        <v>-1.719191</v>
      </c>
      <c r="O2" s="1">
        <v>100.0</v>
      </c>
      <c r="P2" s="1">
        <v>0.0</v>
      </c>
      <c r="Q2" s="1">
        <v>0.0</v>
      </c>
      <c r="R2" s="1">
        <v>97.189472</v>
      </c>
    </row>
    <row r="3">
      <c r="A3" s="1" t="s">
        <v>19</v>
      </c>
      <c r="B3" s="1" t="str">
        <f>IFERROR(__xludf.DUMMYFUNCTION("""../"" &amp; REGEXEXTRACT(D3, ""[^/]+$"")"),"../res122_7F16_receptor_only_PV-004363072660_208_3.pdb")</f>
        <v>../res122_7F16_receptor_only_PV-004363072660_208_3.pdb</v>
      </c>
      <c r="C3" s="1" t="s">
        <v>1059</v>
      </c>
      <c r="D3" s="1" t="s">
        <v>189</v>
      </c>
      <c r="E3" s="1" t="s">
        <v>190</v>
      </c>
      <c r="F3" s="3" t="s">
        <v>24</v>
      </c>
      <c r="G3" s="3" t="s">
        <v>395</v>
      </c>
      <c r="H3" s="1" t="str">
        <f>IFERROR(__xludf.DUMMYFUNCTION("IFERROR(REGEXEXTRACT(D3, ""res(269|122)""), ""none"")"),"122")</f>
        <v>122</v>
      </c>
      <c r="I3" s="1">
        <v>-17.372141</v>
      </c>
      <c r="J3" s="1">
        <v>10.0</v>
      </c>
      <c r="K3" s="1">
        <v>2.0</v>
      </c>
      <c r="L3" s="1">
        <v>0.3</v>
      </c>
      <c r="M3" s="1">
        <v>2.0</v>
      </c>
      <c r="N3" s="1">
        <v>-1.44699499999999</v>
      </c>
      <c r="O3" s="1">
        <v>100.0</v>
      </c>
      <c r="P3" s="1">
        <v>0.0</v>
      </c>
      <c r="Q3" s="1">
        <v>0.0</v>
      </c>
      <c r="R3" s="1">
        <v>95.480864</v>
      </c>
    </row>
    <row r="4">
      <c r="A4" s="1" t="s">
        <v>19</v>
      </c>
      <c r="B4" s="1" t="str">
        <f>IFERROR(__xludf.DUMMYFUNCTION("""../"" &amp; REGEXEXTRACT(D4, ""[^/]+$"")"),"../res122_7F16_receptor_only_PV-004434805041_203_1.pdb")</f>
        <v>../res122_7F16_receptor_only_PV-004434805041_203_1.pdb</v>
      </c>
      <c r="C4" s="1" t="s">
        <v>1059</v>
      </c>
      <c r="D4" s="1" t="s">
        <v>191</v>
      </c>
      <c r="E4" s="1" t="s">
        <v>192</v>
      </c>
      <c r="F4" s="3" t="s">
        <v>24</v>
      </c>
      <c r="G4" s="3" t="s">
        <v>396</v>
      </c>
      <c r="H4" s="1" t="str">
        <f>IFERROR(__xludf.DUMMYFUNCTION("IFERROR(REGEXEXTRACT(D4, ""res(269|122)""), ""none"")"),"122")</f>
        <v>122</v>
      </c>
      <c r="I4" s="1">
        <v>-15.13854</v>
      </c>
      <c r="J4" s="1">
        <v>9.0</v>
      </c>
      <c r="K4" s="1">
        <v>4.0</v>
      </c>
      <c r="L4" s="1">
        <v>0.333333</v>
      </c>
      <c r="M4" s="1">
        <v>2.0</v>
      </c>
      <c r="N4" s="1">
        <v>-1.065005</v>
      </c>
      <c r="O4" s="1">
        <v>100.0</v>
      </c>
      <c r="P4" s="1">
        <v>0.0</v>
      </c>
      <c r="Q4" s="1">
        <v>0.0</v>
      </c>
      <c r="R4" s="1">
        <v>99.129788</v>
      </c>
    </row>
    <row r="5">
      <c r="A5" s="1" t="s">
        <v>19</v>
      </c>
      <c r="B5" s="1" t="str">
        <f>IFERROR(__xludf.DUMMYFUNCTION("""../"" &amp; REGEXEXTRACT(D5, ""[^/]+$"")"),"../res122_7F16_receptor_only_PV-004444948705_47_1.pdb")</f>
        <v>../res122_7F16_receptor_only_PV-004444948705_47_1.pdb</v>
      </c>
      <c r="C5" s="1" t="s">
        <v>1059</v>
      </c>
      <c r="D5" s="1" t="s">
        <v>193</v>
      </c>
      <c r="E5" s="1" t="s">
        <v>194</v>
      </c>
      <c r="F5" s="3" t="s">
        <v>24</v>
      </c>
      <c r="G5" s="3" t="s">
        <v>397</v>
      </c>
      <c r="H5" s="1" t="str">
        <f>IFERROR(__xludf.DUMMYFUNCTION("IFERROR(REGEXEXTRACT(D5, ""res(269|122)""), ""none"")"),"122")</f>
        <v>122</v>
      </c>
      <c r="I5" s="1">
        <v>-15.55909</v>
      </c>
      <c r="J5" s="1">
        <v>12.0</v>
      </c>
      <c r="K5" s="1">
        <v>4.0</v>
      </c>
      <c r="L5" s="1">
        <v>0.25</v>
      </c>
      <c r="M5" s="1">
        <v>2.0</v>
      </c>
      <c r="N5" s="1">
        <v>-0.857348</v>
      </c>
      <c r="O5" s="1">
        <v>100.0</v>
      </c>
      <c r="P5" s="1">
        <v>0.0</v>
      </c>
      <c r="Q5" s="1">
        <v>0.0</v>
      </c>
      <c r="R5" s="1">
        <v>101.833562</v>
      </c>
    </row>
    <row r="6">
      <c r="A6" s="1" t="s">
        <v>19</v>
      </c>
      <c r="B6" s="1" t="str">
        <f>IFERROR(__xludf.DUMMYFUNCTION("""../"" &amp; REGEXEXTRACT(D6, ""[^/]+$"")"),"../res122_7F16_receptor_only_PV-004502754221_27_2.pdb")</f>
        <v>../res122_7F16_receptor_only_PV-004502754221_27_2.pdb</v>
      </c>
      <c r="C6" s="1" t="s">
        <v>1059</v>
      </c>
      <c r="D6" s="1" t="s">
        <v>195</v>
      </c>
      <c r="E6" s="1" t="s">
        <v>196</v>
      </c>
      <c r="F6" s="3" t="s">
        <v>24</v>
      </c>
      <c r="G6" s="3" t="s">
        <v>398</v>
      </c>
      <c r="H6" s="1" t="str">
        <f>IFERROR(__xludf.DUMMYFUNCTION("IFERROR(REGEXEXTRACT(D6, ""res(269|122)""), ""none"")"),"122")</f>
        <v>122</v>
      </c>
      <c r="I6" s="1">
        <v>-16.502904</v>
      </c>
      <c r="J6" s="1">
        <v>8.0</v>
      </c>
      <c r="K6" s="1">
        <v>3.0</v>
      </c>
      <c r="L6" s="1">
        <v>0.25</v>
      </c>
      <c r="M6" s="1">
        <v>3.0</v>
      </c>
      <c r="N6" s="1">
        <v>-0.998347</v>
      </c>
      <c r="O6" s="1">
        <v>100.0</v>
      </c>
      <c r="P6" s="1">
        <v>0.0</v>
      </c>
      <c r="Q6" s="1">
        <v>0.0</v>
      </c>
      <c r="R6" s="1">
        <v>96.748749</v>
      </c>
    </row>
    <row r="7">
      <c r="A7" s="1" t="s">
        <v>19</v>
      </c>
      <c r="B7" s="1" t="str">
        <f>IFERROR(__xludf.DUMMYFUNCTION("""../"" &amp; REGEXEXTRACT(D7, ""[^/]+$"")"),"../res122_7F16_receptor_only_PV-004506477178_31_0.pdb")</f>
        <v>../res122_7F16_receptor_only_PV-004506477178_31_0.pdb</v>
      </c>
      <c r="C7" s="1" t="s">
        <v>1059</v>
      </c>
      <c r="D7" s="1" t="s">
        <v>197</v>
      </c>
      <c r="E7" s="1" t="s">
        <v>94</v>
      </c>
      <c r="F7" s="3" t="s">
        <v>33</v>
      </c>
      <c r="G7" s="3" t="s">
        <v>399</v>
      </c>
      <c r="H7" s="1" t="str">
        <f>IFERROR(__xludf.DUMMYFUNCTION("IFERROR(REGEXEXTRACT(D7, ""res(269|122)""), ""none"")"),"122")</f>
        <v>122</v>
      </c>
      <c r="I7" s="1">
        <v>-16.222639</v>
      </c>
      <c r="J7" s="1">
        <v>10.0</v>
      </c>
      <c r="K7" s="1">
        <v>3.0</v>
      </c>
      <c r="L7" s="1">
        <v>0.3</v>
      </c>
      <c r="M7" s="1">
        <v>2.0</v>
      </c>
      <c r="N7" s="1">
        <v>-1.763647</v>
      </c>
      <c r="O7" s="1">
        <v>100.0</v>
      </c>
      <c r="P7" s="1">
        <v>0.0</v>
      </c>
      <c r="Q7" s="1">
        <v>0.0</v>
      </c>
      <c r="R7" s="1">
        <v>97.313714</v>
      </c>
    </row>
    <row r="8">
      <c r="A8" s="1" t="s">
        <v>19</v>
      </c>
      <c r="B8" s="1" t="str">
        <f>IFERROR(__xludf.DUMMYFUNCTION("""../"" &amp; REGEXEXTRACT(D8, ""[^/]+$"")"),"../res122_7F16_receptor_only_PV-004506718703_31_1.pdb")</f>
        <v>../res122_7F16_receptor_only_PV-004506718703_31_1.pdb</v>
      </c>
      <c r="C8" s="1" t="s">
        <v>1059</v>
      </c>
      <c r="D8" s="1" t="s">
        <v>198</v>
      </c>
      <c r="E8" s="1" t="s">
        <v>30</v>
      </c>
      <c r="F8" s="3" t="s">
        <v>24</v>
      </c>
      <c r="G8" s="3" t="s">
        <v>32</v>
      </c>
      <c r="H8" s="1" t="str">
        <f>IFERROR(__xludf.DUMMYFUNCTION("IFERROR(REGEXEXTRACT(D8, ""res(269|122)""), ""none"")"),"122")</f>
        <v>122</v>
      </c>
      <c r="I8" s="1">
        <v>-15.296063</v>
      </c>
      <c r="J8" s="1">
        <v>8.0</v>
      </c>
      <c r="K8" s="1">
        <v>3.0</v>
      </c>
      <c r="L8" s="1">
        <v>0.25</v>
      </c>
      <c r="M8" s="1">
        <v>2.0</v>
      </c>
      <c r="N8" s="1">
        <v>-1.293353</v>
      </c>
      <c r="O8" s="1">
        <v>100.0</v>
      </c>
      <c r="P8" s="1">
        <v>0.0</v>
      </c>
      <c r="Q8" s="1">
        <v>0.0</v>
      </c>
      <c r="R8" s="1">
        <v>96.660584</v>
      </c>
    </row>
    <row r="9">
      <c r="A9" s="1" t="s">
        <v>19</v>
      </c>
      <c r="B9" s="1" t="str">
        <f>IFERROR(__xludf.DUMMYFUNCTION("""../"" &amp; REGEXEXTRACT(D9, ""[^/]+$"")"),"../res122_7F16_receptor_only_PV-004576257327_176_5.pdb")</f>
        <v>../res122_7F16_receptor_only_PV-004576257327_176_5.pdb</v>
      </c>
      <c r="C9" s="1" t="s">
        <v>1059</v>
      </c>
      <c r="D9" s="1" t="s">
        <v>199</v>
      </c>
      <c r="E9" s="1" t="s">
        <v>200</v>
      </c>
      <c r="F9" s="3" t="s">
        <v>33</v>
      </c>
      <c r="G9" s="3"/>
      <c r="H9" s="1" t="str">
        <f>IFERROR(__xludf.DUMMYFUNCTION("IFERROR(REGEXEXTRACT(D9, ""res(269|122)""), ""none"")"),"122")</f>
        <v>122</v>
      </c>
      <c r="I9" s="1">
        <v>-15.047575</v>
      </c>
      <c r="J9" s="1">
        <v>8.0</v>
      </c>
      <c r="K9" s="1">
        <v>4.0</v>
      </c>
      <c r="L9" s="1">
        <v>0.25</v>
      </c>
      <c r="M9" s="1">
        <v>2.0</v>
      </c>
      <c r="N9" s="1">
        <v>-1.824829</v>
      </c>
      <c r="O9" s="1">
        <v>100.0</v>
      </c>
      <c r="P9" s="1">
        <v>0.0</v>
      </c>
      <c r="Q9" s="1">
        <v>0.0</v>
      </c>
      <c r="R9" s="1">
        <v>97.377596</v>
      </c>
    </row>
    <row r="10">
      <c r="A10" s="1" t="s">
        <v>19</v>
      </c>
      <c r="B10" s="1" t="str">
        <f>IFERROR(__xludf.DUMMYFUNCTION("""../"" &amp; REGEXEXTRACT(D10, ""[^/]+$"")"),"../res122_7F16_receptor_only_PV-004655902680_26_5.pdb")</f>
        <v>../res122_7F16_receptor_only_PV-004655902680_26_5.pdb</v>
      </c>
      <c r="C10" s="1" t="s">
        <v>1059</v>
      </c>
      <c r="D10" s="1" t="s">
        <v>201</v>
      </c>
      <c r="E10" s="1" t="s">
        <v>35</v>
      </c>
      <c r="F10" s="3" t="s">
        <v>33</v>
      </c>
      <c r="G10" s="3" t="s">
        <v>37</v>
      </c>
      <c r="H10" s="1" t="str">
        <f>IFERROR(__xludf.DUMMYFUNCTION("IFERROR(REGEXEXTRACT(D10, ""res(269|122)""), ""none"")"),"122")</f>
        <v>122</v>
      </c>
      <c r="I10" s="1">
        <v>-15.950047</v>
      </c>
      <c r="J10" s="1">
        <v>7.0</v>
      </c>
      <c r="K10" s="1">
        <v>3.0</v>
      </c>
      <c r="L10" s="1">
        <v>0.285714</v>
      </c>
      <c r="M10" s="1">
        <v>3.0</v>
      </c>
      <c r="N10" s="1">
        <v>-1.505897</v>
      </c>
      <c r="O10" s="1">
        <v>100.0</v>
      </c>
      <c r="P10" s="1">
        <v>0.0</v>
      </c>
      <c r="Q10" s="1">
        <v>0.0</v>
      </c>
      <c r="R10" s="1">
        <v>95.82977</v>
      </c>
    </row>
    <row r="11">
      <c r="A11" s="1" t="s">
        <v>19</v>
      </c>
      <c r="B11" s="1" t="str">
        <f>IFERROR(__xludf.DUMMYFUNCTION("""../"" &amp; REGEXEXTRACT(D11, ""[^/]+$"")"),"../res122_7F16_receptor_only_PV-004798493641_166_0.pdb")</f>
        <v>../res122_7F16_receptor_only_PV-004798493641_166_0.pdb</v>
      </c>
      <c r="C11" s="1" t="s">
        <v>1059</v>
      </c>
      <c r="D11" s="1" t="s">
        <v>202</v>
      </c>
      <c r="E11" s="1" t="s">
        <v>203</v>
      </c>
      <c r="F11" s="3" t="s">
        <v>24</v>
      </c>
      <c r="G11" s="3" t="s">
        <v>400</v>
      </c>
      <c r="H11" s="1" t="str">
        <f>IFERROR(__xludf.DUMMYFUNCTION("IFERROR(REGEXEXTRACT(D11, ""res(269|122)""), ""none"")"),"122")</f>
        <v>122</v>
      </c>
      <c r="I11" s="1">
        <v>-15.642859</v>
      </c>
      <c r="J11" s="1">
        <v>11.0</v>
      </c>
      <c r="K11" s="1">
        <v>3.0</v>
      </c>
      <c r="L11" s="1">
        <v>0.272727</v>
      </c>
      <c r="M11" s="1">
        <v>2.0</v>
      </c>
      <c r="N11" s="1">
        <v>-1.1816</v>
      </c>
      <c r="O11" s="1">
        <v>100.0</v>
      </c>
      <c r="P11" s="1">
        <v>0.0</v>
      </c>
      <c r="Q11" s="1">
        <v>0.0</v>
      </c>
      <c r="R11" s="1">
        <v>99.448268</v>
      </c>
    </row>
    <row r="12">
      <c r="A12" s="1" t="s">
        <v>19</v>
      </c>
      <c r="B12" s="1" t="str">
        <f>IFERROR(__xludf.DUMMYFUNCTION("""../"" &amp; REGEXEXTRACT(D12, ""[^/]+$"")"),"../res122_7F16_receptor_only_PV-004887538871_10_3.pdb")</f>
        <v>../res122_7F16_receptor_only_PV-004887538871_10_3.pdb</v>
      </c>
      <c r="C12" s="1" t="s">
        <v>1059</v>
      </c>
      <c r="D12" s="1" t="s">
        <v>204</v>
      </c>
      <c r="E12" s="1" t="s">
        <v>99</v>
      </c>
      <c r="F12" s="3" t="s">
        <v>24</v>
      </c>
      <c r="G12" s="3" t="s">
        <v>401</v>
      </c>
      <c r="H12" s="1" t="str">
        <f>IFERROR(__xludf.DUMMYFUNCTION("IFERROR(REGEXEXTRACT(D12, ""res(269|122)""), ""none"")"),"122")</f>
        <v>122</v>
      </c>
      <c r="I12" s="1">
        <v>-15.476613</v>
      </c>
      <c r="J12" s="1">
        <v>12.0</v>
      </c>
      <c r="K12" s="1">
        <v>4.0</v>
      </c>
      <c r="L12" s="1">
        <v>0.333333</v>
      </c>
      <c r="M12" s="1">
        <v>2.0</v>
      </c>
      <c r="N12" s="1">
        <v>-0.623346</v>
      </c>
      <c r="O12" s="1">
        <v>100.0</v>
      </c>
      <c r="P12" s="1">
        <v>0.0</v>
      </c>
      <c r="Q12" s="1">
        <v>0.0</v>
      </c>
      <c r="R12" s="1">
        <v>102.233374</v>
      </c>
    </row>
    <row r="13">
      <c r="A13" s="1" t="s">
        <v>19</v>
      </c>
      <c r="B13" s="1" t="str">
        <f>IFERROR(__xludf.DUMMYFUNCTION("""../"" &amp; REGEXEXTRACT(D13, ""[^/]+$"")"),"../res122_7F16_receptor_only_PV-004894803557_120_3.pdb")</f>
        <v>../res122_7F16_receptor_only_PV-004894803557_120_3.pdb</v>
      </c>
      <c r="C13" s="1" t="s">
        <v>1059</v>
      </c>
      <c r="D13" s="1" t="s">
        <v>205</v>
      </c>
      <c r="E13" s="1" t="s">
        <v>206</v>
      </c>
      <c r="F13" s="3" t="s">
        <v>33</v>
      </c>
      <c r="G13" s="3"/>
      <c r="H13" s="1" t="str">
        <f>IFERROR(__xludf.DUMMYFUNCTION("IFERROR(REGEXEXTRACT(D13, ""res(269|122)""), ""none"")"),"122")</f>
        <v>122</v>
      </c>
      <c r="I13" s="1">
        <v>-16.216217</v>
      </c>
      <c r="J13" s="1">
        <v>7.0</v>
      </c>
      <c r="K13" s="1">
        <v>4.0</v>
      </c>
      <c r="L13" s="1">
        <v>0.285714</v>
      </c>
      <c r="M13" s="1">
        <v>2.0</v>
      </c>
      <c r="N13" s="1">
        <v>-0.930066</v>
      </c>
      <c r="O13" s="1">
        <v>100.0</v>
      </c>
      <c r="P13" s="1">
        <v>0.0</v>
      </c>
      <c r="Q13" s="1">
        <v>0.0</v>
      </c>
      <c r="R13" s="1">
        <v>96.139431</v>
      </c>
    </row>
    <row r="14">
      <c r="A14" s="1" t="s">
        <v>19</v>
      </c>
      <c r="B14" s="1" t="str">
        <f>IFERROR(__xludf.DUMMYFUNCTION("""../"" &amp; REGEXEXTRACT(D14, ""[^/]+$"")"),"../res122_7F16_receptor_only_PV-004938971812_58_0.pdb")</f>
        <v>../res122_7F16_receptor_only_PV-004938971812_58_0.pdb</v>
      </c>
      <c r="C14" s="1" t="s">
        <v>1059</v>
      </c>
      <c r="D14" s="1" t="s">
        <v>207</v>
      </c>
      <c r="E14" s="1" t="s">
        <v>208</v>
      </c>
      <c r="F14" s="3" t="s">
        <v>24</v>
      </c>
      <c r="G14" s="3"/>
      <c r="H14" s="1" t="str">
        <f>IFERROR(__xludf.DUMMYFUNCTION("IFERROR(REGEXEXTRACT(D14, ""res(269|122)""), ""none"")"),"122")</f>
        <v>122</v>
      </c>
      <c r="I14" s="1">
        <v>-15.113702</v>
      </c>
      <c r="J14" s="1">
        <v>8.0</v>
      </c>
      <c r="K14" s="1">
        <v>3.0</v>
      </c>
      <c r="L14" s="1">
        <v>0.25</v>
      </c>
      <c r="M14" s="1">
        <v>2.0</v>
      </c>
      <c r="N14" s="1">
        <v>-0.761492</v>
      </c>
      <c r="O14" s="1">
        <v>100.0</v>
      </c>
      <c r="P14" s="1">
        <v>0.0</v>
      </c>
      <c r="Q14" s="1">
        <v>0.0</v>
      </c>
      <c r="R14" s="1">
        <v>97.374806</v>
      </c>
    </row>
    <row r="15">
      <c r="A15" s="1" t="s">
        <v>19</v>
      </c>
      <c r="B15" s="1" t="str">
        <f>IFERROR(__xludf.DUMMYFUNCTION("""../"" &amp; REGEXEXTRACT(D15, ""[^/]+$"")"),"../res122_7F16_receptor_only_PV-004986901707_31_1.pdb")</f>
        <v>../res122_7F16_receptor_only_PV-004986901707_31_1.pdb</v>
      </c>
      <c r="C15" s="1" t="s">
        <v>1059</v>
      </c>
      <c r="D15" s="1" t="s">
        <v>209</v>
      </c>
      <c r="E15" s="1" t="s">
        <v>210</v>
      </c>
      <c r="F15" s="3" t="s">
        <v>24</v>
      </c>
      <c r="G15" s="3" t="s">
        <v>402</v>
      </c>
      <c r="H15" s="1" t="str">
        <f>IFERROR(__xludf.DUMMYFUNCTION("IFERROR(REGEXEXTRACT(D15, ""res(269|122)""), ""none"")"),"122")</f>
        <v>122</v>
      </c>
      <c r="I15" s="1">
        <v>-15.419001</v>
      </c>
      <c r="J15" s="1">
        <v>8.0</v>
      </c>
      <c r="K15" s="1">
        <v>5.0</v>
      </c>
      <c r="L15" s="1">
        <v>0.5</v>
      </c>
      <c r="M15" s="1">
        <v>3.0</v>
      </c>
      <c r="N15" s="1">
        <v>-1.097048</v>
      </c>
      <c r="O15" s="1">
        <v>100.0</v>
      </c>
      <c r="P15" s="1">
        <v>0.0</v>
      </c>
      <c r="Q15" s="1">
        <v>0.0</v>
      </c>
      <c r="R15" s="1">
        <v>99.983951</v>
      </c>
    </row>
    <row r="16">
      <c r="A16" s="1" t="s">
        <v>19</v>
      </c>
      <c r="B16" s="1" t="str">
        <f>IFERROR(__xludf.DUMMYFUNCTION("""../"" &amp; REGEXEXTRACT(D16, ""[^/]+$"")"),"../res122_7F16_receptor_only_PV-005198202028_82_1.pdb")</f>
        <v>../res122_7F16_receptor_only_PV-005198202028_82_1.pdb</v>
      </c>
      <c r="C16" s="1" t="s">
        <v>1059</v>
      </c>
      <c r="D16" s="1" t="s">
        <v>211</v>
      </c>
      <c r="E16" s="1" t="s">
        <v>212</v>
      </c>
      <c r="F16" s="3" t="s">
        <v>24</v>
      </c>
      <c r="G16" s="3" t="s">
        <v>403</v>
      </c>
      <c r="H16" s="1" t="str">
        <f>IFERROR(__xludf.DUMMYFUNCTION("IFERROR(REGEXEXTRACT(D16, ""res(269|122)""), ""none"")"),"122")</f>
        <v>122</v>
      </c>
      <c r="I16" s="1">
        <v>-15.695975</v>
      </c>
      <c r="J16" s="1">
        <v>7.0</v>
      </c>
      <c r="K16" s="1">
        <v>5.0</v>
      </c>
      <c r="L16" s="1">
        <v>0.428571</v>
      </c>
      <c r="M16" s="1">
        <v>2.0</v>
      </c>
      <c r="N16" s="1">
        <v>-0.51858</v>
      </c>
      <c r="O16" s="1">
        <v>100.0</v>
      </c>
      <c r="P16" s="1">
        <v>0.0</v>
      </c>
      <c r="Q16" s="1">
        <v>0.0</v>
      </c>
      <c r="R16" s="1">
        <v>98.214016</v>
      </c>
    </row>
    <row r="17">
      <c r="A17" s="1" t="s">
        <v>19</v>
      </c>
      <c r="B17" s="1" t="str">
        <f>IFERROR(__xludf.DUMMYFUNCTION("""../"" &amp; REGEXEXTRACT(D17, ""[^/]+$"")"),"../res122_7F16_receptor_only_PV-005424082445_136_0.pdb")</f>
        <v>../res122_7F16_receptor_only_PV-005424082445_136_0.pdb</v>
      </c>
      <c r="C17" s="1" t="s">
        <v>1059</v>
      </c>
      <c r="D17" s="1" t="s">
        <v>213</v>
      </c>
      <c r="E17" s="1" t="s">
        <v>40</v>
      </c>
      <c r="F17" s="3" t="s">
        <v>24</v>
      </c>
      <c r="G17" s="3"/>
      <c r="H17" s="1" t="str">
        <f>IFERROR(__xludf.DUMMYFUNCTION("IFERROR(REGEXEXTRACT(D17, ""res(269|122)""), ""none"")"),"122")</f>
        <v>122</v>
      </c>
      <c r="I17" s="1">
        <v>-15.040718</v>
      </c>
      <c r="J17" s="1">
        <v>6.0</v>
      </c>
      <c r="K17" s="1">
        <v>3.0</v>
      </c>
      <c r="L17" s="1">
        <v>0.333333</v>
      </c>
      <c r="M17" s="1">
        <v>2.0</v>
      </c>
      <c r="N17" s="1">
        <v>-1.138986</v>
      </c>
      <c r="O17" s="1">
        <v>100.0</v>
      </c>
      <c r="P17" s="1">
        <v>0.0</v>
      </c>
      <c r="Q17" s="1">
        <v>0.0</v>
      </c>
      <c r="R17" s="1">
        <v>95.153629</v>
      </c>
    </row>
    <row r="18">
      <c r="A18" s="1" t="s">
        <v>19</v>
      </c>
      <c r="B18" s="1" t="str">
        <f>IFERROR(__xludf.DUMMYFUNCTION("""../"" &amp; REGEXEXTRACT(D18, ""[^/]+$"")"),"../res122_7F16_receptor_only_PV-005510814641_23_0.pdb")</f>
        <v>../res122_7F16_receptor_only_PV-005510814641_23_0.pdb</v>
      </c>
      <c r="C18" s="1" t="s">
        <v>1059</v>
      </c>
      <c r="D18" s="1" t="s">
        <v>214</v>
      </c>
      <c r="E18" s="1" t="s">
        <v>44</v>
      </c>
      <c r="F18" s="3" t="s">
        <v>33</v>
      </c>
      <c r="G18" s="3" t="s">
        <v>46</v>
      </c>
      <c r="H18" s="1" t="str">
        <f>IFERROR(__xludf.DUMMYFUNCTION("IFERROR(REGEXEXTRACT(D18, ""res(269|122)""), ""none"")"),"122")</f>
        <v>122</v>
      </c>
      <c r="I18" s="1">
        <v>-15.260381</v>
      </c>
      <c r="J18" s="1">
        <v>8.0</v>
      </c>
      <c r="K18" s="1">
        <v>3.0</v>
      </c>
      <c r="L18" s="1">
        <v>0.25</v>
      </c>
      <c r="M18" s="1">
        <v>3.0</v>
      </c>
      <c r="N18" s="1">
        <v>-1.428861</v>
      </c>
      <c r="O18" s="1">
        <v>100.0</v>
      </c>
      <c r="P18" s="1">
        <v>0.0</v>
      </c>
      <c r="Q18" s="1">
        <v>0.0</v>
      </c>
      <c r="R18" s="1">
        <v>97.560758</v>
      </c>
    </row>
    <row r="19">
      <c r="A19" s="1" t="s">
        <v>19</v>
      </c>
      <c r="B19" s="1" t="str">
        <f>IFERROR(__xludf.DUMMYFUNCTION("""../"" &amp; REGEXEXTRACT(D19, ""[^/]+$"")"),"../res122_7F16_receptor_only_PV-005707415833_54_0.pdb")</f>
        <v>../res122_7F16_receptor_only_PV-005707415833_54_0.pdb</v>
      </c>
      <c r="C19" s="1" t="s">
        <v>1059</v>
      </c>
      <c r="D19" s="1" t="s">
        <v>215</v>
      </c>
      <c r="E19" s="1" t="s">
        <v>216</v>
      </c>
      <c r="F19" s="3" t="s">
        <v>33</v>
      </c>
      <c r="G19" s="3" t="s">
        <v>404</v>
      </c>
      <c r="H19" s="1" t="str">
        <f>IFERROR(__xludf.DUMMYFUNCTION("IFERROR(REGEXEXTRACT(D19, ""res(269|122)""), ""none"")"),"122")</f>
        <v>122</v>
      </c>
      <c r="I19" s="1">
        <v>-16.747691</v>
      </c>
      <c r="J19" s="1">
        <v>10.0</v>
      </c>
      <c r="K19" s="1">
        <v>4.0</v>
      </c>
      <c r="L19" s="1">
        <v>0.4</v>
      </c>
      <c r="M19" s="1">
        <v>2.0</v>
      </c>
      <c r="N19" s="1">
        <v>-1.533959</v>
      </c>
      <c r="O19" s="1">
        <v>100.0</v>
      </c>
      <c r="P19" s="1">
        <v>0.0</v>
      </c>
      <c r="Q19" s="1">
        <v>0.0</v>
      </c>
      <c r="R19" s="1">
        <v>98.11835</v>
      </c>
    </row>
    <row r="20">
      <c r="A20" s="1" t="s">
        <v>19</v>
      </c>
      <c r="B20" s="1" t="str">
        <f>IFERROR(__xludf.DUMMYFUNCTION("""../"" &amp; REGEXEXTRACT(D20, ""[^/]+$"")"),"../res122_7F16_receptor_only_PV-005718401883_69_3.pdb")</f>
        <v>../res122_7F16_receptor_only_PV-005718401883_69_3.pdb</v>
      </c>
      <c r="C20" s="1" t="s">
        <v>1059</v>
      </c>
      <c r="D20" s="1" t="s">
        <v>217</v>
      </c>
      <c r="E20" s="1" t="s">
        <v>218</v>
      </c>
      <c r="F20" s="3" t="s">
        <v>24</v>
      </c>
      <c r="G20" s="3"/>
      <c r="H20" s="1" t="str">
        <f>IFERROR(__xludf.DUMMYFUNCTION("IFERROR(REGEXEXTRACT(D20, ""res(269|122)""), ""none"")"),"122")</f>
        <v>122</v>
      </c>
      <c r="I20" s="1">
        <v>-15.251888</v>
      </c>
      <c r="J20" s="1">
        <v>10.0</v>
      </c>
      <c r="K20" s="1">
        <v>4.0</v>
      </c>
      <c r="L20" s="1">
        <v>0.4</v>
      </c>
      <c r="M20" s="1">
        <v>2.0</v>
      </c>
      <c r="N20" s="1">
        <v>-0.922495</v>
      </c>
      <c r="O20" s="1">
        <v>100.0</v>
      </c>
      <c r="P20" s="1">
        <v>0.0</v>
      </c>
      <c r="Q20" s="1">
        <v>0.0</v>
      </c>
      <c r="R20" s="1">
        <v>100.225617</v>
      </c>
    </row>
    <row r="21">
      <c r="A21" s="1" t="s">
        <v>19</v>
      </c>
      <c r="B21" s="1" t="str">
        <f>IFERROR(__xludf.DUMMYFUNCTION("""../"" &amp; REGEXEXTRACT(D21, ""[^/]+$"")"),"../res122_7F16_receptor_only_PV-005755365192_61_5.pdb")</f>
        <v>../res122_7F16_receptor_only_PV-005755365192_61_5.pdb</v>
      </c>
      <c r="C21" s="1" t="s">
        <v>1059</v>
      </c>
      <c r="D21" s="1" t="s">
        <v>219</v>
      </c>
      <c r="E21" s="1" t="s">
        <v>220</v>
      </c>
      <c r="F21" s="3" t="s">
        <v>24</v>
      </c>
      <c r="G21" s="3"/>
      <c r="H21" s="1" t="str">
        <f>IFERROR(__xludf.DUMMYFUNCTION("IFERROR(REGEXEXTRACT(D21, ""res(269|122)""), ""none"")"),"122")</f>
        <v>122</v>
      </c>
      <c r="I21" s="1">
        <v>-15.933583</v>
      </c>
      <c r="J21" s="1">
        <v>10.0</v>
      </c>
      <c r="K21" s="1">
        <v>4.0</v>
      </c>
      <c r="L21" s="1">
        <v>0.4</v>
      </c>
      <c r="M21" s="1">
        <v>3.0</v>
      </c>
      <c r="N21" s="1">
        <v>-0.861401</v>
      </c>
      <c r="O21" s="1">
        <v>100.0</v>
      </c>
      <c r="P21" s="1">
        <v>0.0</v>
      </c>
      <c r="Q21" s="1">
        <v>0.0</v>
      </c>
      <c r="R21" s="1">
        <v>100.605016</v>
      </c>
    </row>
    <row r="22">
      <c r="A22" s="1" t="s">
        <v>19</v>
      </c>
      <c r="B22" s="1" t="str">
        <f>IFERROR(__xludf.DUMMYFUNCTION("""../"" &amp; REGEXEXTRACT(D22, ""[^/]+$"")"),"../res122_7F16_receptor_only_PV-005853342661_19_1.pdb")</f>
        <v>../res122_7F16_receptor_only_PV-005853342661_19_1.pdb</v>
      </c>
      <c r="C22" s="1" t="s">
        <v>1059</v>
      </c>
      <c r="D22" s="1" t="s">
        <v>221</v>
      </c>
      <c r="E22" s="1" t="s">
        <v>222</v>
      </c>
      <c r="F22" s="3" t="s">
        <v>24</v>
      </c>
      <c r="G22" s="3"/>
      <c r="H22" s="1" t="str">
        <f>IFERROR(__xludf.DUMMYFUNCTION("IFERROR(REGEXEXTRACT(D22, ""res(269|122)""), ""none"")"),"122")</f>
        <v>122</v>
      </c>
      <c r="I22" s="1">
        <v>-15.3418</v>
      </c>
      <c r="J22" s="1">
        <v>9.0</v>
      </c>
      <c r="K22" s="1">
        <v>4.0</v>
      </c>
      <c r="L22" s="1">
        <v>0.333333</v>
      </c>
      <c r="M22" s="1">
        <v>2.0</v>
      </c>
      <c r="N22" s="1">
        <v>-1.486109</v>
      </c>
      <c r="O22" s="1">
        <v>100.0</v>
      </c>
      <c r="P22" s="1">
        <v>0.0</v>
      </c>
      <c r="Q22" s="1">
        <v>0.0</v>
      </c>
      <c r="R22" s="1">
        <v>98.505424</v>
      </c>
    </row>
    <row r="23">
      <c r="A23" s="1" t="s">
        <v>19</v>
      </c>
      <c r="B23" s="1" t="str">
        <f>IFERROR(__xludf.DUMMYFUNCTION("""../"" &amp; REGEXEXTRACT(D23, ""[^/]+$"")"),"../res122_7F16_receptor_only_PV-005890621085_19_0.pdb")</f>
        <v>../res122_7F16_receptor_only_PV-005890621085_19_0.pdb</v>
      </c>
      <c r="C23" s="1" t="s">
        <v>1059</v>
      </c>
      <c r="D23" s="1" t="s">
        <v>223</v>
      </c>
      <c r="E23" s="1" t="s">
        <v>49</v>
      </c>
      <c r="F23" s="3" t="s">
        <v>24</v>
      </c>
      <c r="G23" s="3"/>
      <c r="H23" s="1" t="str">
        <f>IFERROR(__xludf.DUMMYFUNCTION("IFERROR(REGEXEXTRACT(D23, ""res(269|122)""), ""none"")"),"122")</f>
        <v>122</v>
      </c>
      <c r="I23" s="1">
        <v>-16.481134</v>
      </c>
      <c r="J23" s="1">
        <v>7.0</v>
      </c>
      <c r="K23" s="1">
        <v>3.0</v>
      </c>
      <c r="L23" s="1">
        <v>0.285714</v>
      </c>
      <c r="M23" s="1">
        <v>2.0</v>
      </c>
      <c r="N23" s="1">
        <v>-1.079586</v>
      </c>
      <c r="O23" s="1">
        <v>100.0</v>
      </c>
      <c r="P23" s="1">
        <v>0.0</v>
      </c>
      <c r="Q23" s="1">
        <v>0.0</v>
      </c>
      <c r="R23" s="1">
        <v>94.724994</v>
      </c>
    </row>
    <row r="24">
      <c r="A24" s="1" t="s">
        <v>19</v>
      </c>
      <c r="B24" s="1" t="str">
        <f>IFERROR(__xludf.DUMMYFUNCTION("""../"" &amp; REGEXEXTRACT(D24, ""[^/]+$"")"),"../res122_7F16_receptor_only_PV-006198527401_21_4.pdb")</f>
        <v>../res122_7F16_receptor_only_PV-006198527401_21_4.pdb</v>
      </c>
      <c r="C24" s="1" t="s">
        <v>1059</v>
      </c>
      <c r="D24" s="1" t="s">
        <v>224</v>
      </c>
      <c r="E24" s="1" t="s">
        <v>53</v>
      </c>
      <c r="F24" s="3" t="s">
        <v>33</v>
      </c>
      <c r="G24" s="3" t="s">
        <v>55</v>
      </c>
      <c r="H24" s="1" t="str">
        <f>IFERROR(__xludf.DUMMYFUNCTION("IFERROR(REGEXEXTRACT(D24, ""res(269|122)""), ""none"")"),"122")</f>
        <v>122</v>
      </c>
      <c r="I24" s="1">
        <v>-15.209335</v>
      </c>
      <c r="J24" s="1">
        <v>9.0</v>
      </c>
      <c r="K24" s="1">
        <v>3.0</v>
      </c>
      <c r="L24" s="1">
        <v>0.555556</v>
      </c>
      <c r="M24" s="1">
        <v>2.0</v>
      </c>
      <c r="N24" s="1">
        <v>-0.616797</v>
      </c>
      <c r="O24" s="1">
        <v>100.0</v>
      </c>
      <c r="P24" s="1">
        <v>0.0</v>
      </c>
      <c r="Q24" s="1">
        <v>0.0</v>
      </c>
      <c r="R24" s="1">
        <v>98.729424</v>
      </c>
    </row>
    <row r="25">
      <c r="A25" s="1" t="s">
        <v>19</v>
      </c>
      <c r="B25" s="1" t="str">
        <f>IFERROR(__xludf.DUMMYFUNCTION("""../"" &amp; REGEXEXTRACT(D25, ""[^/]+$"")"),"../res122_7F16_receptor_only_PV-006238161235_54_0.pdb")</f>
        <v>../res122_7F16_receptor_only_PV-006238161235_54_0.pdb</v>
      </c>
      <c r="C25" s="1" t="s">
        <v>1059</v>
      </c>
      <c r="D25" s="1" t="s">
        <v>225</v>
      </c>
      <c r="E25" s="1" t="s">
        <v>226</v>
      </c>
      <c r="F25" s="3" t="s">
        <v>33</v>
      </c>
      <c r="G25" s="3"/>
      <c r="H25" s="1" t="str">
        <f>IFERROR(__xludf.DUMMYFUNCTION("IFERROR(REGEXEXTRACT(D25, ""res(269|122)""), ""none"")"),"122")</f>
        <v>122</v>
      </c>
      <c r="I25" s="1">
        <v>-16.256898</v>
      </c>
      <c r="J25" s="1">
        <v>11.0</v>
      </c>
      <c r="K25" s="1">
        <v>4.0</v>
      </c>
      <c r="L25" s="1">
        <v>0.272727</v>
      </c>
      <c r="M25" s="1">
        <v>2.0</v>
      </c>
      <c r="N25" s="1">
        <v>-1.787076</v>
      </c>
      <c r="O25" s="1">
        <v>100.0</v>
      </c>
      <c r="P25" s="1">
        <v>0.0</v>
      </c>
      <c r="Q25" s="1">
        <v>0.0</v>
      </c>
      <c r="R25" s="1">
        <v>99.228753</v>
      </c>
    </row>
    <row r="26">
      <c r="A26" s="1" t="s">
        <v>19</v>
      </c>
      <c r="B26" s="1" t="str">
        <f>IFERROR(__xludf.DUMMYFUNCTION("""../"" &amp; REGEXEXTRACT(D26, ""[^/]+$"")"),"../res122_7F16_receptor_only_PV-006332485654_195_1.pdb")</f>
        <v>../res122_7F16_receptor_only_PV-006332485654_195_1.pdb</v>
      </c>
      <c r="C26" s="1" t="s">
        <v>1059</v>
      </c>
      <c r="D26" s="1" t="s">
        <v>227</v>
      </c>
      <c r="E26" s="1" t="s">
        <v>228</v>
      </c>
      <c r="F26" s="3" t="s">
        <v>24</v>
      </c>
      <c r="G26" s="3"/>
      <c r="H26" s="1" t="str">
        <f>IFERROR(__xludf.DUMMYFUNCTION("IFERROR(REGEXEXTRACT(D26, ""res(269|122)""), ""none"")"),"122")</f>
        <v>122</v>
      </c>
      <c r="I26" s="1">
        <v>-17.376492</v>
      </c>
      <c r="J26" s="1">
        <v>6.0</v>
      </c>
      <c r="K26" s="1">
        <v>3.0</v>
      </c>
      <c r="L26" s="1">
        <v>0.333333</v>
      </c>
      <c r="M26" s="1">
        <v>2.0</v>
      </c>
      <c r="N26" s="1">
        <v>-0.775723</v>
      </c>
      <c r="O26" s="1">
        <v>100.0</v>
      </c>
      <c r="P26" s="1">
        <v>0.0</v>
      </c>
      <c r="Q26" s="1">
        <v>0.0</v>
      </c>
      <c r="R26" s="1">
        <v>93.181118</v>
      </c>
    </row>
    <row r="27">
      <c r="A27" s="1" t="s">
        <v>19</v>
      </c>
      <c r="B27" s="1" t="str">
        <f>IFERROR(__xludf.DUMMYFUNCTION("""../"" &amp; REGEXEXTRACT(D27, ""[^/]+$"")"),"../res122_7F16_receptor_only_PV-006630775433_204_2.pdb")</f>
        <v>../res122_7F16_receptor_only_PV-006630775433_204_2.pdb</v>
      </c>
      <c r="C27" s="1" t="s">
        <v>1059</v>
      </c>
      <c r="D27" s="1" t="s">
        <v>229</v>
      </c>
      <c r="E27" s="1" t="s">
        <v>58</v>
      </c>
      <c r="F27" s="3" t="s">
        <v>24</v>
      </c>
      <c r="G27" s="3"/>
      <c r="H27" s="1" t="str">
        <f>IFERROR(__xludf.DUMMYFUNCTION("IFERROR(REGEXEXTRACT(D27, ""res(269|122)""), ""none"")"),"122")</f>
        <v>122</v>
      </c>
      <c r="I27" s="1">
        <v>-17.724274</v>
      </c>
      <c r="J27" s="1">
        <v>8.0</v>
      </c>
      <c r="K27" s="1">
        <v>3.0</v>
      </c>
      <c r="L27" s="1">
        <v>0.25</v>
      </c>
      <c r="M27" s="1">
        <v>2.0</v>
      </c>
      <c r="N27" s="1">
        <v>-1.29152999999999</v>
      </c>
      <c r="O27" s="1">
        <v>100.0</v>
      </c>
      <c r="P27" s="1">
        <v>0.0</v>
      </c>
      <c r="Q27" s="1">
        <v>0.0</v>
      </c>
      <c r="R27" s="1">
        <v>94.234196</v>
      </c>
    </row>
    <row r="28">
      <c r="A28" s="1" t="s">
        <v>19</v>
      </c>
      <c r="B28" s="1" t="str">
        <f>IFERROR(__xludf.DUMMYFUNCTION("""../"" &amp; REGEXEXTRACT(D28, ""[^/]+$"")"),"../res122_7F16_receptor_only_Z1449053877_143_1.pdb")</f>
        <v>../res122_7F16_receptor_only_Z1449053877_143_1.pdb</v>
      </c>
      <c r="C28" s="1" t="s">
        <v>1059</v>
      </c>
      <c r="D28" s="1" t="s">
        <v>230</v>
      </c>
      <c r="E28" s="1" t="s">
        <v>231</v>
      </c>
      <c r="F28" s="3" t="s">
        <v>24</v>
      </c>
      <c r="G28" s="3"/>
      <c r="H28" s="1" t="str">
        <f>IFERROR(__xludf.DUMMYFUNCTION("IFERROR(REGEXEXTRACT(D28, ""res(269|122)""), ""none"")"),"122")</f>
        <v>122</v>
      </c>
      <c r="I28" s="1">
        <v>-16.569372</v>
      </c>
      <c r="J28" s="1">
        <v>8.0</v>
      </c>
      <c r="K28" s="1">
        <v>3.0</v>
      </c>
      <c r="L28" s="1">
        <v>0.5</v>
      </c>
      <c r="M28" s="1">
        <v>2.0</v>
      </c>
      <c r="N28" s="1">
        <v>-0.987431</v>
      </c>
      <c r="O28" s="1">
        <v>100.0</v>
      </c>
      <c r="P28" s="1">
        <v>0.0</v>
      </c>
      <c r="Q28" s="1">
        <v>0.0</v>
      </c>
      <c r="R28" s="1">
        <v>95.943197</v>
      </c>
    </row>
    <row r="29">
      <c r="A29" s="1" t="s">
        <v>19</v>
      </c>
      <c r="B29" s="1" t="str">
        <f>IFERROR(__xludf.DUMMYFUNCTION("""../"" &amp; REGEXEXTRACT(D29, ""[^/]+$"")"),"../res122_7F16_receptor_only_Z1472467618_141_1.pdb")</f>
        <v>../res122_7F16_receptor_only_Z1472467618_141_1.pdb</v>
      </c>
      <c r="C29" s="1" t="s">
        <v>1059</v>
      </c>
      <c r="D29" s="1" t="s">
        <v>232</v>
      </c>
      <c r="E29" s="1" t="s">
        <v>62</v>
      </c>
      <c r="F29" s="3" t="s">
        <v>24</v>
      </c>
      <c r="G29" s="3"/>
      <c r="H29" s="1" t="str">
        <f>IFERROR(__xludf.DUMMYFUNCTION("IFERROR(REGEXEXTRACT(D29, ""res(269|122)""), ""none"")"),"122")</f>
        <v>122</v>
      </c>
      <c r="I29" s="1">
        <v>-16.448389</v>
      </c>
      <c r="J29" s="1">
        <v>9.0</v>
      </c>
      <c r="K29" s="1">
        <v>3.0</v>
      </c>
      <c r="L29" s="1">
        <v>0.333333</v>
      </c>
      <c r="M29" s="1">
        <v>2.0</v>
      </c>
      <c r="N29" s="1">
        <v>-1.562614</v>
      </c>
      <c r="O29" s="1">
        <v>100.0</v>
      </c>
      <c r="P29" s="1">
        <v>0.0</v>
      </c>
      <c r="Q29" s="1">
        <v>0.0</v>
      </c>
      <c r="R29" s="1">
        <v>96.32233</v>
      </c>
    </row>
    <row r="30">
      <c r="A30" s="1" t="s">
        <v>19</v>
      </c>
      <c r="B30" s="1" t="str">
        <f>IFERROR(__xludf.DUMMYFUNCTION("""../"" &amp; REGEXEXTRACT(D30, ""[^/]+$"")"),"../res122_7F16_receptor_only_Z1521810617_4_7.pdb")</f>
        <v>../res122_7F16_receptor_only_Z1521810617_4_7.pdb</v>
      </c>
      <c r="C30" s="1" t="s">
        <v>1059</v>
      </c>
      <c r="D30" s="1" t="s">
        <v>233</v>
      </c>
      <c r="E30" s="1" t="s">
        <v>103</v>
      </c>
      <c r="F30" s="3" t="s">
        <v>24</v>
      </c>
      <c r="G30" s="3"/>
      <c r="H30" s="1" t="str">
        <f>IFERROR(__xludf.DUMMYFUNCTION("IFERROR(REGEXEXTRACT(D30, ""res(269|122)""), ""none"")"),"122")</f>
        <v>122</v>
      </c>
      <c r="I30" s="1">
        <v>-16.810235</v>
      </c>
      <c r="J30" s="1">
        <v>9.0</v>
      </c>
      <c r="K30" s="1">
        <v>3.0</v>
      </c>
      <c r="L30" s="1">
        <v>0.444444</v>
      </c>
      <c r="M30" s="1">
        <v>2.0</v>
      </c>
      <c r="N30" s="1">
        <v>-0.880047</v>
      </c>
      <c r="O30" s="1">
        <v>100.0</v>
      </c>
      <c r="P30" s="1">
        <v>0.0</v>
      </c>
      <c r="Q30" s="1">
        <v>0.0</v>
      </c>
      <c r="R30" s="1">
        <v>96.754162</v>
      </c>
    </row>
    <row r="31">
      <c r="A31" s="1" t="s">
        <v>19</v>
      </c>
      <c r="B31" s="1" t="str">
        <f>IFERROR(__xludf.DUMMYFUNCTION("""../"" &amp; REGEXEXTRACT(D31, ""[^/]+$"")"),"../res122_7F16_receptor_only_Z1635074496_50_0.pdb")</f>
        <v>../res122_7F16_receptor_only_Z1635074496_50_0.pdb</v>
      </c>
      <c r="C31" s="1" t="s">
        <v>1059</v>
      </c>
      <c r="D31" s="1" t="s">
        <v>234</v>
      </c>
      <c r="E31" s="1" t="s">
        <v>235</v>
      </c>
      <c r="F31" s="3" t="s">
        <v>24</v>
      </c>
      <c r="G31" s="3"/>
      <c r="H31" s="1" t="str">
        <f>IFERROR(__xludf.DUMMYFUNCTION("IFERROR(REGEXEXTRACT(D31, ""res(269|122)""), ""none"")"),"122")</f>
        <v>122</v>
      </c>
      <c r="I31" s="1">
        <v>-15.466932</v>
      </c>
      <c r="J31" s="1">
        <v>7.0</v>
      </c>
      <c r="K31" s="1">
        <v>3.0</v>
      </c>
      <c r="L31" s="1">
        <v>0.285714</v>
      </c>
      <c r="M31" s="1">
        <v>2.0</v>
      </c>
      <c r="N31" s="1">
        <v>-1.068929</v>
      </c>
      <c r="O31" s="1">
        <v>100.0</v>
      </c>
      <c r="P31" s="1">
        <v>0.0</v>
      </c>
      <c r="Q31" s="1">
        <v>0.0</v>
      </c>
      <c r="R31" s="1">
        <v>95.749853</v>
      </c>
    </row>
    <row r="32">
      <c r="A32" s="1" t="s">
        <v>19</v>
      </c>
      <c r="B32" s="1" t="str">
        <f>IFERROR(__xludf.DUMMYFUNCTION("""../"" &amp; REGEXEXTRACT(D32, ""[^/]+$"")"),"../res122_7F16_receptor_only_Z1712441482_38_2.pdb")</f>
        <v>../res122_7F16_receptor_only_Z1712441482_38_2.pdb</v>
      </c>
      <c r="C32" s="1" t="s">
        <v>1059</v>
      </c>
      <c r="D32" s="1" t="s">
        <v>236</v>
      </c>
      <c r="E32" s="1" t="s">
        <v>107</v>
      </c>
      <c r="F32" s="3" t="s">
        <v>24</v>
      </c>
      <c r="G32" s="3"/>
      <c r="H32" s="1" t="str">
        <f>IFERROR(__xludf.DUMMYFUNCTION("IFERROR(REGEXEXTRACT(D32, ""res(269|122)""), ""none"")"),"122")</f>
        <v>122</v>
      </c>
      <c r="I32" s="1">
        <v>-15.035637</v>
      </c>
      <c r="J32" s="1">
        <v>8.0</v>
      </c>
      <c r="K32" s="1">
        <v>4.0</v>
      </c>
      <c r="L32" s="1">
        <v>0.25</v>
      </c>
      <c r="M32" s="1">
        <v>2.0</v>
      </c>
      <c r="N32" s="1">
        <v>-0.915905</v>
      </c>
      <c r="O32" s="1">
        <v>100.0</v>
      </c>
      <c r="P32" s="1">
        <v>0.0</v>
      </c>
      <c r="Q32" s="1">
        <v>0.0</v>
      </c>
      <c r="R32" s="1">
        <v>98.298458</v>
      </c>
    </row>
    <row r="33">
      <c r="A33" s="1" t="s">
        <v>19</v>
      </c>
      <c r="B33" s="1" t="str">
        <f>IFERROR(__xludf.DUMMYFUNCTION("""../"" &amp; REGEXEXTRACT(D33, ""[^/]+$"")"),"../res122_7F16_receptor_only_Z1890281904_170_0.pdb")</f>
        <v>../res122_7F16_receptor_only_Z1890281904_170_0.pdb</v>
      </c>
      <c r="C33" s="1" t="s">
        <v>1059</v>
      </c>
      <c r="D33" s="1" t="s">
        <v>237</v>
      </c>
      <c r="E33" s="1" t="s">
        <v>238</v>
      </c>
      <c r="F33" s="3" t="s">
        <v>24</v>
      </c>
      <c r="G33" s="3"/>
      <c r="H33" s="1" t="str">
        <f>IFERROR(__xludf.DUMMYFUNCTION("IFERROR(REGEXEXTRACT(D33, ""res(269|122)""), ""none"")"),"122")</f>
        <v>122</v>
      </c>
      <c r="I33" s="1">
        <v>-16.448683</v>
      </c>
      <c r="J33" s="1">
        <v>7.0</v>
      </c>
      <c r="K33" s="1">
        <v>4.0</v>
      </c>
      <c r="L33" s="1">
        <v>0.428571</v>
      </c>
      <c r="M33" s="1">
        <v>2.0</v>
      </c>
      <c r="N33" s="1">
        <v>-1.118176</v>
      </c>
      <c r="O33" s="1">
        <v>100.0</v>
      </c>
      <c r="P33" s="1">
        <v>0.0</v>
      </c>
      <c r="Q33" s="1">
        <v>0.0</v>
      </c>
      <c r="R33" s="1">
        <v>95.861712</v>
      </c>
    </row>
    <row r="34">
      <c r="A34" s="1" t="s">
        <v>19</v>
      </c>
      <c r="B34" s="1" t="str">
        <f>IFERROR(__xludf.DUMMYFUNCTION("""../"" &amp; REGEXEXTRACT(D34, ""[^/]+$"")"),"../res122_7F16_receptor_only_Z1900476180_242_0.pdb")</f>
        <v>../res122_7F16_receptor_only_Z1900476180_242_0.pdb</v>
      </c>
      <c r="C34" s="1" t="s">
        <v>1059</v>
      </c>
      <c r="D34" s="1" t="s">
        <v>239</v>
      </c>
      <c r="E34" s="1" t="s">
        <v>240</v>
      </c>
      <c r="F34" s="3" t="s">
        <v>24</v>
      </c>
      <c r="G34" s="3"/>
      <c r="H34" s="1" t="str">
        <f>IFERROR(__xludf.DUMMYFUNCTION("IFERROR(REGEXEXTRACT(D34, ""res(269|122)""), ""none"")"),"122")</f>
        <v>122</v>
      </c>
      <c r="I34" s="1">
        <v>-15.291041</v>
      </c>
      <c r="J34" s="1">
        <v>8.0</v>
      </c>
      <c r="K34" s="1">
        <v>3.0</v>
      </c>
      <c r="L34" s="1">
        <v>0.375</v>
      </c>
      <c r="M34" s="1">
        <v>2.0</v>
      </c>
      <c r="N34" s="1">
        <v>-0.739298999999999</v>
      </c>
      <c r="O34" s="1">
        <v>100.0</v>
      </c>
      <c r="P34" s="1">
        <v>0.0</v>
      </c>
      <c r="Q34" s="1">
        <v>0.0</v>
      </c>
      <c r="R34" s="1">
        <v>97.34466</v>
      </c>
    </row>
    <row r="35">
      <c r="A35" s="1" t="s">
        <v>19</v>
      </c>
      <c r="B35" s="1" t="str">
        <f>IFERROR(__xludf.DUMMYFUNCTION("""../"" &amp; REGEXEXTRACT(D35, ""[^/]+$"")"),"../res122_7F16_receptor_only_Z2172130424_163_1.pdb")</f>
        <v>../res122_7F16_receptor_only_Z2172130424_163_1.pdb</v>
      </c>
      <c r="C35" s="1" t="s">
        <v>1059</v>
      </c>
      <c r="D35" s="1" t="s">
        <v>241</v>
      </c>
      <c r="E35" s="1" t="s">
        <v>242</v>
      </c>
      <c r="F35" s="3" t="s">
        <v>24</v>
      </c>
      <c r="G35" s="3"/>
      <c r="H35" s="1" t="str">
        <f>IFERROR(__xludf.DUMMYFUNCTION("IFERROR(REGEXEXTRACT(D35, ""res(269|122)""), ""none"")"),"122")</f>
        <v>122</v>
      </c>
      <c r="I35" s="1">
        <v>-15.786774</v>
      </c>
      <c r="J35" s="1">
        <v>8.0</v>
      </c>
      <c r="K35" s="1">
        <v>4.0</v>
      </c>
      <c r="L35" s="1">
        <v>0.25</v>
      </c>
      <c r="M35" s="1">
        <v>3.0</v>
      </c>
      <c r="N35" s="1">
        <v>-1.312683</v>
      </c>
      <c r="O35" s="1">
        <v>100.0</v>
      </c>
      <c r="P35" s="1">
        <v>0.0</v>
      </c>
      <c r="Q35" s="1">
        <v>0.0</v>
      </c>
      <c r="R35" s="1">
        <v>98.150543</v>
      </c>
    </row>
    <row r="36">
      <c r="A36" s="1" t="s">
        <v>19</v>
      </c>
      <c r="B36" s="1" t="str">
        <f>IFERROR(__xludf.DUMMYFUNCTION("""../"" &amp; REGEXEXTRACT(D36, ""[^/]+$"")"),"../res122_7F16_receptor_only_Z2185392665_53_4.pdb")</f>
        <v>../res122_7F16_receptor_only_Z2185392665_53_4.pdb</v>
      </c>
      <c r="C36" s="1" t="s">
        <v>1059</v>
      </c>
      <c r="D36" s="1" t="s">
        <v>243</v>
      </c>
      <c r="E36" s="1" t="s">
        <v>244</v>
      </c>
      <c r="F36" s="3" t="s">
        <v>24</v>
      </c>
      <c r="G36" s="3"/>
      <c r="H36" s="1" t="str">
        <f>IFERROR(__xludf.DUMMYFUNCTION("IFERROR(REGEXEXTRACT(D36, ""res(269|122)""), ""none"")"),"122")</f>
        <v>122</v>
      </c>
      <c r="I36" s="1">
        <v>-15.074335</v>
      </c>
      <c r="J36" s="1">
        <v>8.0</v>
      </c>
      <c r="K36" s="1">
        <v>3.0</v>
      </c>
      <c r="L36" s="1">
        <v>0.25</v>
      </c>
      <c r="M36" s="1">
        <v>3.0</v>
      </c>
      <c r="N36" s="1">
        <v>-2.102802</v>
      </c>
      <c r="O36" s="1">
        <v>100.0</v>
      </c>
      <c r="P36" s="1">
        <v>0.0</v>
      </c>
      <c r="Q36" s="1">
        <v>0.0</v>
      </c>
      <c r="R36" s="1">
        <v>97.072863</v>
      </c>
    </row>
    <row r="37">
      <c r="A37" s="1" t="s">
        <v>19</v>
      </c>
      <c r="B37" s="1" t="str">
        <f>IFERROR(__xludf.DUMMYFUNCTION("""../"" &amp; REGEXEXTRACT(D37, ""[^/]+$"")"),"../res122_7F16_receptor_only_Z2230306060_14_2.pdb")</f>
        <v>../res122_7F16_receptor_only_Z2230306060_14_2.pdb</v>
      </c>
      <c r="C37" s="1" t="s">
        <v>1059</v>
      </c>
      <c r="D37" s="1" t="s">
        <v>245</v>
      </c>
      <c r="E37" s="1" t="s">
        <v>246</v>
      </c>
      <c r="F37" s="3" t="s">
        <v>33</v>
      </c>
      <c r="G37" s="3" t="s">
        <v>405</v>
      </c>
      <c r="H37" s="1" t="str">
        <f>IFERROR(__xludf.DUMMYFUNCTION("IFERROR(REGEXEXTRACT(D37, ""res(269|122)""), ""none"")"),"122")</f>
        <v>122</v>
      </c>
      <c r="I37" s="1">
        <v>-16.056932</v>
      </c>
      <c r="J37" s="1">
        <v>7.0</v>
      </c>
      <c r="K37" s="1">
        <v>3.0</v>
      </c>
      <c r="L37" s="1">
        <v>0.571429</v>
      </c>
      <c r="M37" s="1">
        <v>2.0</v>
      </c>
      <c r="N37" s="1">
        <v>-0.884192</v>
      </c>
      <c r="O37" s="1">
        <v>100.0</v>
      </c>
      <c r="P37" s="1">
        <v>0.0</v>
      </c>
      <c r="Q37" s="1">
        <v>0.0</v>
      </c>
      <c r="R37" s="1">
        <v>95.630305</v>
      </c>
    </row>
    <row r="38">
      <c r="A38" s="1" t="s">
        <v>19</v>
      </c>
      <c r="B38" s="1" t="str">
        <f>IFERROR(__xludf.DUMMYFUNCTION("""../"" &amp; REGEXEXTRACT(D38, ""[^/]+$"")"),"../res122_7F16_receptor_only_Z3011172425_6_0.pdb")</f>
        <v>../res122_7F16_receptor_only_Z3011172425_6_0.pdb</v>
      </c>
      <c r="C38" s="1" t="s">
        <v>1059</v>
      </c>
      <c r="D38" s="1" t="s">
        <v>247</v>
      </c>
      <c r="E38" s="1" t="s">
        <v>110</v>
      </c>
      <c r="F38" s="3" t="s">
        <v>24</v>
      </c>
      <c r="G38" s="3"/>
      <c r="H38" s="1" t="str">
        <f>IFERROR(__xludf.DUMMYFUNCTION("IFERROR(REGEXEXTRACT(D38, ""res(269|122)""), ""none"")"),"122")</f>
        <v>122</v>
      </c>
      <c r="I38" s="1">
        <v>-17.375967</v>
      </c>
      <c r="J38" s="1">
        <v>8.0</v>
      </c>
      <c r="K38" s="1">
        <v>3.0</v>
      </c>
      <c r="L38" s="1">
        <v>0.25</v>
      </c>
      <c r="M38" s="1">
        <v>2.0</v>
      </c>
      <c r="N38" s="1">
        <v>-1.320226</v>
      </c>
      <c r="O38" s="1">
        <v>100.0</v>
      </c>
      <c r="P38" s="1">
        <v>0.0</v>
      </c>
      <c r="Q38" s="1">
        <v>0.0</v>
      </c>
      <c r="R38" s="1">
        <v>94.553807</v>
      </c>
    </row>
    <row r="39">
      <c r="A39" s="1" t="s">
        <v>19</v>
      </c>
      <c r="B39" s="1" t="str">
        <f>IFERROR(__xludf.DUMMYFUNCTION("""../"" &amp; REGEXEXTRACT(D39, ""[^/]+$"")"),"../res122_7F16_receptor_only_Z3541565108_89_7.pdb")</f>
        <v>../res122_7F16_receptor_only_Z3541565108_89_7.pdb</v>
      </c>
      <c r="C39" s="1" t="s">
        <v>1059</v>
      </c>
      <c r="D39" s="1" t="s">
        <v>248</v>
      </c>
      <c r="E39" s="1" t="s">
        <v>249</v>
      </c>
      <c r="F39" s="3" t="s">
        <v>24</v>
      </c>
      <c r="G39" s="3"/>
      <c r="H39" s="1" t="str">
        <f>IFERROR(__xludf.DUMMYFUNCTION("IFERROR(REGEXEXTRACT(D39, ""res(269|122)""), ""none"")"),"122")</f>
        <v>122</v>
      </c>
      <c r="I39" s="1">
        <v>-17.093997</v>
      </c>
      <c r="J39" s="1">
        <v>10.0</v>
      </c>
      <c r="K39" s="1">
        <v>3.0</v>
      </c>
      <c r="L39" s="1">
        <v>0.3</v>
      </c>
      <c r="M39" s="1">
        <v>2.0</v>
      </c>
      <c r="N39" s="1">
        <v>-0.77841</v>
      </c>
      <c r="O39" s="1">
        <v>100.0</v>
      </c>
      <c r="P39" s="1">
        <v>0.0</v>
      </c>
      <c r="Q39" s="1">
        <v>0.0</v>
      </c>
      <c r="R39" s="1">
        <v>97.427593</v>
      </c>
    </row>
    <row r="40">
      <c r="A40" s="1" t="s">
        <v>19</v>
      </c>
      <c r="B40" s="1" t="str">
        <f>IFERROR(__xludf.DUMMYFUNCTION("""../"" &amp; REGEXEXTRACT(D40, ""[^/]+$"")"),"../res122_7F16_receptor_only_Z373510144_152_4.pdb")</f>
        <v>../res122_7F16_receptor_only_Z373510144_152_4.pdb</v>
      </c>
      <c r="C40" s="1" t="s">
        <v>1059</v>
      </c>
      <c r="D40" s="1" t="s">
        <v>250</v>
      </c>
      <c r="E40" s="1" t="s">
        <v>65</v>
      </c>
      <c r="F40" s="3" t="s">
        <v>26</v>
      </c>
      <c r="G40" s="3" t="s">
        <v>67</v>
      </c>
      <c r="H40" s="1" t="str">
        <f>IFERROR(__xludf.DUMMYFUNCTION("IFERROR(REGEXEXTRACT(D40, ""res(269|122)""), ""none"")"),"122")</f>
        <v>122</v>
      </c>
      <c r="I40" s="1">
        <v>-17.086206</v>
      </c>
      <c r="J40" s="1">
        <v>7.0</v>
      </c>
      <c r="K40" s="1">
        <v>4.0</v>
      </c>
      <c r="L40" s="1">
        <v>0.285714</v>
      </c>
      <c r="M40" s="1">
        <v>3.0</v>
      </c>
      <c r="N40" s="1">
        <v>-1.038701</v>
      </c>
      <c r="O40" s="1">
        <v>100.0</v>
      </c>
      <c r="P40" s="1">
        <v>0.0</v>
      </c>
      <c r="Q40" s="1">
        <v>0.0</v>
      </c>
      <c r="R40" s="1">
        <v>96.160807</v>
      </c>
    </row>
    <row r="41">
      <c r="A41" s="1" t="s">
        <v>19</v>
      </c>
      <c r="B41" s="1" t="str">
        <f>IFERROR(__xludf.DUMMYFUNCTION("""../"" &amp; REGEXEXTRACT(D41, ""[^/]+$"")"),"../res122_7F16_receptor_only_Z410608138_27_7.pdb")</f>
        <v>../res122_7F16_receptor_only_Z410608138_27_7.pdb</v>
      </c>
      <c r="C41" s="1" t="s">
        <v>1059</v>
      </c>
      <c r="D41" s="1" t="s">
        <v>251</v>
      </c>
      <c r="E41" s="1" t="s">
        <v>69</v>
      </c>
      <c r="F41" s="3" t="s">
        <v>33</v>
      </c>
      <c r="G41" s="3"/>
      <c r="H41" s="1" t="str">
        <f>IFERROR(__xludf.DUMMYFUNCTION("IFERROR(REGEXEXTRACT(D41, ""res(269|122)""), ""none"")"),"122")</f>
        <v>122</v>
      </c>
      <c r="I41" s="1">
        <v>-15.386234</v>
      </c>
      <c r="J41" s="1">
        <v>11.0</v>
      </c>
      <c r="K41" s="1">
        <v>4.0</v>
      </c>
      <c r="L41" s="1">
        <v>0.454545</v>
      </c>
      <c r="M41" s="1">
        <v>2.0</v>
      </c>
      <c r="N41" s="1">
        <v>-0.508212</v>
      </c>
      <c r="O41" s="1">
        <v>100.0</v>
      </c>
      <c r="P41" s="1">
        <v>0.0</v>
      </c>
      <c r="Q41" s="1">
        <v>0.0</v>
      </c>
      <c r="R41" s="1">
        <v>101.560099</v>
      </c>
    </row>
    <row r="42">
      <c r="A42" s="1" t="s">
        <v>19</v>
      </c>
      <c r="B42" s="1" t="str">
        <f>IFERROR(__xludf.DUMMYFUNCTION("""../"" &amp; REGEXEXTRACT(D42, ""[^/]+$"")"),"../res122_7F16_receptor_only_Z4403343830_181_8.pdb")</f>
        <v>../res122_7F16_receptor_only_Z4403343830_181_8.pdb</v>
      </c>
      <c r="C42" s="1" t="s">
        <v>1059</v>
      </c>
      <c r="D42" s="1" t="s">
        <v>252</v>
      </c>
      <c r="E42" s="1" t="s">
        <v>114</v>
      </c>
      <c r="F42" s="3" t="s">
        <v>33</v>
      </c>
      <c r="G42" s="3"/>
      <c r="H42" s="1" t="str">
        <f>IFERROR(__xludf.DUMMYFUNCTION("IFERROR(REGEXEXTRACT(D42, ""res(269|122)""), ""none"")"),"122")</f>
        <v>122</v>
      </c>
      <c r="I42" s="1">
        <v>-16.231911</v>
      </c>
      <c r="J42" s="1">
        <v>12.0</v>
      </c>
      <c r="K42" s="1">
        <v>2.0</v>
      </c>
      <c r="L42" s="1">
        <v>0.25</v>
      </c>
      <c r="M42" s="1">
        <v>2.0</v>
      </c>
      <c r="N42" s="1">
        <v>-0.38947</v>
      </c>
      <c r="O42" s="1">
        <v>100.0</v>
      </c>
      <c r="P42" s="1">
        <v>0.0</v>
      </c>
      <c r="Q42" s="1">
        <v>0.0</v>
      </c>
      <c r="R42" s="1">
        <v>99.628619</v>
      </c>
    </row>
    <row r="43">
      <c r="A43" s="1" t="s">
        <v>19</v>
      </c>
      <c r="B43" s="1" t="str">
        <f>IFERROR(__xludf.DUMMYFUNCTION("""../"" &amp; REGEXEXTRACT(D43, ""[^/]+$"")"),"../res122_7F16_receptor_only_Z4510084000_121_0.pdb")</f>
        <v>../res122_7F16_receptor_only_Z4510084000_121_0.pdb</v>
      </c>
      <c r="C43" s="1" t="s">
        <v>1059</v>
      </c>
      <c r="D43" s="1" t="s">
        <v>253</v>
      </c>
      <c r="E43" s="1" t="s">
        <v>254</v>
      </c>
      <c r="F43" s="3" t="s">
        <v>24</v>
      </c>
      <c r="G43" s="3" t="s">
        <v>406</v>
      </c>
      <c r="H43" s="1" t="str">
        <f>IFERROR(__xludf.DUMMYFUNCTION("IFERROR(REGEXEXTRACT(D43, ""res(269|122)""), ""none"")"),"122")</f>
        <v>122</v>
      </c>
      <c r="I43" s="1">
        <v>-15.527357</v>
      </c>
      <c r="J43" s="1">
        <v>8.0</v>
      </c>
      <c r="K43" s="1">
        <v>3.0</v>
      </c>
      <c r="L43" s="1">
        <v>0.25</v>
      </c>
      <c r="M43" s="1">
        <v>2.0</v>
      </c>
      <c r="N43" s="1">
        <v>-0.966032</v>
      </c>
      <c r="O43" s="1">
        <v>100.0</v>
      </c>
      <c r="P43" s="1">
        <v>0.0</v>
      </c>
      <c r="Q43" s="1">
        <v>0.0</v>
      </c>
      <c r="R43" s="1">
        <v>96.756611</v>
      </c>
    </row>
    <row r="44">
      <c r="A44" s="1" t="s">
        <v>19</v>
      </c>
      <c r="B44" s="1" t="str">
        <f>IFERROR(__xludf.DUMMYFUNCTION("""../"" &amp; REGEXEXTRACT(D44, ""[^/]+$"")"),"../res122_7F16_receptor_only_Z994147138_207_0.pdb")</f>
        <v>../res122_7F16_receptor_only_Z994147138_207_0.pdb</v>
      </c>
      <c r="C44" s="1" t="s">
        <v>1059</v>
      </c>
      <c r="D44" s="1" t="s">
        <v>255</v>
      </c>
      <c r="E44" s="1" t="s">
        <v>256</v>
      </c>
      <c r="F44" s="3" t="s">
        <v>24</v>
      </c>
      <c r="G44" s="3"/>
      <c r="H44" s="1" t="str">
        <f>IFERROR(__xludf.DUMMYFUNCTION("IFERROR(REGEXEXTRACT(D44, ""res(269|122)""), ""none"")"),"122")</f>
        <v>122</v>
      </c>
      <c r="I44" s="1">
        <v>-15.777823</v>
      </c>
      <c r="J44" s="1">
        <v>9.0</v>
      </c>
      <c r="K44" s="1">
        <v>4.0</v>
      </c>
      <c r="L44" s="1">
        <v>0.333333</v>
      </c>
      <c r="M44" s="1">
        <v>2.0</v>
      </c>
      <c r="N44" s="1">
        <v>-1.671146</v>
      </c>
      <c r="O44" s="1">
        <v>100.0</v>
      </c>
      <c r="P44" s="1">
        <v>0.0</v>
      </c>
      <c r="Q44" s="1">
        <v>0.0</v>
      </c>
      <c r="R44" s="1">
        <v>97.884364</v>
      </c>
    </row>
    <row r="45">
      <c r="F45" s="5"/>
      <c r="G45" s="5"/>
    </row>
    <row r="46">
      <c r="F46" s="5"/>
      <c r="G46" s="5"/>
    </row>
    <row r="47">
      <c r="F47" s="5"/>
      <c r="G47" s="5"/>
    </row>
    <row r="48">
      <c r="F48" s="5"/>
      <c r="G48" s="5"/>
    </row>
    <row r="49">
      <c r="F49" s="5"/>
      <c r="G49" s="5"/>
    </row>
    <row r="50">
      <c r="F50" s="5"/>
      <c r="G50" s="5"/>
    </row>
    <row r="51">
      <c r="F51" s="5"/>
      <c r="G51" s="5"/>
    </row>
    <row r="52">
      <c r="F52" s="5"/>
      <c r="G52" s="5"/>
    </row>
    <row r="53">
      <c r="F53" s="5"/>
      <c r="G53" s="5"/>
    </row>
    <row r="54">
      <c r="F54" s="5"/>
      <c r="G54" s="5"/>
    </row>
    <row r="55">
      <c r="F55" s="5"/>
      <c r="G55" s="5"/>
    </row>
    <row r="56">
      <c r="F56" s="5"/>
      <c r="G56" s="5"/>
    </row>
    <row r="57">
      <c r="F57" s="5"/>
      <c r="G57" s="5"/>
    </row>
    <row r="58">
      <c r="F58" s="5"/>
      <c r="G58" s="5"/>
    </row>
    <row r="59">
      <c r="F59" s="5"/>
      <c r="G59" s="5"/>
    </row>
    <row r="60">
      <c r="F60" s="5"/>
      <c r="G60" s="5"/>
    </row>
    <row r="61">
      <c r="F61" s="5"/>
      <c r="G61" s="5"/>
    </row>
    <row r="62">
      <c r="F62" s="5"/>
      <c r="G62" s="5"/>
    </row>
    <row r="63">
      <c r="F63" s="5"/>
      <c r="G63" s="5"/>
    </row>
    <row r="64">
      <c r="F64" s="5"/>
      <c r="G64" s="5"/>
    </row>
    <row r="65">
      <c r="F65" s="5"/>
      <c r="G65" s="5"/>
    </row>
    <row r="66">
      <c r="F66" s="5"/>
      <c r="G66" s="5"/>
    </row>
    <row r="67">
      <c r="F67" s="5"/>
      <c r="G67" s="5"/>
    </row>
    <row r="68">
      <c r="F68" s="5"/>
      <c r="G68" s="5"/>
    </row>
    <row r="69">
      <c r="F69" s="5"/>
      <c r="G69" s="5"/>
    </row>
    <row r="70">
      <c r="F70" s="5"/>
      <c r="G70" s="5"/>
    </row>
    <row r="71">
      <c r="F71" s="5"/>
      <c r="G71" s="5"/>
    </row>
    <row r="72">
      <c r="F72" s="5"/>
      <c r="G72" s="5"/>
    </row>
    <row r="73">
      <c r="F73" s="5"/>
      <c r="G73" s="5"/>
    </row>
    <row r="74">
      <c r="F74" s="5"/>
      <c r="G74" s="5"/>
    </row>
    <row r="75">
      <c r="F75" s="5"/>
      <c r="G75" s="5"/>
    </row>
    <row r="76">
      <c r="F76" s="5"/>
      <c r="G76" s="5"/>
    </row>
    <row r="77">
      <c r="F77" s="5"/>
      <c r="G77" s="5"/>
    </row>
    <row r="78">
      <c r="F78" s="5"/>
      <c r="G78" s="5"/>
    </row>
    <row r="79">
      <c r="F79" s="5"/>
      <c r="G79" s="5"/>
    </row>
    <row r="80">
      <c r="F80" s="5"/>
      <c r="G80" s="5"/>
    </row>
    <row r="81">
      <c r="F81" s="5"/>
      <c r="G81" s="5"/>
    </row>
    <row r="82">
      <c r="F82" s="5"/>
      <c r="G82" s="5"/>
    </row>
    <row r="83">
      <c r="F83" s="5"/>
      <c r="G83" s="5"/>
    </row>
    <row r="84">
      <c r="F84" s="5"/>
      <c r="G84" s="5"/>
    </row>
    <row r="85">
      <c r="F85" s="5"/>
      <c r="G85" s="5"/>
    </row>
    <row r="86">
      <c r="F86" s="5"/>
      <c r="G86" s="5"/>
    </row>
    <row r="87">
      <c r="F87" s="5"/>
      <c r="G87" s="5"/>
    </row>
    <row r="88">
      <c r="F88" s="5"/>
      <c r="G88" s="5"/>
    </row>
    <row r="89">
      <c r="F89" s="5"/>
      <c r="G89" s="5"/>
    </row>
    <row r="90">
      <c r="F90" s="5"/>
      <c r="G90" s="5"/>
    </row>
    <row r="91">
      <c r="F91" s="5"/>
      <c r="G91" s="5"/>
    </row>
    <row r="92">
      <c r="F92" s="5"/>
      <c r="G92" s="5"/>
    </row>
    <row r="93">
      <c r="F93" s="5"/>
      <c r="G93" s="5"/>
    </row>
    <row r="94">
      <c r="F94" s="5"/>
      <c r="G94" s="5"/>
    </row>
    <row r="95">
      <c r="F95" s="5"/>
      <c r="G95" s="5"/>
    </row>
    <row r="96">
      <c r="F96" s="5"/>
      <c r="G96" s="5"/>
    </row>
    <row r="97">
      <c r="F97" s="5"/>
      <c r="G97" s="5"/>
    </row>
    <row r="98">
      <c r="F98" s="5"/>
      <c r="G98" s="5"/>
    </row>
    <row r="99">
      <c r="F99" s="5"/>
      <c r="G99" s="5"/>
    </row>
    <row r="100">
      <c r="F100" s="5"/>
      <c r="G100" s="5"/>
    </row>
    <row r="101">
      <c r="F101" s="5"/>
      <c r="G101" s="5"/>
    </row>
    <row r="102">
      <c r="F102" s="5"/>
      <c r="G102" s="5"/>
    </row>
    <row r="103">
      <c r="F103" s="5"/>
      <c r="G103" s="5"/>
    </row>
    <row r="104">
      <c r="F104" s="5"/>
      <c r="G104" s="5"/>
    </row>
    <row r="105">
      <c r="F105" s="5"/>
      <c r="G105" s="5"/>
    </row>
    <row r="106">
      <c r="F106" s="5"/>
      <c r="G106" s="5"/>
    </row>
    <row r="107">
      <c r="F107" s="5"/>
      <c r="G107" s="5"/>
    </row>
    <row r="108">
      <c r="F108" s="5"/>
      <c r="G108" s="5"/>
    </row>
    <row r="109">
      <c r="F109" s="5"/>
      <c r="G109" s="5"/>
    </row>
    <row r="110">
      <c r="F110" s="5"/>
      <c r="G110" s="5"/>
    </row>
    <row r="111">
      <c r="F111" s="5"/>
      <c r="G111" s="5"/>
    </row>
    <row r="112">
      <c r="F112" s="5"/>
      <c r="G112" s="5"/>
    </row>
    <row r="113">
      <c r="F113" s="5"/>
      <c r="G113" s="5"/>
    </row>
    <row r="114">
      <c r="F114" s="5"/>
      <c r="G114" s="5"/>
    </row>
    <row r="115">
      <c r="F115" s="5"/>
      <c r="G115" s="5"/>
    </row>
    <row r="116">
      <c r="F116" s="5"/>
      <c r="G116" s="5"/>
    </row>
    <row r="117">
      <c r="F117" s="5"/>
      <c r="G117" s="5"/>
    </row>
    <row r="118">
      <c r="F118" s="5"/>
      <c r="G118" s="5"/>
    </row>
    <row r="119">
      <c r="F119" s="5"/>
      <c r="G119" s="5"/>
    </row>
    <row r="120">
      <c r="F120" s="5"/>
      <c r="G120" s="5"/>
    </row>
    <row r="121">
      <c r="F121" s="5"/>
      <c r="G121" s="5"/>
    </row>
    <row r="122">
      <c r="F122" s="5"/>
      <c r="G122" s="5"/>
    </row>
    <row r="123">
      <c r="F123" s="5"/>
      <c r="G123" s="5"/>
    </row>
    <row r="124">
      <c r="F124" s="5"/>
      <c r="G124" s="5"/>
    </row>
    <row r="125">
      <c r="F125" s="5"/>
      <c r="G125" s="5"/>
    </row>
    <row r="126">
      <c r="F126" s="5"/>
      <c r="G126" s="5"/>
    </row>
    <row r="127">
      <c r="F127" s="5"/>
      <c r="G127" s="5"/>
    </row>
    <row r="128">
      <c r="F128" s="5"/>
      <c r="G128" s="5"/>
    </row>
    <row r="129">
      <c r="F129" s="5"/>
      <c r="G129" s="5"/>
    </row>
    <row r="130">
      <c r="F130" s="5"/>
      <c r="G130" s="5"/>
    </row>
    <row r="131">
      <c r="F131" s="5"/>
      <c r="G131" s="5"/>
    </row>
    <row r="132">
      <c r="F132" s="5"/>
      <c r="G132" s="5"/>
    </row>
    <row r="133">
      <c r="F133" s="5"/>
      <c r="G133" s="5"/>
    </row>
    <row r="134">
      <c r="F134" s="5"/>
      <c r="G134" s="5"/>
    </row>
    <row r="135">
      <c r="F135" s="5"/>
      <c r="G135" s="5"/>
    </row>
    <row r="136">
      <c r="F136" s="5"/>
      <c r="G136" s="5"/>
    </row>
    <row r="137">
      <c r="F137" s="5"/>
      <c r="G137" s="5"/>
    </row>
    <row r="138">
      <c r="F138" s="5"/>
      <c r="G138" s="5"/>
    </row>
    <row r="139">
      <c r="F139" s="5"/>
      <c r="G139" s="5"/>
    </row>
    <row r="140">
      <c r="F140" s="5"/>
      <c r="G140" s="5"/>
    </row>
    <row r="141">
      <c r="F141" s="5"/>
      <c r="G141" s="5"/>
    </row>
    <row r="142">
      <c r="F142" s="5"/>
      <c r="G142" s="5"/>
    </row>
    <row r="143">
      <c r="F143" s="5"/>
      <c r="G143" s="5"/>
    </row>
    <row r="144">
      <c r="F144" s="5"/>
      <c r="G144" s="5"/>
    </row>
    <row r="145">
      <c r="F145" s="5"/>
      <c r="G145" s="5"/>
    </row>
    <row r="146">
      <c r="F146" s="5"/>
      <c r="G146" s="5"/>
    </row>
    <row r="147">
      <c r="F147" s="5"/>
      <c r="G147" s="5"/>
    </row>
    <row r="148">
      <c r="F148" s="5"/>
      <c r="G148" s="5"/>
    </row>
    <row r="149">
      <c r="F149" s="5"/>
      <c r="G149" s="5"/>
    </row>
    <row r="150">
      <c r="F150" s="5"/>
      <c r="G150" s="5"/>
    </row>
    <row r="151">
      <c r="F151" s="5"/>
      <c r="G151" s="5"/>
    </row>
    <row r="152">
      <c r="F152" s="5"/>
      <c r="G152" s="5"/>
    </row>
    <row r="153">
      <c r="F153" s="5"/>
      <c r="G153" s="5"/>
    </row>
    <row r="154">
      <c r="F154" s="5"/>
      <c r="G154" s="5"/>
    </row>
    <row r="155">
      <c r="F155" s="5"/>
      <c r="G155" s="5"/>
    </row>
    <row r="156">
      <c r="F156" s="5"/>
      <c r="G156" s="5"/>
    </row>
    <row r="157">
      <c r="F157" s="5"/>
      <c r="G157" s="5"/>
    </row>
    <row r="158">
      <c r="F158" s="5"/>
      <c r="G158" s="5"/>
    </row>
    <row r="159">
      <c r="F159" s="5"/>
      <c r="G159" s="5"/>
    </row>
    <row r="160">
      <c r="F160" s="5"/>
      <c r="G160" s="5"/>
    </row>
    <row r="161">
      <c r="F161" s="5"/>
      <c r="G161" s="5"/>
    </row>
    <row r="162">
      <c r="F162" s="5"/>
      <c r="G162" s="5"/>
    </row>
    <row r="163">
      <c r="F163" s="5"/>
      <c r="G163" s="5"/>
    </row>
    <row r="164">
      <c r="F164" s="5"/>
      <c r="G164" s="5"/>
    </row>
    <row r="165">
      <c r="F165" s="5"/>
      <c r="G165" s="5"/>
    </row>
    <row r="166">
      <c r="F166" s="5"/>
      <c r="G166" s="5"/>
    </row>
    <row r="167">
      <c r="F167" s="5"/>
      <c r="G167" s="5"/>
    </row>
    <row r="168">
      <c r="F168" s="5"/>
      <c r="G168" s="5"/>
    </row>
    <row r="169">
      <c r="F169" s="5"/>
      <c r="G169" s="5"/>
    </row>
    <row r="170">
      <c r="F170" s="5"/>
      <c r="G170" s="5"/>
    </row>
    <row r="171">
      <c r="F171" s="5"/>
      <c r="G171" s="5"/>
    </row>
    <row r="172">
      <c r="F172" s="5"/>
      <c r="G172" s="5"/>
    </row>
    <row r="173">
      <c r="F173" s="5"/>
      <c r="G173" s="5"/>
    </row>
    <row r="174">
      <c r="F174" s="5"/>
      <c r="G174" s="5"/>
    </row>
    <row r="175">
      <c r="F175" s="5"/>
      <c r="G175" s="5"/>
    </row>
    <row r="176">
      <c r="F176" s="5"/>
      <c r="G176" s="5"/>
    </row>
    <row r="177">
      <c r="F177" s="5"/>
      <c r="G177" s="5"/>
    </row>
    <row r="178">
      <c r="F178" s="5"/>
      <c r="G178" s="5"/>
    </row>
    <row r="179">
      <c r="F179" s="5"/>
      <c r="G179" s="5"/>
    </row>
    <row r="180">
      <c r="F180" s="5"/>
      <c r="G180" s="5"/>
    </row>
    <row r="181">
      <c r="F181" s="5"/>
      <c r="G181" s="5"/>
    </row>
    <row r="182">
      <c r="F182" s="5"/>
      <c r="G182" s="5"/>
    </row>
    <row r="183">
      <c r="F183" s="5"/>
      <c r="G183" s="5"/>
    </row>
    <row r="184">
      <c r="F184" s="5"/>
      <c r="G184" s="5"/>
    </row>
    <row r="185">
      <c r="F185" s="5"/>
      <c r="G185" s="5"/>
    </row>
    <row r="186">
      <c r="F186" s="5"/>
      <c r="G186" s="5"/>
    </row>
    <row r="187">
      <c r="F187" s="5"/>
      <c r="G187" s="5"/>
    </row>
    <row r="188">
      <c r="F188" s="5"/>
      <c r="G188" s="5"/>
    </row>
    <row r="189">
      <c r="F189" s="5"/>
      <c r="G189" s="5"/>
    </row>
    <row r="190">
      <c r="F190" s="5"/>
      <c r="G190" s="5"/>
    </row>
    <row r="191">
      <c r="F191" s="5"/>
      <c r="G191" s="5"/>
    </row>
    <row r="192">
      <c r="F192" s="5"/>
      <c r="G192" s="5"/>
    </row>
    <row r="193">
      <c r="F193" s="5"/>
      <c r="G193" s="5"/>
    </row>
    <row r="194">
      <c r="F194" s="5"/>
      <c r="G194" s="5"/>
    </row>
    <row r="195">
      <c r="F195" s="5"/>
      <c r="G195" s="5"/>
    </row>
    <row r="196">
      <c r="F196" s="5"/>
      <c r="G196" s="5"/>
    </row>
    <row r="197">
      <c r="F197" s="5"/>
      <c r="G197" s="5"/>
    </row>
    <row r="198">
      <c r="F198" s="5"/>
      <c r="G198" s="5"/>
    </row>
    <row r="199">
      <c r="F199" s="5"/>
      <c r="G199" s="5"/>
    </row>
    <row r="200">
      <c r="F200" s="5"/>
      <c r="G200" s="5"/>
    </row>
    <row r="201">
      <c r="F201" s="5"/>
      <c r="G201" s="5"/>
    </row>
    <row r="202">
      <c r="F202" s="5"/>
      <c r="G202" s="5"/>
    </row>
    <row r="203">
      <c r="F203" s="5"/>
      <c r="G203" s="5"/>
    </row>
    <row r="204">
      <c r="F204" s="5"/>
      <c r="G204" s="5"/>
    </row>
    <row r="205">
      <c r="F205" s="5"/>
      <c r="G205" s="5"/>
    </row>
    <row r="206">
      <c r="F206" s="5"/>
      <c r="G206" s="5"/>
    </row>
    <row r="207">
      <c r="F207" s="5"/>
      <c r="G207" s="5"/>
    </row>
    <row r="208">
      <c r="F208" s="5"/>
      <c r="G208" s="5"/>
    </row>
    <row r="209">
      <c r="F209" s="5"/>
      <c r="G209" s="5"/>
    </row>
    <row r="210">
      <c r="F210" s="5"/>
      <c r="G210" s="5"/>
    </row>
    <row r="211">
      <c r="F211" s="5"/>
      <c r="G211" s="5"/>
    </row>
    <row r="212">
      <c r="F212" s="5"/>
      <c r="G212" s="5"/>
    </row>
    <row r="213">
      <c r="F213" s="5"/>
      <c r="G213" s="5"/>
    </row>
    <row r="214">
      <c r="F214" s="5"/>
      <c r="G214" s="5"/>
    </row>
    <row r="215">
      <c r="F215" s="5"/>
      <c r="G215" s="5"/>
    </row>
    <row r="216">
      <c r="F216" s="5"/>
      <c r="G216" s="5"/>
    </row>
    <row r="217">
      <c r="F217" s="5"/>
      <c r="G217" s="5"/>
    </row>
    <row r="218">
      <c r="F218" s="5"/>
      <c r="G218" s="5"/>
    </row>
    <row r="219">
      <c r="F219" s="5"/>
      <c r="G219" s="5"/>
    </row>
    <row r="220">
      <c r="F220" s="5"/>
      <c r="G220" s="5"/>
    </row>
    <row r="221">
      <c r="F221" s="5"/>
      <c r="G221" s="5"/>
    </row>
    <row r="222">
      <c r="F222" s="5"/>
      <c r="G222" s="5"/>
    </row>
    <row r="223">
      <c r="F223" s="5"/>
      <c r="G223" s="5"/>
    </row>
    <row r="224">
      <c r="F224" s="5"/>
      <c r="G224" s="5"/>
    </row>
    <row r="225">
      <c r="F225" s="5"/>
      <c r="G225" s="5"/>
    </row>
    <row r="226">
      <c r="F226" s="5"/>
      <c r="G226" s="5"/>
    </row>
    <row r="227">
      <c r="F227" s="5"/>
      <c r="G227" s="5"/>
    </row>
    <row r="228">
      <c r="F228" s="5"/>
      <c r="G228" s="5"/>
    </row>
    <row r="229">
      <c r="F229" s="5"/>
      <c r="G229" s="5"/>
    </row>
    <row r="230">
      <c r="F230" s="5"/>
      <c r="G230" s="5"/>
    </row>
    <row r="231">
      <c r="F231" s="5"/>
      <c r="G231" s="5"/>
    </row>
    <row r="232">
      <c r="F232" s="5"/>
      <c r="G232" s="5"/>
    </row>
    <row r="233">
      <c r="F233" s="5"/>
      <c r="G233" s="5"/>
    </row>
    <row r="234">
      <c r="F234" s="5"/>
      <c r="G234" s="5"/>
    </row>
    <row r="235">
      <c r="F235" s="5"/>
      <c r="G235" s="5"/>
    </row>
    <row r="236">
      <c r="F236" s="5"/>
      <c r="G236" s="5"/>
    </row>
    <row r="237">
      <c r="F237" s="5"/>
      <c r="G237" s="5"/>
    </row>
    <row r="238">
      <c r="F238" s="5"/>
      <c r="G238" s="5"/>
    </row>
    <row r="239">
      <c r="F239" s="5"/>
      <c r="G239" s="5"/>
    </row>
    <row r="240">
      <c r="F240" s="5"/>
      <c r="G240" s="5"/>
    </row>
    <row r="241">
      <c r="F241" s="5"/>
      <c r="G241" s="5"/>
    </row>
    <row r="242">
      <c r="F242" s="5"/>
      <c r="G242" s="5"/>
    </row>
    <row r="243">
      <c r="F243" s="5"/>
      <c r="G243" s="5"/>
    </row>
    <row r="244">
      <c r="F244" s="5"/>
      <c r="G244" s="5"/>
    </row>
    <row r="245">
      <c r="F245" s="5"/>
      <c r="G245" s="5"/>
    </row>
    <row r="246">
      <c r="F246" s="5"/>
      <c r="G246" s="5"/>
    </row>
    <row r="247">
      <c r="F247" s="5"/>
      <c r="G247" s="5"/>
    </row>
    <row r="248">
      <c r="F248" s="5"/>
      <c r="G248" s="5"/>
    </row>
    <row r="249">
      <c r="F249" s="5"/>
      <c r="G249" s="5"/>
    </row>
    <row r="250">
      <c r="F250" s="5"/>
      <c r="G250" s="5"/>
    </row>
    <row r="251">
      <c r="F251" s="5"/>
      <c r="G251" s="5"/>
    </row>
    <row r="252">
      <c r="F252" s="5"/>
      <c r="G252" s="5"/>
    </row>
    <row r="253">
      <c r="F253" s="5"/>
      <c r="G253" s="5"/>
    </row>
    <row r="254">
      <c r="F254" s="5"/>
      <c r="G254" s="5"/>
    </row>
    <row r="255">
      <c r="F255" s="5"/>
      <c r="G255" s="5"/>
    </row>
    <row r="256">
      <c r="F256" s="5"/>
      <c r="G256" s="5"/>
    </row>
    <row r="257">
      <c r="F257" s="5"/>
      <c r="G257" s="5"/>
    </row>
    <row r="258">
      <c r="F258" s="5"/>
      <c r="G258" s="5"/>
    </row>
    <row r="259">
      <c r="F259" s="5"/>
      <c r="G259" s="5"/>
    </row>
    <row r="260">
      <c r="F260" s="5"/>
      <c r="G260" s="5"/>
    </row>
    <row r="261">
      <c r="F261" s="5"/>
      <c r="G261" s="5"/>
    </row>
    <row r="262">
      <c r="F262" s="5"/>
      <c r="G262" s="5"/>
    </row>
    <row r="263">
      <c r="F263" s="5"/>
      <c r="G263" s="5"/>
    </row>
    <row r="264">
      <c r="F264" s="5"/>
      <c r="G264" s="5"/>
    </row>
    <row r="265">
      <c r="F265" s="5"/>
      <c r="G265" s="5"/>
    </row>
    <row r="266">
      <c r="F266" s="5"/>
      <c r="G266" s="5"/>
    </row>
    <row r="267">
      <c r="F267" s="5"/>
      <c r="G267" s="5"/>
    </row>
    <row r="268">
      <c r="F268" s="5"/>
      <c r="G268" s="5"/>
    </row>
    <row r="269">
      <c r="F269" s="5"/>
      <c r="G269" s="5"/>
    </row>
    <row r="270">
      <c r="F270" s="5"/>
      <c r="G270" s="5"/>
    </row>
    <row r="271">
      <c r="F271" s="5"/>
      <c r="G271" s="5"/>
    </row>
    <row r="272">
      <c r="F272" s="5"/>
      <c r="G272" s="5"/>
    </row>
    <row r="273">
      <c r="F273" s="5"/>
      <c r="G273" s="5"/>
    </row>
    <row r="274">
      <c r="F274" s="5"/>
      <c r="G274" s="5"/>
    </row>
    <row r="275">
      <c r="F275" s="5"/>
      <c r="G275" s="5"/>
    </row>
    <row r="276">
      <c r="F276" s="5"/>
      <c r="G276" s="5"/>
    </row>
    <row r="277">
      <c r="F277" s="5"/>
      <c r="G277" s="5"/>
    </row>
    <row r="278">
      <c r="F278" s="5"/>
      <c r="G278" s="5"/>
    </row>
    <row r="279">
      <c r="F279" s="5"/>
      <c r="G279" s="5"/>
    </row>
    <row r="280">
      <c r="F280" s="5"/>
      <c r="G280" s="5"/>
    </row>
    <row r="281">
      <c r="F281" s="5"/>
      <c r="G281" s="5"/>
    </row>
    <row r="282">
      <c r="F282" s="5"/>
      <c r="G282" s="5"/>
    </row>
    <row r="283">
      <c r="F283" s="5"/>
      <c r="G283" s="5"/>
    </row>
    <row r="284">
      <c r="F284" s="5"/>
      <c r="G284" s="5"/>
    </row>
    <row r="285">
      <c r="F285" s="5"/>
      <c r="G285" s="5"/>
    </row>
    <row r="286">
      <c r="F286" s="5"/>
      <c r="G286" s="5"/>
    </row>
    <row r="287">
      <c r="F287" s="5"/>
      <c r="G287" s="5"/>
    </row>
    <row r="288">
      <c r="F288" s="5"/>
      <c r="G288" s="5"/>
    </row>
    <row r="289">
      <c r="F289" s="5"/>
      <c r="G289" s="5"/>
    </row>
    <row r="290">
      <c r="F290" s="5"/>
      <c r="G290" s="5"/>
    </row>
    <row r="291">
      <c r="F291" s="5"/>
      <c r="G291" s="5"/>
    </row>
    <row r="292">
      <c r="F292" s="5"/>
      <c r="G292" s="5"/>
    </row>
    <row r="293">
      <c r="F293" s="5"/>
      <c r="G293" s="5"/>
    </row>
    <row r="294">
      <c r="F294" s="5"/>
      <c r="G294" s="5"/>
    </row>
    <row r="295">
      <c r="F295" s="5"/>
      <c r="G295" s="5"/>
    </row>
    <row r="296">
      <c r="F296" s="5"/>
      <c r="G296" s="5"/>
    </row>
    <row r="297">
      <c r="F297" s="5"/>
      <c r="G297" s="5"/>
    </row>
    <row r="298">
      <c r="F298" s="5"/>
      <c r="G298" s="5"/>
    </row>
    <row r="299">
      <c r="F299" s="5"/>
      <c r="G299" s="5"/>
    </row>
    <row r="300">
      <c r="F300" s="5"/>
      <c r="G300" s="5"/>
    </row>
    <row r="301">
      <c r="F301" s="5"/>
      <c r="G301" s="5"/>
    </row>
    <row r="302">
      <c r="F302" s="5"/>
      <c r="G302" s="5"/>
    </row>
    <row r="303">
      <c r="F303" s="5"/>
      <c r="G303" s="5"/>
    </row>
    <row r="304">
      <c r="F304" s="5"/>
      <c r="G304" s="5"/>
    </row>
    <row r="305">
      <c r="F305" s="5"/>
      <c r="G305" s="5"/>
    </row>
    <row r="306">
      <c r="F306" s="5"/>
      <c r="G306" s="5"/>
    </row>
    <row r="307">
      <c r="F307" s="5"/>
      <c r="G307" s="5"/>
    </row>
    <row r="308">
      <c r="F308" s="5"/>
      <c r="G308" s="5"/>
    </row>
    <row r="309">
      <c r="F309" s="5"/>
      <c r="G309" s="5"/>
    </row>
    <row r="310">
      <c r="F310" s="5"/>
      <c r="G310" s="5"/>
    </row>
    <row r="311">
      <c r="F311" s="5"/>
      <c r="G311" s="5"/>
    </row>
    <row r="312">
      <c r="F312" s="5"/>
      <c r="G312" s="5"/>
    </row>
    <row r="313">
      <c r="F313" s="5"/>
      <c r="G313" s="5"/>
    </row>
    <row r="314">
      <c r="F314" s="5"/>
      <c r="G314" s="5"/>
    </row>
    <row r="315">
      <c r="F315" s="5"/>
      <c r="G315" s="5"/>
    </row>
    <row r="316">
      <c r="F316" s="5"/>
      <c r="G316" s="5"/>
    </row>
    <row r="317">
      <c r="F317" s="5"/>
      <c r="G317" s="5"/>
    </row>
    <row r="318">
      <c r="F318" s="5"/>
      <c r="G318" s="5"/>
    </row>
    <row r="319">
      <c r="F319" s="5"/>
      <c r="G319" s="5"/>
    </row>
    <row r="320">
      <c r="F320" s="5"/>
      <c r="G320" s="5"/>
    </row>
    <row r="321">
      <c r="F321" s="5"/>
      <c r="G321" s="5"/>
    </row>
    <row r="322">
      <c r="F322" s="5"/>
      <c r="G322" s="5"/>
    </row>
    <row r="323">
      <c r="F323" s="5"/>
      <c r="G323" s="5"/>
    </row>
    <row r="324">
      <c r="F324" s="5"/>
      <c r="G324" s="5"/>
    </row>
    <row r="325">
      <c r="F325" s="5"/>
      <c r="G325" s="5"/>
    </row>
    <row r="326">
      <c r="F326" s="5"/>
      <c r="G326" s="5"/>
    </row>
    <row r="327">
      <c r="F327" s="5"/>
      <c r="G327" s="5"/>
    </row>
    <row r="328">
      <c r="F328" s="5"/>
      <c r="G328" s="5"/>
    </row>
    <row r="329">
      <c r="F329" s="5"/>
      <c r="G329" s="5"/>
    </row>
    <row r="330">
      <c r="F330" s="5"/>
      <c r="G330" s="5"/>
    </row>
    <row r="331">
      <c r="F331" s="5"/>
      <c r="G331" s="5"/>
    </row>
    <row r="332">
      <c r="F332" s="5"/>
      <c r="G332" s="5"/>
    </row>
    <row r="333">
      <c r="F333" s="5"/>
      <c r="G333" s="5"/>
    </row>
    <row r="334">
      <c r="F334" s="5"/>
      <c r="G334" s="5"/>
    </row>
    <row r="335">
      <c r="F335" s="5"/>
      <c r="G335" s="5"/>
    </row>
    <row r="336">
      <c r="F336" s="5"/>
      <c r="G336" s="5"/>
    </row>
    <row r="337">
      <c r="F337" s="5"/>
      <c r="G337" s="5"/>
    </row>
    <row r="338">
      <c r="F338" s="5"/>
      <c r="G338" s="5"/>
    </row>
    <row r="339">
      <c r="F339" s="5"/>
      <c r="G339" s="5"/>
    </row>
    <row r="340">
      <c r="F340" s="5"/>
      <c r="G340" s="5"/>
    </row>
    <row r="341">
      <c r="F341" s="5"/>
      <c r="G341" s="5"/>
    </row>
    <row r="342">
      <c r="F342" s="5"/>
      <c r="G342" s="5"/>
    </row>
    <row r="343">
      <c r="F343" s="5"/>
      <c r="G343" s="5"/>
    </row>
    <row r="344">
      <c r="F344" s="5"/>
      <c r="G344" s="5"/>
    </row>
    <row r="345">
      <c r="F345" s="5"/>
      <c r="G345" s="5"/>
    </row>
    <row r="346">
      <c r="F346" s="5"/>
      <c r="G346" s="5"/>
    </row>
    <row r="347">
      <c r="F347" s="5"/>
      <c r="G347" s="5"/>
    </row>
    <row r="348">
      <c r="F348" s="5"/>
      <c r="G348" s="5"/>
    </row>
    <row r="349">
      <c r="F349" s="5"/>
      <c r="G349" s="5"/>
    </row>
    <row r="350">
      <c r="F350" s="5"/>
      <c r="G350" s="5"/>
    </row>
    <row r="351">
      <c r="F351" s="5"/>
      <c r="G351" s="5"/>
    </row>
    <row r="352">
      <c r="F352" s="5"/>
      <c r="G352" s="5"/>
    </row>
    <row r="353">
      <c r="F353" s="5"/>
      <c r="G353" s="5"/>
    </row>
    <row r="354">
      <c r="F354" s="5"/>
      <c r="G354" s="5"/>
    </row>
    <row r="355">
      <c r="F355" s="5"/>
      <c r="G355" s="5"/>
    </row>
    <row r="356">
      <c r="F356" s="5"/>
      <c r="G356" s="5"/>
    </row>
    <row r="357">
      <c r="F357" s="5"/>
      <c r="G357" s="5"/>
    </row>
    <row r="358">
      <c r="F358" s="5"/>
      <c r="G358" s="5"/>
    </row>
    <row r="359">
      <c r="F359" s="5"/>
      <c r="G359" s="5"/>
    </row>
    <row r="360">
      <c r="F360" s="5"/>
      <c r="G360" s="5"/>
    </row>
    <row r="361">
      <c r="F361" s="5"/>
      <c r="G361" s="5"/>
    </row>
    <row r="362">
      <c r="F362" s="5"/>
      <c r="G362" s="5"/>
    </row>
    <row r="363">
      <c r="F363" s="5"/>
      <c r="G363" s="5"/>
    </row>
    <row r="364">
      <c r="F364" s="5"/>
      <c r="G364" s="5"/>
    </row>
    <row r="365">
      <c r="F365" s="5"/>
      <c r="G365" s="5"/>
    </row>
    <row r="366">
      <c r="F366" s="5"/>
      <c r="G366" s="5"/>
    </row>
    <row r="367">
      <c r="F367" s="5"/>
      <c r="G367" s="5"/>
    </row>
    <row r="368">
      <c r="F368" s="5"/>
      <c r="G368" s="5"/>
    </row>
    <row r="369">
      <c r="F369" s="5"/>
      <c r="G369" s="5"/>
    </row>
    <row r="370">
      <c r="F370" s="5"/>
      <c r="G370" s="5"/>
    </row>
    <row r="371">
      <c r="F371" s="5"/>
      <c r="G371" s="5"/>
    </row>
    <row r="372">
      <c r="F372" s="5"/>
      <c r="G372" s="5"/>
    </row>
    <row r="373">
      <c r="F373" s="5"/>
      <c r="G373" s="5"/>
    </row>
    <row r="374">
      <c r="F374" s="5"/>
      <c r="G374" s="5"/>
    </row>
    <row r="375">
      <c r="F375" s="5"/>
      <c r="G375" s="5"/>
    </row>
    <row r="376">
      <c r="F376" s="5"/>
      <c r="G376" s="5"/>
    </row>
    <row r="377">
      <c r="F377" s="5"/>
      <c r="G377" s="5"/>
    </row>
    <row r="378">
      <c r="F378" s="5"/>
      <c r="G378" s="5"/>
    </row>
    <row r="379">
      <c r="F379" s="5"/>
      <c r="G379" s="5"/>
    </row>
    <row r="380">
      <c r="F380" s="5"/>
      <c r="G380" s="5"/>
    </row>
    <row r="381">
      <c r="F381" s="5"/>
      <c r="G381" s="5"/>
    </row>
    <row r="382">
      <c r="F382" s="5"/>
      <c r="G382" s="5"/>
    </row>
    <row r="383">
      <c r="F383" s="5"/>
      <c r="G383" s="5"/>
    </row>
    <row r="384">
      <c r="F384" s="5"/>
      <c r="G384" s="5"/>
    </row>
    <row r="385">
      <c r="F385" s="5"/>
      <c r="G385" s="5"/>
    </row>
    <row r="386">
      <c r="F386" s="5"/>
      <c r="G386" s="5"/>
    </row>
    <row r="387">
      <c r="F387" s="5"/>
      <c r="G387" s="5"/>
    </row>
    <row r="388">
      <c r="F388" s="5"/>
      <c r="G388" s="5"/>
    </row>
    <row r="389">
      <c r="F389" s="5"/>
      <c r="G389" s="5"/>
    </row>
    <row r="390">
      <c r="F390" s="5"/>
      <c r="G390" s="5"/>
    </row>
    <row r="391">
      <c r="F391" s="5"/>
      <c r="G391" s="5"/>
    </row>
    <row r="392">
      <c r="F392" s="5"/>
      <c r="G392" s="5"/>
    </row>
    <row r="393">
      <c r="F393" s="5"/>
      <c r="G393" s="5"/>
    </row>
    <row r="394">
      <c r="F394" s="5"/>
      <c r="G394" s="5"/>
    </row>
    <row r="395">
      <c r="F395" s="5"/>
      <c r="G395" s="5"/>
    </row>
    <row r="396">
      <c r="F396" s="5"/>
      <c r="G396" s="5"/>
    </row>
    <row r="397">
      <c r="F397" s="5"/>
      <c r="G397" s="5"/>
    </row>
    <row r="398">
      <c r="F398" s="5"/>
      <c r="G398" s="5"/>
    </row>
    <row r="399">
      <c r="F399" s="5"/>
      <c r="G399" s="5"/>
    </row>
    <row r="400">
      <c r="F400" s="5"/>
      <c r="G400" s="5"/>
    </row>
    <row r="401">
      <c r="F401" s="5"/>
      <c r="G401" s="5"/>
    </row>
    <row r="402">
      <c r="F402" s="5"/>
      <c r="G402" s="5"/>
    </row>
    <row r="403">
      <c r="F403" s="5"/>
      <c r="G403" s="5"/>
    </row>
    <row r="404">
      <c r="F404" s="5"/>
      <c r="G404" s="5"/>
    </row>
    <row r="405">
      <c r="F405" s="5"/>
      <c r="G405" s="5"/>
    </row>
    <row r="406">
      <c r="F406" s="5"/>
      <c r="G406" s="5"/>
    </row>
    <row r="407">
      <c r="F407" s="5"/>
      <c r="G407" s="5"/>
    </row>
    <row r="408">
      <c r="F408" s="5"/>
      <c r="G408" s="5"/>
    </row>
    <row r="409">
      <c r="F409" s="5"/>
      <c r="G409" s="5"/>
    </row>
    <row r="410">
      <c r="F410" s="5"/>
      <c r="G410" s="5"/>
    </row>
    <row r="411">
      <c r="F411" s="5"/>
      <c r="G411" s="5"/>
    </row>
    <row r="412">
      <c r="F412" s="5"/>
      <c r="G412" s="5"/>
    </row>
    <row r="413">
      <c r="F413" s="5"/>
      <c r="G413" s="5"/>
    </row>
    <row r="414">
      <c r="F414" s="5"/>
      <c r="G414" s="5"/>
    </row>
    <row r="415">
      <c r="F415" s="5"/>
      <c r="G415" s="5"/>
    </row>
    <row r="416">
      <c r="F416" s="5"/>
      <c r="G416" s="5"/>
    </row>
    <row r="417">
      <c r="F417" s="5"/>
      <c r="G417" s="5"/>
    </row>
    <row r="418">
      <c r="F418" s="5"/>
      <c r="G418" s="5"/>
    </row>
    <row r="419">
      <c r="F419" s="5"/>
      <c r="G419" s="5"/>
    </row>
    <row r="420">
      <c r="F420" s="5"/>
      <c r="G420" s="5"/>
    </row>
    <row r="421">
      <c r="F421" s="5"/>
      <c r="G421" s="5"/>
    </row>
    <row r="422">
      <c r="F422" s="5"/>
      <c r="G422" s="5"/>
    </row>
    <row r="423">
      <c r="F423" s="5"/>
      <c r="G423" s="5"/>
    </row>
    <row r="424">
      <c r="F424" s="5"/>
      <c r="G424" s="5"/>
    </row>
    <row r="425">
      <c r="F425" s="5"/>
      <c r="G425" s="5"/>
    </row>
    <row r="426">
      <c r="F426" s="5"/>
      <c r="G426" s="5"/>
    </row>
    <row r="427">
      <c r="F427" s="5"/>
      <c r="G427" s="5"/>
    </row>
    <row r="428">
      <c r="F428" s="5"/>
      <c r="G428" s="5"/>
    </row>
    <row r="429">
      <c r="F429" s="5"/>
      <c r="G429" s="5"/>
    </row>
    <row r="430">
      <c r="F430" s="5"/>
      <c r="G430" s="5"/>
    </row>
    <row r="431">
      <c r="F431" s="5"/>
      <c r="G431" s="5"/>
    </row>
    <row r="432">
      <c r="F432" s="5"/>
      <c r="G432" s="5"/>
    </row>
    <row r="433">
      <c r="F433" s="5"/>
      <c r="G433" s="5"/>
    </row>
    <row r="434">
      <c r="F434" s="5"/>
      <c r="G434" s="5"/>
    </row>
    <row r="435">
      <c r="F435" s="5"/>
      <c r="G435" s="5"/>
    </row>
    <row r="436">
      <c r="F436" s="5"/>
      <c r="G436" s="5"/>
    </row>
    <row r="437">
      <c r="F437" s="5"/>
      <c r="G437" s="5"/>
    </row>
    <row r="438">
      <c r="F438" s="5"/>
      <c r="G438" s="5"/>
    </row>
    <row r="439">
      <c r="F439" s="5"/>
      <c r="G439" s="5"/>
    </row>
    <row r="440">
      <c r="F440" s="5"/>
      <c r="G440" s="5"/>
    </row>
    <row r="441">
      <c r="F441" s="5"/>
      <c r="G441" s="5"/>
    </row>
    <row r="442">
      <c r="F442" s="5"/>
      <c r="G442" s="5"/>
    </row>
    <row r="443">
      <c r="F443" s="5"/>
      <c r="G443" s="5"/>
    </row>
    <row r="444">
      <c r="F444" s="5"/>
      <c r="G444" s="5"/>
    </row>
    <row r="445">
      <c r="F445" s="5"/>
      <c r="G445" s="5"/>
    </row>
    <row r="446">
      <c r="F446" s="5"/>
      <c r="G446" s="5"/>
    </row>
    <row r="447">
      <c r="F447" s="5"/>
      <c r="G447" s="5"/>
    </row>
    <row r="448">
      <c r="F448" s="5"/>
      <c r="G448" s="5"/>
    </row>
    <row r="449">
      <c r="F449" s="5"/>
      <c r="G449" s="5"/>
    </row>
    <row r="450">
      <c r="F450" s="5"/>
      <c r="G450" s="5"/>
    </row>
    <row r="451">
      <c r="F451" s="5"/>
      <c r="G451" s="5"/>
    </row>
    <row r="452">
      <c r="F452" s="5"/>
      <c r="G452" s="5"/>
    </row>
    <row r="453">
      <c r="F453" s="5"/>
      <c r="G453" s="5"/>
    </row>
    <row r="454">
      <c r="F454" s="5"/>
      <c r="G454" s="5"/>
    </row>
    <row r="455">
      <c r="F455" s="5"/>
      <c r="G455" s="5"/>
    </row>
    <row r="456">
      <c r="F456" s="5"/>
      <c r="G456" s="5"/>
    </row>
    <row r="457">
      <c r="F457" s="5"/>
      <c r="G457" s="5"/>
    </row>
    <row r="458">
      <c r="F458" s="5"/>
      <c r="G458" s="5"/>
    </row>
    <row r="459">
      <c r="F459" s="5"/>
      <c r="G459" s="5"/>
    </row>
    <row r="460">
      <c r="F460" s="5"/>
      <c r="G460" s="5"/>
    </row>
    <row r="461">
      <c r="F461" s="5"/>
      <c r="G461" s="5"/>
    </row>
    <row r="462">
      <c r="F462" s="5"/>
      <c r="G462" s="5"/>
    </row>
    <row r="463">
      <c r="F463" s="5"/>
      <c r="G463" s="5"/>
    </row>
    <row r="464">
      <c r="F464" s="5"/>
      <c r="G464" s="5"/>
    </row>
    <row r="465">
      <c r="F465" s="5"/>
      <c r="G465" s="5"/>
    </row>
    <row r="466">
      <c r="F466" s="5"/>
      <c r="G466" s="5"/>
    </row>
    <row r="467">
      <c r="F467" s="5"/>
      <c r="G467" s="5"/>
    </row>
    <row r="468">
      <c r="F468" s="5"/>
      <c r="G468" s="5"/>
    </row>
    <row r="469">
      <c r="F469" s="5"/>
      <c r="G469" s="5"/>
    </row>
    <row r="470">
      <c r="F470" s="5"/>
      <c r="G470" s="5"/>
    </row>
    <row r="471">
      <c r="F471" s="5"/>
      <c r="G471" s="5"/>
    </row>
    <row r="472">
      <c r="F472" s="5"/>
      <c r="G472" s="5"/>
    </row>
    <row r="473">
      <c r="F473" s="5"/>
      <c r="G473" s="5"/>
    </row>
    <row r="474">
      <c r="F474" s="5"/>
      <c r="G474" s="5"/>
    </row>
    <row r="475">
      <c r="F475" s="5"/>
      <c r="G475" s="5"/>
    </row>
    <row r="476">
      <c r="F476" s="5"/>
      <c r="G476" s="5"/>
    </row>
    <row r="477">
      <c r="F477" s="5"/>
      <c r="G477" s="5"/>
    </row>
    <row r="478">
      <c r="F478" s="5"/>
      <c r="G478" s="5"/>
    </row>
    <row r="479">
      <c r="F479" s="5"/>
      <c r="G479" s="5"/>
    </row>
    <row r="480">
      <c r="F480" s="5"/>
      <c r="G480" s="5"/>
    </row>
    <row r="481">
      <c r="F481" s="5"/>
      <c r="G481" s="5"/>
    </row>
    <row r="482">
      <c r="F482" s="5"/>
      <c r="G482" s="5"/>
    </row>
    <row r="483">
      <c r="F483" s="5"/>
      <c r="G483" s="5"/>
    </row>
    <row r="484">
      <c r="F484" s="5"/>
      <c r="G484" s="5"/>
    </row>
    <row r="485">
      <c r="F485" s="5"/>
      <c r="G485" s="5"/>
    </row>
    <row r="486">
      <c r="F486" s="5"/>
      <c r="G486" s="5"/>
    </row>
    <row r="487">
      <c r="F487" s="5"/>
      <c r="G487" s="5"/>
    </row>
    <row r="488">
      <c r="F488" s="5"/>
      <c r="G488" s="5"/>
    </row>
    <row r="489">
      <c r="F489" s="5"/>
      <c r="G489" s="5"/>
    </row>
    <row r="490">
      <c r="F490" s="5"/>
      <c r="G490" s="5"/>
    </row>
    <row r="491">
      <c r="F491" s="5"/>
      <c r="G491" s="5"/>
    </row>
    <row r="492">
      <c r="F492" s="5"/>
      <c r="G492" s="5"/>
    </row>
    <row r="493">
      <c r="F493" s="5"/>
      <c r="G493" s="5"/>
    </row>
    <row r="494">
      <c r="F494" s="5"/>
      <c r="G494" s="5"/>
    </row>
    <row r="495">
      <c r="F495" s="5"/>
      <c r="G495" s="5"/>
    </row>
    <row r="496">
      <c r="F496" s="5"/>
      <c r="G496" s="5"/>
    </row>
    <row r="497">
      <c r="F497" s="5"/>
      <c r="G497" s="5"/>
    </row>
    <row r="498">
      <c r="F498" s="5"/>
      <c r="G498" s="5"/>
    </row>
    <row r="499">
      <c r="F499" s="5"/>
      <c r="G499" s="5"/>
    </row>
    <row r="500">
      <c r="F500" s="5"/>
      <c r="G500" s="5"/>
    </row>
    <row r="501">
      <c r="F501" s="5"/>
      <c r="G501" s="5"/>
    </row>
    <row r="502">
      <c r="F502" s="5"/>
      <c r="G502" s="5"/>
    </row>
    <row r="503">
      <c r="F503" s="5"/>
      <c r="G503" s="5"/>
    </row>
    <row r="504">
      <c r="F504" s="5"/>
      <c r="G504" s="5"/>
    </row>
    <row r="505">
      <c r="F505" s="5"/>
      <c r="G505" s="5"/>
    </row>
    <row r="506">
      <c r="F506" s="5"/>
      <c r="G506" s="5"/>
    </row>
    <row r="507">
      <c r="F507" s="5"/>
      <c r="G507" s="5"/>
    </row>
    <row r="508">
      <c r="F508" s="5"/>
      <c r="G508" s="5"/>
    </row>
    <row r="509">
      <c r="F509" s="5"/>
      <c r="G509" s="5"/>
    </row>
    <row r="510">
      <c r="F510" s="5"/>
      <c r="G510" s="5"/>
    </row>
    <row r="511">
      <c r="F511" s="5"/>
      <c r="G511" s="5"/>
    </row>
    <row r="512">
      <c r="F512" s="5"/>
      <c r="G512" s="5"/>
    </row>
    <row r="513">
      <c r="F513" s="5"/>
      <c r="G513" s="5"/>
    </row>
    <row r="514">
      <c r="F514" s="5"/>
      <c r="G514" s="5"/>
    </row>
    <row r="515">
      <c r="F515" s="5"/>
      <c r="G515" s="5"/>
    </row>
    <row r="516">
      <c r="F516" s="5"/>
      <c r="G516" s="5"/>
    </row>
    <row r="517">
      <c r="F517" s="5"/>
      <c r="G517" s="5"/>
    </row>
    <row r="518">
      <c r="F518" s="5"/>
      <c r="G518" s="5"/>
    </row>
    <row r="519">
      <c r="F519" s="5"/>
      <c r="G519" s="5"/>
    </row>
    <row r="520">
      <c r="F520" s="5"/>
      <c r="G520" s="5"/>
    </row>
    <row r="521">
      <c r="F521" s="5"/>
      <c r="G521" s="5"/>
    </row>
    <row r="522">
      <c r="F522" s="5"/>
      <c r="G522" s="5"/>
    </row>
    <row r="523">
      <c r="F523" s="5"/>
      <c r="G523" s="5"/>
    </row>
    <row r="524">
      <c r="F524" s="5"/>
      <c r="G524" s="5"/>
    </row>
    <row r="525">
      <c r="F525" s="5"/>
      <c r="G525" s="5"/>
    </row>
    <row r="526">
      <c r="F526" s="5"/>
      <c r="G526" s="5"/>
    </row>
    <row r="527">
      <c r="F527" s="5"/>
      <c r="G527" s="5"/>
    </row>
    <row r="528">
      <c r="F528" s="5"/>
      <c r="G528" s="5"/>
    </row>
    <row r="529">
      <c r="F529" s="5"/>
      <c r="G529" s="5"/>
    </row>
    <row r="530">
      <c r="F530" s="5"/>
      <c r="G530" s="5"/>
    </row>
    <row r="531">
      <c r="F531" s="5"/>
      <c r="G531" s="5"/>
    </row>
    <row r="532">
      <c r="F532" s="5"/>
      <c r="G532" s="5"/>
    </row>
    <row r="533">
      <c r="F533" s="5"/>
      <c r="G533" s="5"/>
    </row>
    <row r="534">
      <c r="F534" s="5"/>
      <c r="G534" s="5"/>
    </row>
    <row r="535">
      <c r="F535" s="5"/>
      <c r="G535" s="5"/>
    </row>
    <row r="536">
      <c r="F536" s="5"/>
      <c r="G536" s="5"/>
    </row>
    <row r="537">
      <c r="F537" s="5"/>
      <c r="G537" s="5"/>
    </row>
    <row r="538">
      <c r="F538" s="5"/>
      <c r="G538" s="5"/>
    </row>
    <row r="539">
      <c r="F539" s="5"/>
      <c r="G539" s="5"/>
    </row>
    <row r="540">
      <c r="F540" s="5"/>
      <c r="G540" s="5"/>
    </row>
    <row r="541">
      <c r="F541" s="5"/>
      <c r="G541" s="5"/>
    </row>
    <row r="542">
      <c r="F542" s="5"/>
      <c r="G542" s="5"/>
    </row>
    <row r="543">
      <c r="F543" s="5"/>
      <c r="G543" s="5"/>
    </row>
    <row r="544">
      <c r="F544" s="5"/>
      <c r="G544" s="5"/>
    </row>
    <row r="545">
      <c r="F545" s="5"/>
      <c r="G545" s="5"/>
    </row>
    <row r="546">
      <c r="F546" s="5"/>
      <c r="G546" s="5"/>
    </row>
    <row r="547">
      <c r="F547" s="5"/>
      <c r="G547" s="5"/>
    </row>
    <row r="548">
      <c r="F548" s="5"/>
      <c r="G548" s="5"/>
    </row>
    <row r="549">
      <c r="F549" s="5"/>
      <c r="G549" s="5"/>
    </row>
    <row r="550">
      <c r="F550" s="5"/>
      <c r="G550" s="5"/>
    </row>
    <row r="551">
      <c r="F551" s="5"/>
      <c r="G551" s="5"/>
    </row>
    <row r="552">
      <c r="F552" s="5"/>
      <c r="G552" s="5"/>
    </row>
    <row r="553">
      <c r="F553" s="5"/>
      <c r="G553" s="5"/>
    </row>
    <row r="554">
      <c r="F554" s="5"/>
      <c r="G554" s="5"/>
    </row>
    <row r="555">
      <c r="F555" s="5"/>
      <c r="G555" s="5"/>
    </row>
    <row r="556">
      <c r="F556" s="5"/>
      <c r="G556" s="5"/>
    </row>
    <row r="557">
      <c r="F557" s="5"/>
      <c r="G557" s="5"/>
    </row>
    <row r="558">
      <c r="F558" s="5"/>
      <c r="G558" s="5"/>
    </row>
    <row r="559">
      <c r="F559" s="5"/>
      <c r="G559" s="5"/>
    </row>
    <row r="560">
      <c r="F560" s="5"/>
      <c r="G560" s="5"/>
    </row>
    <row r="561">
      <c r="F561" s="5"/>
      <c r="G561" s="5"/>
    </row>
    <row r="562">
      <c r="F562" s="5"/>
      <c r="G562" s="5"/>
    </row>
    <row r="563">
      <c r="F563" s="5"/>
      <c r="G563" s="5"/>
    </row>
    <row r="564">
      <c r="F564" s="5"/>
      <c r="G564" s="5"/>
    </row>
    <row r="565">
      <c r="F565" s="5"/>
      <c r="G565" s="5"/>
    </row>
    <row r="566">
      <c r="F566" s="5"/>
      <c r="G566" s="5"/>
    </row>
    <row r="567">
      <c r="F567" s="5"/>
      <c r="G567" s="5"/>
    </row>
    <row r="568">
      <c r="F568" s="5"/>
      <c r="G568" s="5"/>
    </row>
    <row r="569">
      <c r="F569" s="5"/>
      <c r="G569" s="5"/>
    </row>
    <row r="570">
      <c r="F570" s="5"/>
      <c r="G570" s="5"/>
    </row>
    <row r="571">
      <c r="F571" s="5"/>
      <c r="G571" s="5"/>
    </row>
    <row r="572">
      <c r="F572" s="5"/>
      <c r="G572" s="5"/>
    </row>
    <row r="573">
      <c r="F573" s="5"/>
      <c r="G573" s="5"/>
    </row>
    <row r="574">
      <c r="F574" s="5"/>
      <c r="G574" s="5"/>
    </row>
    <row r="575">
      <c r="F575" s="5"/>
      <c r="G575" s="5"/>
    </row>
    <row r="576">
      <c r="F576" s="5"/>
      <c r="G576" s="5"/>
    </row>
    <row r="577">
      <c r="F577" s="5"/>
      <c r="G577" s="5"/>
    </row>
    <row r="578">
      <c r="F578" s="5"/>
      <c r="G578" s="5"/>
    </row>
    <row r="579">
      <c r="F579" s="5"/>
      <c r="G579" s="5"/>
    </row>
    <row r="580">
      <c r="F580" s="5"/>
      <c r="G580" s="5"/>
    </row>
    <row r="581">
      <c r="F581" s="5"/>
      <c r="G581" s="5"/>
    </row>
    <row r="582">
      <c r="F582" s="5"/>
      <c r="G582" s="5"/>
    </row>
    <row r="583">
      <c r="F583" s="5"/>
      <c r="G583" s="5"/>
    </row>
    <row r="584">
      <c r="F584" s="5"/>
      <c r="G584" s="5"/>
    </row>
    <row r="585">
      <c r="F585" s="5"/>
      <c r="G585" s="5"/>
    </row>
    <row r="586">
      <c r="F586" s="5"/>
      <c r="G586" s="5"/>
    </row>
    <row r="587">
      <c r="F587" s="5"/>
      <c r="G587" s="5"/>
    </row>
    <row r="588">
      <c r="F588" s="5"/>
      <c r="G588" s="5"/>
    </row>
    <row r="589">
      <c r="F589" s="5"/>
      <c r="G589" s="5"/>
    </row>
    <row r="590">
      <c r="F590" s="5"/>
      <c r="G590" s="5"/>
    </row>
    <row r="591">
      <c r="F591" s="5"/>
      <c r="G591" s="5"/>
    </row>
    <row r="592">
      <c r="F592" s="5"/>
      <c r="G592" s="5"/>
    </row>
    <row r="593">
      <c r="F593" s="5"/>
      <c r="G593" s="5"/>
    </row>
    <row r="594">
      <c r="F594" s="5"/>
      <c r="G594" s="5"/>
    </row>
    <row r="595">
      <c r="F595" s="5"/>
      <c r="G595" s="5"/>
    </row>
    <row r="596">
      <c r="F596" s="5"/>
      <c r="G596" s="5"/>
    </row>
    <row r="597">
      <c r="F597" s="5"/>
      <c r="G597" s="5"/>
    </row>
    <row r="598">
      <c r="F598" s="5"/>
      <c r="G598" s="5"/>
    </row>
    <row r="599">
      <c r="F599" s="5"/>
      <c r="G599" s="5"/>
    </row>
    <row r="600">
      <c r="F600" s="5"/>
      <c r="G600" s="5"/>
    </row>
    <row r="601">
      <c r="F601" s="5"/>
      <c r="G601" s="5"/>
    </row>
    <row r="602">
      <c r="F602" s="5"/>
      <c r="G602" s="5"/>
    </row>
    <row r="603">
      <c r="F603" s="5"/>
      <c r="G603" s="5"/>
    </row>
    <row r="604">
      <c r="F604" s="5"/>
      <c r="G604" s="5"/>
    </row>
    <row r="605">
      <c r="F605" s="5"/>
      <c r="G605" s="5"/>
    </row>
  </sheetData>
  <conditionalFormatting sqref="F1:F605">
    <cfRule type="containsText" dxfId="0" priority="1" operator="containsText" text="yes">
      <formula>NOT(ISERROR(SEARCH(("yes"),(F1))))</formula>
    </cfRule>
  </conditionalFormatting>
  <conditionalFormatting sqref="F1:F605">
    <cfRule type="containsText" dxfId="1" priority="2" operator="containsText" text="decent">
      <formula>NOT(ISERROR(SEARCH(("decent"),(F1))))</formula>
    </cfRule>
  </conditionalFormatting>
  <conditionalFormatting sqref="F1:F605">
    <cfRule type="containsText" dxfId="2" priority="3" operator="containsText" text="maybe">
      <formula>NOT(ISERROR(SEARCH(("maybe"),(F1))))</formula>
    </cfRule>
  </conditionalFormatting>
  <conditionalFormatting sqref="F1:F605">
    <cfRule type="containsText" dxfId="3" priority="4" operator="containsText" text="no">
      <formula>NOT(ISERROR(SEARCH(("no"),(F1))))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min="5" max="5" width="17.25"/>
    <col customWidth="1" min="6" max="7" width="20.88"/>
  </cols>
  <sheetData>
    <row r="1">
      <c r="A1" s="1"/>
      <c r="B1" s="1"/>
      <c r="C1" s="1"/>
      <c r="D1" s="1" t="s">
        <v>0</v>
      </c>
      <c r="E1" s="1" t="s">
        <v>1</v>
      </c>
      <c r="F1" s="3" t="s">
        <v>3</v>
      </c>
      <c r="G1" s="3" t="s">
        <v>4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>
      <c r="A2" s="1" t="s">
        <v>19</v>
      </c>
      <c r="B2" s="1" t="str">
        <f>IFERROR(__xludf.DUMMYFUNCTION("""../"" &amp; REGEXEXTRACT(D2, ""[^/]+$"")"),"../res269_7F16_receptor_only_PV-000366782609_149_11.pdb")</f>
        <v>../res269_7F16_receptor_only_PV-000366782609_149_11.pdb</v>
      </c>
      <c r="C2" s="1" t="s">
        <v>1060</v>
      </c>
      <c r="D2" s="1" t="s">
        <v>257</v>
      </c>
      <c r="E2" s="1" t="s">
        <v>117</v>
      </c>
      <c r="F2" s="3" t="s">
        <v>24</v>
      </c>
      <c r="G2" s="3"/>
      <c r="H2" s="1" t="str">
        <f>IFERROR(__xludf.DUMMYFUNCTION("IFERROR(REGEXEXTRACT(D2, ""res(269|122)""), ""none"")"),"269")</f>
        <v>269</v>
      </c>
      <c r="I2" s="1">
        <v>-16.620105</v>
      </c>
      <c r="J2" s="1">
        <v>12.0</v>
      </c>
      <c r="K2" s="1">
        <v>3.0</v>
      </c>
      <c r="L2" s="1">
        <v>0.416667</v>
      </c>
      <c r="M2" s="1">
        <v>2.0</v>
      </c>
      <c r="N2" s="1">
        <v>-0.664324</v>
      </c>
      <c r="O2" s="1">
        <v>100.0</v>
      </c>
      <c r="P2" s="1">
        <v>0.0</v>
      </c>
      <c r="Q2" s="1">
        <v>0.0</v>
      </c>
      <c r="R2" s="1">
        <v>100.132238</v>
      </c>
    </row>
    <row r="3">
      <c r="A3" s="1" t="s">
        <v>19</v>
      </c>
      <c r="B3" s="1" t="str">
        <f>IFERROR(__xludf.DUMMYFUNCTION("""../"" &amp; REGEXEXTRACT(D3, ""[^/]+$"")"),"../res269_7F16_receptor_only_PV-000431210683_22_9.pdb")</f>
        <v>../res269_7F16_receptor_only_PV-000431210683_22_9.pdb</v>
      </c>
      <c r="C3" s="1" t="s">
        <v>1060</v>
      </c>
      <c r="D3" s="1" t="s">
        <v>258</v>
      </c>
      <c r="E3" s="1" t="s">
        <v>259</v>
      </c>
      <c r="F3" s="3" t="s">
        <v>24</v>
      </c>
      <c r="G3" s="3" t="s">
        <v>407</v>
      </c>
      <c r="H3" s="1" t="str">
        <f>IFERROR(__xludf.DUMMYFUNCTION("IFERROR(REGEXEXTRACT(D3, ""res(269|122)""), ""none"")"),"269")</f>
        <v>269</v>
      </c>
      <c r="I3" s="1">
        <v>-16.020646</v>
      </c>
      <c r="J3" s="1">
        <v>9.0</v>
      </c>
      <c r="K3" s="1">
        <v>1.0</v>
      </c>
      <c r="L3" s="1">
        <v>0.333333</v>
      </c>
      <c r="M3" s="1">
        <v>3.0</v>
      </c>
      <c r="N3" s="1">
        <v>-2.057194</v>
      </c>
      <c r="O3" s="1">
        <v>100.0</v>
      </c>
      <c r="P3" s="1">
        <v>0.0</v>
      </c>
      <c r="Q3" s="1">
        <v>0.0</v>
      </c>
      <c r="R3" s="1">
        <v>95.255493</v>
      </c>
    </row>
    <row r="4">
      <c r="A4" s="1" t="s">
        <v>19</v>
      </c>
      <c r="B4" s="1" t="str">
        <f>IFERROR(__xludf.DUMMYFUNCTION("""../"" &amp; REGEXEXTRACT(D4, ""[^/]+$"")"),"../res269_7F16_receptor_only_PV-000431376370_22_7.pdb")</f>
        <v>../res269_7F16_receptor_only_PV-000431376370_22_7.pdb</v>
      </c>
      <c r="C4" s="1" t="s">
        <v>1060</v>
      </c>
      <c r="D4" s="1" t="s">
        <v>260</v>
      </c>
      <c r="E4" s="1" t="s">
        <v>261</v>
      </c>
      <c r="F4" s="3" t="s">
        <v>24</v>
      </c>
      <c r="G4" s="3" t="s">
        <v>408</v>
      </c>
      <c r="H4" s="1" t="str">
        <f>IFERROR(__xludf.DUMMYFUNCTION("IFERROR(REGEXEXTRACT(D4, ""res(269|122)""), ""none"")"),"269")</f>
        <v>269</v>
      </c>
      <c r="I4" s="1">
        <v>-16.416697</v>
      </c>
      <c r="J4" s="1">
        <v>9.0</v>
      </c>
      <c r="K4" s="1">
        <v>1.0</v>
      </c>
      <c r="L4" s="1">
        <v>0.333333</v>
      </c>
      <c r="M4" s="1">
        <v>3.0</v>
      </c>
      <c r="N4" s="1">
        <v>-2.107731</v>
      </c>
      <c r="O4" s="1">
        <v>100.0</v>
      </c>
      <c r="P4" s="1">
        <v>0.0</v>
      </c>
      <c r="Q4" s="1">
        <v>0.0</v>
      </c>
      <c r="R4" s="1">
        <v>94.808905</v>
      </c>
    </row>
    <row r="5">
      <c r="A5" s="1" t="s">
        <v>19</v>
      </c>
      <c r="B5" s="1" t="str">
        <f>IFERROR(__xludf.DUMMYFUNCTION("""../"" &amp; REGEXEXTRACT(D5, ""[^/]+$"")"),"../res269_7F16_receptor_only_PV-000518115177_94_0.pdb")</f>
        <v>../res269_7F16_receptor_only_PV-000518115177_94_0.pdb</v>
      </c>
      <c r="C5" s="1" t="s">
        <v>1060</v>
      </c>
      <c r="D5" s="1" t="s">
        <v>262</v>
      </c>
      <c r="E5" s="1" t="s">
        <v>74</v>
      </c>
      <c r="F5" s="3" t="s">
        <v>33</v>
      </c>
      <c r="G5" s="3"/>
      <c r="H5" s="1" t="str">
        <f>IFERROR(__xludf.DUMMYFUNCTION("IFERROR(REGEXEXTRACT(D5, ""res(269|122)""), ""none"")"),"269")</f>
        <v>269</v>
      </c>
      <c r="I5" s="1">
        <v>-15.124595</v>
      </c>
      <c r="J5" s="1">
        <v>8.0</v>
      </c>
      <c r="K5" s="1">
        <v>5.0</v>
      </c>
      <c r="L5" s="1">
        <v>0.375</v>
      </c>
      <c r="M5" s="1">
        <v>2.0</v>
      </c>
      <c r="N5" s="1">
        <v>-0.84012</v>
      </c>
      <c r="O5" s="1">
        <v>100.0</v>
      </c>
      <c r="P5" s="1">
        <v>0.0</v>
      </c>
      <c r="Q5" s="1">
        <v>0.0</v>
      </c>
      <c r="R5" s="1">
        <v>99.410285</v>
      </c>
    </row>
    <row r="6">
      <c r="A6" s="1" t="s">
        <v>19</v>
      </c>
      <c r="B6" s="1" t="str">
        <f>IFERROR(__xludf.DUMMYFUNCTION("""../"" &amp; REGEXEXTRACT(D6, ""[^/]+$"")"),"../res269_7F16_receptor_only_PV-001297977758_137_5.pdb")</f>
        <v>../res269_7F16_receptor_only_PV-001297977758_137_5.pdb</v>
      </c>
      <c r="C6" s="1" t="s">
        <v>1060</v>
      </c>
      <c r="D6" s="1" t="s">
        <v>263</v>
      </c>
      <c r="E6" s="1" t="s">
        <v>264</v>
      </c>
      <c r="F6" s="3" t="s">
        <v>24</v>
      </c>
      <c r="G6" s="3"/>
      <c r="H6" s="1" t="str">
        <f>IFERROR(__xludf.DUMMYFUNCTION("IFERROR(REGEXEXTRACT(D6, ""res(269|122)""), ""none"")"),"269")</f>
        <v>269</v>
      </c>
      <c r="I6" s="1">
        <v>-15.247766</v>
      </c>
      <c r="J6" s="1">
        <v>6.0</v>
      </c>
      <c r="K6" s="1">
        <v>2.0</v>
      </c>
      <c r="L6" s="1">
        <v>0.333333</v>
      </c>
      <c r="M6" s="1">
        <v>3.0</v>
      </c>
      <c r="N6" s="1">
        <v>-1.003179</v>
      </c>
      <c r="O6" s="1">
        <v>100.0</v>
      </c>
      <c r="P6" s="1">
        <v>0.0</v>
      </c>
      <c r="Q6" s="1">
        <v>0.0</v>
      </c>
      <c r="R6" s="1">
        <v>95.082388</v>
      </c>
    </row>
    <row r="7">
      <c r="A7" s="1" t="s">
        <v>19</v>
      </c>
      <c r="B7" s="1" t="str">
        <f>IFERROR(__xludf.DUMMYFUNCTION("""../"" &amp; REGEXEXTRACT(D7, ""[^/]+$"")"),"../res269_7F16_receptor_only_PV-001577237854_122_9.pdb")</f>
        <v>../res269_7F16_receptor_only_PV-001577237854_122_9.pdb</v>
      </c>
      <c r="C7" s="1" t="s">
        <v>1060</v>
      </c>
      <c r="D7" s="1" t="s">
        <v>265</v>
      </c>
      <c r="E7" s="1" t="s">
        <v>120</v>
      </c>
      <c r="F7" s="3" t="s">
        <v>24</v>
      </c>
      <c r="G7" s="3"/>
      <c r="H7" s="1" t="str">
        <f>IFERROR(__xludf.DUMMYFUNCTION("IFERROR(REGEXEXTRACT(D7, ""res(269|122)""), ""none"")"),"269")</f>
        <v>269</v>
      </c>
      <c r="I7" s="1">
        <v>-15.234041</v>
      </c>
      <c r="J7" s="1">
        <v>8.0</v>
      </c>
      <c r="K7" s="1">
        <v>3.0</v>
      </c>
      <c r="L7" s="1">
        <v>0.25</v>
      </c>
      <c r="M7" s="1">
        <v>3.0</v>
      </c>
      <c r="N7" s="1">
        <v>-0.552818</v>
      </c>
      <c r="O7" s="1">
        <v>100.0</v>
      </c>
      <c r="P7" s="1">
        <v>0.0</v>
      </c>
      <c r="Q7" s="1">
        <v>0.0</v>
      </c>
      <c r="R7" s="1">
        <v>98.463141</v>
      </c>
    </row>
    <row r="8">
      <c r="A8" s="1" t="s">
        <v>19</v>
      </c>
      <c r="B8" s="1" t="str">
        <f>IFERROR(__xludf.DUMMYFUNCTION("""../"" &amp; REGEXEXTRACT(D8, ""[^/]+$"")"),"../res269_7F16_receptor_only_PV-001699308763_175_2.pdb")</f>
        <v>../res269_7F16_receptor_only_PV-001699308763_175_2.pdb</v>
      </c>
      <c r="C8" s="1" t="s">
        <v>1060</v>
      </c>
      <c r="D8" s="1" t="s">
        <v>266</v>
      </c>
      <c r="E8" s="1" t="s">
        <v>77</v>
      </c>
      <c r="F8" s="3" t="s">
        <v>33</v>
      </c>
      <c r="G8" s="3"/>
      <c r="H8" s="1" t="str">
        <f>IFERROR(__xludf.DUMMYFUNCTION("IFERROR(REGEXEXTRACT(D8, ""res(269|122)""), ""none"")"),"269")</f>
        <v>269</v>
      </c>
      <c r="I8" s="1">
        <v>-15.196061</v>
      </c>
      <c r="J8" s="1">
        <v>7.0</v>
      </c>
      <c r="K8" s="1">
        <v>2.0</v>
      </c>
      <c r="L8" s="1">
        <v>0.285714</v>
      </c>
      <c r="M8" s="1">
        <v>2.0</v>
      </c>
      <c r="N8" s="1">
        <v>-1.471521</v>
      </c>
      <c r="O8" s="1">
        <v>100.0</v>
      </c>
      <c r="P8" s="1">
        <v>0.0</v>
      </c>
      <c r="Q8" s="1">
        <v>0.0</v>
      </c>
      <c r="R8" s="1">
        <v>94.618132</v>
      </c>
    </row>
    <row r="9">
      <c r="A9" s="1" t="s">
        <v>19</v>
      </c>
      <c r="B9" s="1" t="str">
        <f>IFERROR(__xludf.DUMMYFUNCTION("""../"" &amp; REGEXEXTRACT(D9, ""[^/]+$"")"),"../res269_7F16_receptor_only_PV-002679704048_67_2.pdb")</f>
        <v>../res269_7F16_receptor_only_PV-002679704048_67_2.pdb</v>
      </c>
      <c r="C9" s="1" t="s">
        <v>1060</v>
      </c>
      <c r="D9" s="1" t="s">
        <v>267</v>
      </c>
      <c r="E9" s="1" t="s">
        <v>268</v>
      </c>
      <c r="F9" s="3" t="s">
        <v>24</v>
      </c>
      <c r="G9" s="3"/>
      <c r="H9" s="1" t="str">
        <f>IFERROR(__xludf.DUMMYFUNCTION("IFERROR(REGEXEXTRACT(D9, ""res(269|122)""), ""none"")"),"269")</f>
        <v>269</v>
      </c>
      <c r="I9" s="1">
        <v>-15.475748</v>
      </c>
      <c r="J9" s="1">
        <v>11.0</v>
      </c>
      <c r="K9" s="1">
        <v>1.0</v>
      </c>
      <c r="L9" s="1">
        <v>0.272727</v>
      </c>
      <c r="M9" s="1">
        <v>2.0</v>
      </c>
      <c r="N9" s="1">
        <v>-0.318571</v>
      </c>
      <c r="O9" s="1">
        <v>100.0</v>
      </c>
      <c r="P9" s="1">
        <v>0.0</v>
      </c>
      <c r="Q9" s="1">
        <v>0.0</v>
      </c>
      <c r="R9" s="1">
        <v>98.478408</v>
      </c>
    </row>
    <row r="10">
      <c r="A10" s="1" t="s">
        <v>19</v>
      </c>
      <c r="B10" s="1" t="str">
        <f>IFERROR(__xludf.DUMMYFUNCTION("""../"" &amp; REGEXEXTRACT(D10, ""[^/]+$"")"),"../res269_7F16_receptor_only_PV-004219895018_173_2.pdb")</f>
        <v>../res269_7F16_receptor_only_PV-004219895018_173_2.pdb</v>
      </c>
      <c r="C10" s="1" t="s">
        <v>1060</v>
      </c>
      <c r="D10" s="1" t="s">
        <v>269</v>
      </c>
      <c r="E10" s="1" t="s">
        <v>270</v>
      </c>
      <c r="F10" s="3" t="s">
        <v>24</v>
      </c>
      <c r="G10" s="3"/>
      <c r="H10" s="1" t="str">
        <f>IFERROR(__xludf.DUMMYFUNCTION("IFERROR(REGEXEXTRACT(D10, ""res(269|122)""), ""none"")"),"269")</f>
        <v>269</v>
      </c>
      <c r="I10" s="1">
        <v>-15.217109</v>
      </c>
      <c r="J10" s="1">
        <v>8.0</v>
      </c>
      <c r="K10" s="1">
        <v>2.0</v>
      </c>
      <c r="L10" s="1">
        <v>0.25</v>
      </c>
      <c r="M10" s="1">
        <v>3.0</v>
      </c>
      <c r="N10" s="1">
        <v>-1.096035</v>
      </c>
      <c r="O10" s="1">
        <v>100.0</v>
      </c>
      <c r="P10" s="1">
        <v>0.0</v>
      </c>
      <c r="Q10" s="1">
        <v>0.0</v>
      </c>
      <c r="R10" s="1">
        <v>96.936856</v>
      </c>
    </row>
    <row r="11">
      <c r="A11" s="1" t="s">
        <v>19</v>
      </c>
      <c r="B11" s="1" t="str">
        <f>IFERROR(__xludf.DUMMYFUNCTION("""../"" &amp; REGEXEXTRACT(D11, ""[^/]+$"")"),"../res269_7F16_receptor_only_PV-004359981113_214_0.pdb")</f>
        <v>../res269_7F16_receptor_only_PV-004359981113_214_0.pdb</v>
      </c>
      <c r="C11" s="1" t="s">
        <v>1060</v>
      </c>
      <c r="D11" s="1" t="s">
        <v>271</v>
      </c>
      <c r="E11" s="1" t="s">
        <v>272</v>
      </c>
      <c r="F11" s="3" t="s">
        <v>24</v>
      </c>
      <c r="G11" s="3" t="s">
        <v>409</v>
      </c>
      <c r="H11" s="1" t="str">
        <f>IFERROR(__xludf.DUMMYFUNCTION("IFERROR(REGEXEXTRACT(D11, ""res(269|122)""), ""none"")"),"269")</f>
        <v>269</v>
      </c>
      <c r="I11" s="1">
        <v>-16.067978</v>
      </c>
      <c r="J11" s="1">
        <v>10.0</v>
      </c>
      <c r="K11" s="1">
        <v>3.0</v>
      </c>
      <c r="L11" s="1">
        <v>0.4</v>
      </c>
      <c r="M11" s="1">
        <v>4.0</v>
      </c>
      <c r="N11" s="1">
        <v>-1.686262</v>
      </c>
      <c r="O11" s="1">
        <v>100.0</v>
      </c>
      <c r="P11" s="1">
        <v>0.0</v>
      </c>
      <c r="Q11" s="1">
        <v>0.0</v>
      </c>
      <c r="R11" s="1">
        <v>99.64576</v>
      </c>
    </row>
    <row r="12">
      <c r="A12" s="1" t="s">
        <v>19</v>
      </c>
      <c r="B12" s="1" t="str">
        <f>IFERROR(__xludf.DUMMYFUNCTION("""../"" &amp; REGEXEXTRACT(D12, ""[^/]+$"")"),"../res269_7F16_receptor_only_PV-004359981114_214_0.pdb")</f>
        <v>../res269_7F16_receptor_only_PV-004359981114_214_0.pdb</v>
      </c>
      <c r="C12" s="1" t="s">
        <v>1060</v>
      </c>
      <c r="D12" s="1" t="s">
        <v>273</v>
      </c>
      <c r="E12" s="1" t="s">
        <v>274</v>
      </c>
      <c r="F12" s="3" t="s">
        <v>24</v>
      </c>
      <c r="G12" s="3" t="s">
        <v>410</v>
      </c>
      <c r="H12" s="1" t="str">
        <f>IFERROR(__xludf.DUMMYFUNCTION("IFERROR(REGEXEXTRACT(D12, ""res(269|122)""), ""none"")"),"269")</f>
        <v>269</v>
      </c>
      <c r="I12" s="1">
        <v>-16.067978</v>
      </c>
      <c r="J12" s="1">
        <v>10.0</v>
      </c>
      <c r="K12" s="1">
        <v>3.0</v>
      </c>
      <c r="L12" s="1">
        <v>0.4</v>
      </c>
      <c r="M12" s="1">
        <v>4.0</v>
      </c>
      <c r="N12" s="1">
        <v>-1.686262</v>
      </c>
      <c r="O12" s="1">
        <v>100.0</v>
      </c>
      <c r="P12" s="1">
        <v>0.0</v>
      </c>
      <c r="Q12" s="1">
        <v>0.0</v>
      </c>
      <c r="R12" s="1">
        <v>99.64576</v>
      </c>
    </row>
    <row r="13">
      <c r="A13" s="1" t="s">
        <v>19</v>
      </c>
      <c r="B13" s="1" t="str">
        <f>IFERROR(__xludf.DUMMYFUNCTION("""../"" &amp; REGEXEXTRACT(D13, ""[^/]+$"")"),"../res269_7F16_receptor_only_PV-004375868397_169_0.pdb")</f>
        <v>../res269_7F16_receptor_only_PV-004375868397_169_0.pdb</v>
      </c>
      <c r="C13" s="1" t="s">
        <v>1060</v>
      </c>
      <c r="D13" s="1" t="s">
        <v>275</v>
      </c>
      <c r="E13" s="1" t="s">
        <v>276</v>
      </c>
      <c r="F13" s="3" t="s">
        <v>24</v>
      </c>
      <c r="G13" s="3"/>
      <c r="H13" s="1" t="str">
        <f>IFERROR(__xludf.DUMMYFUNCTION("IFERROR(REGEXEXTRACT(D13, ""res(269|122)""), ""none"")"),"269")</f>
        <v>269</v>
      </c>
      <c r="I13" s="1">
        <v>-15.296307</v>
      </c>
      <c r="J13" s="1">
        <v>7.0</v>
      </c>
      <c r="K13" s="1">
        <v>3.0</v>
      </c>
      <c r="L13" s="1">
        <v>0.285714</v>
      </c>
      <c r="M13" s="1">
        <v>2.0</v>
      </c>
      <c r="N13" s="1">
        <v>-1.992376</v>
      </c>
      <c r="O13" s="1">
        <v>100.0</v>
      </c>
      <c r="P13" s="1">
        <v>0.0</v>
      </c>
      <c r="Q13" s="1">
        <v>0.0</v>
      </c>
      <c r="R13" s="1">
        <v>94.997031</v>
      </c>
    </row>
    <row r="14">
      <c r="A14" s="1" t="s">
        <v>19</v>
      </c>
      <c r="B14" s="1" t="str">
        <f>IFERROR(__xludf.DUMMYFUNCTION("""../"" &amp; REGEXEXTRACT(D14, ""[^/]+$"")"),"../res269_7F16_receptor_only_PV-004453173376_75_18.pdb")</f>
        <v>../res269_7F16_receptor_only_PV-004453173376_75_18.pdb</v>
      </c>
      <c r="C14" s="1" t="s">
        <v>1060</v>
      </c>
      <c r="D14" s="1" t="s">
        <v>277</v>
      </c>
      <c r="E14" s="1" t="s">
        <v>278</v>
      </c>
      <c r="F14" s="3" t="s">
        <v>24</v>
      </c>
      <c r="G14" s="3"/>
      <c r="H14" s="1" t="str">
        <f>IFERROR(__xludf.DUMMYFUNCTION("IFERROR(REGEXEXTRACT(D14, ""res(269|122)""), ""none"")"),"269")</f>
        <v>269</v>
      </c>
      <c r="I14" s="1">
        <v>-15.325992</v>
      </c>
      <c r="J14" s="1">
        <v>8.0</v>
      </c>
      <c r="K14" s="1">
        <v>2.0</v>
      </c>
      <c r="L14" s="1">
        <v>0.25</v>
      </c>
      <c r="M14" s="1">
        <v>2.0</v>
      </c>
      <c r="N14" s="1">
        <v>-0.597145</v>
      </c>
      <c r="O14" s="1">
        <v>100.0</v>
      </c>
      <c r="P14" s="1">
        <v>0.0</v>
      </c>
      <c r="Q14" s="1">
        <v>0.0</v>
      </c>
      <c r="R14" s="1">
        <v>96.326863</v>
      </c>
    </row>
    <row r="15">
      <c r="A15" s="1" t="s">
        <v>19</v>
      </c>
      <c r="B15" s="1" t="str">
        <f>IFERROR(__xludf.DUMMYFUNCTION("""../"" &amp; REGEXEXTRACT(D15, ""[^/]+$"")"),"../res269_7F16_receptor_only_PV-004563691650_194_8.pdb")</f>
        <v>../res269_7F16_receptor_only_PV-004563691650_194_8.pdb</v>
      </c>
      <c r="C15" s="1" t="s">
        <v>1060</v>
      </c>
      <c r="D15" s="1" t="s">
        <v>279</v>
      </c>
      <c r="E15" s="1" t="s">
        <v>123</v>
      </c>
      <c r="F15" s="3" t="s">
        <v>33</v>
      </c>
      <c r="G15" s="3"/>
      <c r="H15" s="1" t="str">
        <f>IFERROR(__xludf.DUMMYFUNCTION("IFERROR(REGEXEXTRACT(D15, ""res(269|122)""), ""none"")"),"269")</f>
        <v>269</v>
      </c>
      <c r="I15" s="1">
        <v>-15.778424</v>
      </c>
      <c r="J15" s="1">
        <v>10.0</v>
      </c>
      <c r="K15" s="1">
        <v>4.0</v>
      </c>
      <c r="L15" s="1">
        <v>0.3</v>
      </c>
      <c r="M15" s="1">
        <v>2.0</v>
      </c>
      <c r="N15" s="1">
        <v>-0.444144</v>
      </c>
      <c r="O15" s="1">
        <v>100.0</v>
      </c>
      <c r="P15" s="1">
        <v>0.0</v>
      </c>
      <c r="Q15" s="1">
        <v>0.0</v>
      </c>
      <c r="R15" s="1">
        <v>100.077432</v>
      </c>
    </row>
    <row r="16">
      <c r="A16" s="1" t="s">
        <v>19</v>
      </c>
      <c r="B16" s="1" t="str">
        <f>IFERROR(__xludf.DUMMYFUNCTION("""../"" &amp; REGEXEXTRACT(D16, ""[^/]+$"")"),"../res269_7F16_receptor_only_PV-004702335537_21_10.pdb")</f>
        <v>../res269_7F16_receptor_only_PV-004702335537_21_10.pdb</v>
      </c>
      <c r="C16" s="1" t="s">
        <v>1060</v>
      </c>
      <c r="D16" s="1" t="s">
        <v>280</v>
      </c>
      <c r="E16" s="1" t="s">
        <v>126</v>
      </c>
      <c r="F16" s="3" t="s">
        <v>24</v>
      </c>
      <c r="G16" s="3"/>
      <c r="H16" s="1" t="str">
        <f>IFERROR(__xludf.DUMMYFUNCTION("IFERROR(REGEXEXTRACT(D16, ""res(269|122)""), ""none"")"),"269")</f>
        <v>269</v>
      </c>
      <c r="I16" s="1">
        <v>-16.377062</v>
      </c>
      <c r="J16" s="1">
        <v>9.0</v>
      </c>
      <c r="K16" s="1">
        <v>1.0</v>
      </c>
      <c r="L16" s="1">
        <v>0.333333</v>
      </c>
      <c r="M16" s="1">
        <v>2.0</v>
      </c>
      <c r="N16" s="1">
        <v>-1.84415</v>
      </c>
      <c r="O16" s="1">
        <v>100.0</v>
      </c>
      <c r="P16" s="1">
        <v>0.0</v>
      </c>
      <c r="Q16" s="1">
        <v>0.0</v>
      </c>
      <c r="R16" s="1">
        <v>94.112121</v>
      </c>
    </row>
    <row r="17">
      <c r="A17" s="1" t="s">
        <v>19</v>
      </c>
      <c r="B17" s="1" t="str">
        <f>IFERROR(__xludf.DUMMYFUNCTION("""../"" &amp; REGEXEXTRACT(D17, ""[^/]+$"")"),"../res269_7F16_receptor_only_PV-004826583086_90_2.pdb")</f>
        <v>../res269_7F16_receptor_only_PV-004826583086_90_2.pdb</v>
      </c>
      <c r="C17" s="1" t="s">
        <v>1060</v>
      </c>
      <c r="D17" s="1" t="s">
        <v>281</v>
      </c>
      <c r="E17" s="1" t="s">
        <v>282</v>
      </c>
      <c r="F17" s="3" t="s">
        <v>24</v>
      </c>
      <c r="G17" s="3"/>
      <c r="H17" s="1" t="str">
        <f>IFERROR(__xludf.DUMMYFUNCTION("IFERROR(REGEXEXTRACT(D17, ""res(269|122)""), ""none"")"),"269")</f>
        <v>269</v>
      </c>
      <c r="I17" s="1">
        <v>-15.737774</v>
      </c>
      <c r="J17" s="1">
        <v>8.0</v>
      </c>
      <c r="K17" s="1">
        <v>4.0</v>
      </c>
      <c r="L17" s="1">
        <v>0.375</v>
      </c>
      <c r="M17" s="1">
        <v>2.0</v>
      </c>
      <c r="N17" s="1">
        <v>-0.922352</v>
      </c>
      <c r="O17" s="1">
        <v>100.0</v>
      </c>
      <c r="P17" s="1">
        <v>0.0</v>
      </c>
      <c r="Q17" s="1">
        <v>0.0</v>
      </c>
      <c r="R17" s="1">
        <v>97.714874</v>
      </c>
    </row>
    <row r="18">
      <c r="A18" s="1" t="s">
        <v>19</v>
      </c>
      <c r="B18" s="1" t="str">
        <f>IFERROR(__xludf.DUMMYFUNCTION("""../"" &amp; REGEXEXTRACT(D18, ""[^/]+$"")"),"../res269_7F16_receptor_only_PV-004860315998_45_2.pdb")</f>
        <v>../res269_7F16_receptor_only_PV-004860315998_45_2.pdb</v>
      </c>
      <c r="C18" s="1" t="s">
        <v>1060</v>
      </c>
      <c r="D18" s="1" t="s">
        <v>283</v>
      </c>
      <c r="E18" s="1" t="s">
        <v>129</v>
      </c>
      <c r="F18" s="3" t="s">
        <v>33</v>
      </c>
      <c r="G18" s="3"/>
      <c r="H18" s="1" t="str">
        <f>IFERROR(__xludf.DUMMYFUNCTION("IFERROR(REGEXEXTRACT(D18, ""res(269|122)""), ""none"")"),"269")</f>
        <v>269</v>
      </c>
      <c r="I18" s="1">
        <v>-16.004339</v>
      </c>
      <c r="J18" s="1">
        <v>7.0</v>
      </c>
      <c r="K18" s="1">
        <v>1.0</v>
      </c>
      <c r="L18" s="1">
        <v>0.285714</v>
      </c>
      <c r="M18" s="1">
        <v>2.0</v>
      </c>
      <c r="N18" s="1">
        <v>-0.643672</v>
      </c>
      <c r="O18" s="1">
        <v>100.0</v>
      </c>
      <c r="P18" s="1">
        <v>0.0</v>
      </c>
      <c r="Q18" s="1">
        <v>0.0</v>
      </c>
      <c r="R18" s="1">
        <v>93.637703</v>
      </c>
    </row>
    <row r="19">
      <c r="A19" s="1" t="s">
        <v>19</v>
      </c>
      <c r="B19" s="1" t="str">
        <f>IFERROR(__xludf.DUMMYFUNCTION("""../"" &amp; REGEXEXTRACT(D19, ""[^/]+$"")"),"../res269_7F16_receptor_only_PV-004960793237_98_6.pdb")</f>
        <v>../res269_7F16_receptor_only_PV-004960793237_98_6.pdb</v>
      </c>
      <c r="C19" s="1" t="s">
        <v>1060</v>
      </c>
      <c r="D19" s="1" t="s">
        <v>284</v>
      </c>
      <c r="E19" s="1" t="s">
        <v>285</v>
      </c>
      <c r="F19" s="3" t="s">
        <v>24</v>
      </c>
      <c r="G19" s="3" t="s">
        <v>411</v>
      </c>
      <c r="H19" s="1" t="str">
        <f>IFERROR(__xludf.DUMMYFUNCTION("IFERROR(REGEXEXTRACT(D19, ""res(269|122)""), ""none"")"),"269")</f>
        <v>269</v>
      </c>
      <c r="I19" s="1">
        <v>-15.399039</v>
      </c>
      <c r="J19" s="1">
        <v>6.0</v>
      </c>
      <c r="K19" s="1">
        <v>3.0</v>
      </c>
      <c r="L19" s="1">
        <v>0.333333</v>
      </c>
      <c r="M19" s="1">
        <v>2.0</v>
      </c>
      <c r="N19" s="1">
        <v>-0.254448</v>
      </c>
      <c r="O19" s="1">
        <v>100.0</v>
      </c>
      <c r="P19" s="1">
        <v>0.0</v>
      </c>
      <c r="Q19" s="1">
        <v>0.0</v>
      </c>
      <c r="R19" s="1">
        <v>95.679846</v>
      </c>
    </row>
    <row r="20">
      <c r="A20" s="1" t="s">
        <v>19</v>
      </c>
      <c r="B20" s="1" t="str">
        <f>IFERROR(__xludf.DUMMYFUNCTION("""../"" &amp; REGEXEXTRACT(D20, ""[^/]+$"")"),"../res269_7F16_receptor_only_PV-004961619894_53_10.pdb")</f>
        <v>../res269_7F16_receptor_only_PV-004961619894_53_10.pdb</v>
      </c>
      <c r="C20" s="1" t="s">
        <v>1060</v>
      </c>
      <c r="D20" s="1" t="s">
        <v>286</v>
      </c>
      <c r="E20" s="1" t="s">
        <v>287</v>
      </c>
      <c r="F20" s="3" t="s">
        <v>24</v>
      </c>
      <c r="G20" s="3"/>
      <c r="H20" s="1" t="str">
        <f>IFERROR(__xludf.DUMMYFUNCTION("IFERROR(REGEXEXTRACT(D20, ""res(269|122)""), ""none"")"),"269")</f>
        <v>269</v>
      </c>
      <c r="I20" s="1">
        <v>-15.848908</v>
      </c>
      <c r="J20" s="1">
        <v>8.0</v>
      </c>
      <c r="K20" s="1">
        <v>3.0</v>
      </c>
      <c r="L20" s="1">
        <v>0.375</v>
      </c>
      <c r="M20" s="1">
        <v>2.0</v>
      </c>
      <c r="N20" s="1">
        <v>-0.923644</v>
      </c>
      <c r="O20" s="1">
        <v>100.0</v>
      </c>
      <c r="P20" s="1">
        <v>0.0</v>
      </c>
      <c r="Q20" s="1">
        <v>0.0</v>
      </c>
      <c r="R20" s="1">
        <v>96.602448</v>
      </c>
    </row>
    <row r="21">
      <c r="A21" s="1" t="s">
        <v>19</v>
      </c>
      <c r="B21" s="1" t="str">
        <f>IFERROR(__xludf.DUMMYFUNCTION("""../"" &amp; REGEXEXTRACT(D21, ""[^/]+$"")"),"../res269_7F16_receptor_only_PV-005175010208_60_0.pdb")</f>
        <v>../res269_7F16_receptor_only_PV-005175010208_60_0.pdb</v>
      </c>
      <c r="C21" s="1" t="s">
        <v>1060</v>
      </c>
      <c r="D21" s="1" t="s">
        <v>288</v>
      </c>
      <c r="E21" s="1" t="s">
        <v>80</v>
      </c>
      <c r="F21" s="3" t="s">
        <v>33</v>
      </c>
      <c r="G21" s="3" t="s">
        <v>82</v>
      </c>
      <c r="H21" s="1" t="str">
        <f>IFERROR(__xludf.DUMMYFUNCTION("IFERROR(REGEXEXTRACT(D21, ""res(269|122)""), ""none"")"),"269")</f>
        <v>269</v>
      </c>
      <c r="I21" s="1">
        <v>-15.111049</v>
      </c>
      <c r="J21" s="1">
        <v>8.0</v>
      </c>
      <c r="K21" s="1">
        <v>4.0</v>
      </c>
      <c r="L21" s="1">
        <v>0.5</v>
      </c>
      <c r="M21" s="1">
        <v>3.0</v>
      </c>
      <c r="N21" s="1">
        <v>-1.48802099999999</v>
      </c>
      <c r="O21" s="1">
        <v>100.0</v>
      </c>
      <c r="P21" s="1">
        <v>0.0</v>
      </c>
      <c r="Q21" s="1">
        <v>0.0</v>
      </c>
      <c r="R21" s="1">
        <v>98.90093</v>
      </c>
    </row>
    <row r="22">
      <c r="A22" s="1" t="s">
        <v>19</v>
      </c>
      <c r="B22" s="1" t="str">
        <f>IFERROR(__xludf.DUMMYFUNCTION("""../"" &amp; REGEXEXTRACT(D22, ""[^/]+$"")"),"../res269_7F16_receptor_only_PV-005299302519_62_4.pdb")</f>
        <v>../res269_7F16_receptor_only_PV-005299302519_62_4.pdb</v>
      </c>
      <c r="C22" s="1" t="s">
        <v>1060</v>
      </c>
      <c r="D22" s="1" t="s">
        <v>289</v>
      </c>
      <c r="E22" s="1" t="s">
        <v>290</v>
      </c>
      <c r="F22" s="3" t="s">
        <v>24</v>
      </c>
      <c r="G22" s="3"/>
      <c r="H22" s="1" t="str">
        <f>IFERROR(__xludf.DUMMYFUNCTION("IFERROR(REGEXEXTRACT(D22, ""res(269|122)""), ""none"")"),"269")</f>
        <v>269</v>
      </c>
      <c r="I22" s="1">
        <v>-15.62437</v>
      </c>
      <c r="J22" s="1">
        <v>8.0</v>
      </c>
      <c r="K22" s="1">
        <v>3.0</v>
      </c>
      <c r="L22" s="1">
        <v>0.25</v>
      </c>
      <c r="M22" s="1">
        <v>2.0</v>
      </c>
      <c r="N22" s="1">
        <v>-0.578782</v>
      </c>
      <c r="O22" s="1">
        <v>100.0</v>
      </c>
      <c r="P22" s="1">
        <v>0.0</v>
      </c>
      <c r="Q22" s="1">
        <v>0.0</v>
      </c>
      <c r="R22" s="1">
        <v>97.046848</v>
      </c>
    </row>
    <row r="23">
      <c r="A23" s="1" t="s">
        <v>19</v>
      </c>
      <c r="B23" s="1" t="str">
        <f>IFERROR(__xludf.DUMMYFUNCTION("""../"" &amp; REGEXEXTRACT(D23, ""[^/]+$"")"),"../res269_7F16_receptor_only_PV-005376893059_118_4.pdb")</f>
        <v>../res269_7F16_receptor_only_PV-005376893059_118_4.pdb</v>
      </c>
      <c r="C23" s="1" t="s">
        <v>1060</v>
      </c>
      <c r="D23" s="1" t="s">
        <v>291</v>
      </c>
      <c r="E23" s="1" t="s">
        <v>292</v>
      </c>
      <c r="F23" s="3" t="s">
        <v>24</v>
      </c>
      <c r="G23" s="3"/>
      <c r="H23" s="1" t="str">
        <f>IFERROR(__xludf.DUMMYFUNCTION("IFERROR(REGEXEXTRACT(D23, ""res(269|122)""), ""none"")"),"269")</f>
        <v>269</v>
      </c>
      <c r="I23" s="1">
        <v>-16.657537</v>
      </c>
      <c r="J23" s="1">
        <v>10.0</v>
      </c>
      <c r="K23" s="1">
        <v>3.0</v>
      </c>
      <c r="L23" s="1">
        <v>0.3</v>
      </c>
      <c r="M23" s="1">
        <v>2.0</v>
      </c>
      <c r="N23" s="1">
        <v>-1.135125</v>
      </c>
      <c r="O23" s="1">
        <v>100.0</v>
      </c>
      <c r="P23" s="1">
        <v>0.0</v>
      </c>
      <c r="Q23" s="1">
        <v>0.0</v>
      </c>
      <c r="R23" s="1">
        <v>97.507338</v>
      </c>
    </row>
    <row r="24">
      <c r="A24" s="1" t="s">
        <v>19</v>
      </c>
      <c r="B24" s="1" t="str">
        <f>IFERROR(__xludf.DUMMYFUNCTION("""../"" &amp; REGEXEXTRACT(D24, ""[^/]+$"")"),"../res269_7F16_receptor_only_PV-005379501786_150_2.pdb")</f>
        <v>../res269_7F16_receptor_only_PV-005379501786_150_2.pdb</v>
      </c>
      <c r="C24" s="1" t="s">
        <v>1060</v>
      </c>
      <c r="D24" s="1" t="s">
        <v>293</v>
      </c>
      <c r="E24" s="1" t="s">
        <v>294</v>
      </c>
      <c r="F24" s="3" t="s">
        <v>24</v>
      </c>
      <c r="G24" s="3"/>
      <c r="H24" s="1" t="str">
        <f>IFERROR(__xludf.DUMMYFUNCTION("IFERROR(REGEXEXTRACT(D24, ""res(269|122)""), ""none"")"),"269")</f>
        <v>269</v>
      </c>
      <c r="I24" s="1">
        <v>-15.0051</v>
      </c>
      <c r="J24" s="1">
        <v>8.0</v>
      </c>
      <c r="K24" s="1">
        <v>1.0</v>
      </c>
      <c r="L24" s="1">
        <v>0.25</v>
      </c>
      <c r="M24" s="1">
        <v>3.0</v>
      </c>
      <c r="N24" s="1">
        <v>-2.024033</v>
      </c>
      <c r="O24" s="1">
        <v>100.0</v>
      </c>
      <c r="P24" s="1">
        <v>0.0</v>
      </c>
      <c r="Q24" s="1">
        <v>0.0</v>
      </c>
      <c r="R24" s="1">
        <v>95.220867</v>
      </c>
    </row>
    <row r="25">
      <c r="A25" s="1" t="s">
        <v>19</v>
      </c>
      <c r="B25" s="1" t="str">
        <f>IFERROR(__xludf.DUMMYFUNCTION("""../"" &amp; REGEXEXTRACT(D25, ""[^/]+$"")"),"../res269_7F16_receptor_only_PV-005397290947_10_1.pdb")</f>
        <v>../res269_7F16_receptor_only_PV-005397290947_10_1.pdb</v>
      </c>
      <c r="C25" s="1" t="s">
        <v>1060</v>
      </c>
      <c r="D25" s="1" t="s">
        <v>295</v>
      </c>
      <c r="E25" s="1" t="s">
        <v>132</v>
      </c>
      <c r="F25" s="3" t="s">
        <v>26</v>
      </c>
      <c r="G25" s="3" t="s">
        <v>412</v>
      </c>
      <c r="H25" s="1" t="str">
        <f>IFERROR(__xludf.DUMMYFUNCTION("IFERROR(REGEXEXTRACT(D25, ""res(269|122)""), ""none"")"),"269")</f>
        <v>269</v>
      </c>
      <c r="I25" s="1">
        <v>-15.787491</v>
      </c>
      <c r="J25" s="1">
        <v>6.0</v>
      </c>
      <c r="K25" s="1">
        <v>2.0</v>
      </c>
      <c r="L25" s="1">
        <v>0.333333</v>
      </c>
      <c r="M25" s="1">
        <v>3.0</v>
      </c>
      <c r="N25" s="1">
        <v>-1.153959</v>
      </c>
      <c r="O25" s="1">
        <v>100.0</v>
      </c>
      <c r="P25" s="1">
        <v>0.0</v>
      </c>
      <c r="Q25" s="1">
        <v>0.0</v>
      </c>
      <c r="R25" s="1">
        <v>94.391883</v>
      </c>
    </row>
    <row r="26">
      <c r="A26" s="1" t="s">
        <v>19</v>
      </c>
      <c r="B26" s="1" t="str">
        <f>IFERROR(__xludf.DUMMYFUNCTION("""../"" &amp; REGEXEXTRACT(D26, ""[^/]+$"")"),"../res269_7F16_receptor_only_PV-005409743762_202_0.pdb")</f>
        <v>../res269_7F16_receptor_only_PV-005409743762_202_0.pdb</v>
      </c>
      <c r="C26" s="1" t="s">
        <v>1060</v>
      </c>
      <c r="D26" s="1" t="s">
        <v>296</v>
      </c>
      <c r="E26" s="1" t="s">
        <v>135</v>
      </c>
      <c r="F26" s="3" t="s">
        <v>33</v>
      </c>
      <c r="G26" s="3"/>
      <c r="H26" s="1" t="str">
        <f>IFERROR(__xludf.DUMMYFUNCTION("IFERROR(REGEXEXTRACT(D26, ""res(269|122)""), ""none"")"),"269")</f>
        <v>269</v>
      </c>
      <c r="I26" s="1">
        <v>-16.526444</v>
      </c>
      <c r="J26" s="1">
        <v>7.0</v>
      </c>
      <c r="K26" s="1">
        <v>3.0</v>
      </c>
      <c r="L26" s="1">
        <v>0.428571</v>
      </c>
      <c r="M26" s="1">
        <v>3.0</v>
      </c>
      <c r="N26" s="1">
        <v>-1.370961</v>
      </c>
      <c r="O26" s="1">
        <v>100.0</v>
      </c>
      <c r="P26" s="1">
        <v>0.0</v>
      </c>
      <c r="Q26" s="1">
        <v>0.0</v>
      </c>
      <c r="R26" s="1">
        <v>95.531166</v>
      </c>
    </row>
    <row r="27">
      <c r="A27" s="1" t="s">
        <v>19</v>
      </c>
      <c r="B27" s="1" t="str">
        <f>IFERROR(__xludf.DUMMYFUNCTION("""../"" &amp; REGEXEXTRACT(D27, ""[^/]+$"")"),"../res269_7F16_receptor_only_PV-005460257111_135_1.pdb")</f>
        <v>../res269_7F16_receptor_only_PV-005460257111_135_1.pdb</v>
      </c>
      <c r="C27" s="1" t="s">
        <v>1060</v>
      </c>
      <c r="D27" s="1" t="s">
        <v>297</v>
      </c>
      <c r="E27" s="1" t="s">
        <v>138</v>
      </c>
      <c r="F27" s="3" t="s">
        <v>26</v>
      </c>
      <c r="G27" s="3" t="s">
        <v>413</v>
      </c>
      <c r="H27" s="1" t="str">
        <f>IFERROR(__xludf.DUMMYFUNCTION("IFERROR(REGEXEXTRACT(D27, ""res(269|122)""), ""none"")"),"269")</f>
        <v>269</v>
      </c>
      <c r="I27" s="1">
        <v>-15.442965</v>
      </c>
      <c r="J27" s="1">
        <v>7.0</v>
      </c>
      <c r="K27" s="1">
        <v>3.0</v>
      </c>
      <c r="L27" s="1">
        <v>0.285714</v>
      </c>
      <c r="M27" s="1">
        <v>2.0</v>
      </c>
      <c r="N27" s="1">
        <v>-0.995888</v>
      </c>
      <c r="O27" s="1">
        <v>100.0</v>
      </c>
      <c r="P27" s="1">
        <v>0.0</v>
      </c>
      <c r="Q27" s="1">
        <v>0.0</v>
      </c>
      <c r="R27" s="1">
        <v>95.846861</v>
      </c>
    </row>
    <row r="28">
      <c r="A28" s="1" t="s">
        <v>19</v>
      </c>
      <c r="B28" s="1" t="str">
        <f>IFERROR(__xludf.DUMMYFUNCTION("""../"" &amp; REGEXEXTRACT(D28, ""[^/]+$"")"),"../res269_7F16_receptor_only_PV-005460257113_135_1.pdb")</f>
        <v>../res269_7F16_receptor_only_PV-005460257113_135_1.pdb</v>
      </c>
      <c r="C28" s="1" t="s">
        <v>1060</v>
      </c>
      <c r="D28" s="1" t="s">
        <v>298</v>
      </c>
      <c r="E28" s="1" t="s">
        <v>299</v>
      </c>
      <c r="F28" s="3" t="s">
        <v>26</v>
      </c>
      <c r="G28" s="3" t="s">
        <v>414</v>
      </c>
      <c r="H28" s="1" t="str">
        <f>IFERROR(__xludf.DUMMYFUNCTION("IFERROR(REGEXEXTRACT(D28, ""res(269|122)""), ""none"")"),"269")</f>
        <v>269</v>
      </c>
      <c r="I28" s="1">
        <v>-15.442965</v>
      </c>
      <c r="J28" s="1">
        <v>7.0</v>
      </c>
      <c r="K28" s="1">
        <v>3.0</v>
      </c>
      <c r="L28" s="1">
        <v>0.285714</v>
      </c>
      <c r="M28" s="1">
        <v>2.0</v>
      </c>
      <c r="N28" s="1">
        <v>-0.995888</v>
      </c>
      <c r="O28" s="1">
        <v>100.0</v>
      </c>
      <c r="P28" s="1">
        <v>0.0</v>
      </c>
      <c r="Q28" s="1">
        <v>0.0</v>
      </c>
      <c r="R28" s="1">
        <v>95.846861</v>
      </c>
    </row>
    <row r="29">
      <c r="A29" s="1" t="s">
        <v>19</v>
      </c>
      <c r="B29" s="1" t="str">
        <f>IFERROR(__xludf.DUMMYFUNCTION("""../"" &amp; REGEXEXTRACT(D29, ""[^/]+$"")"),"../res269_7F16_receptor_only_PV-005461322877_164_2.pdb")</f>
        <v>../res269_7F16_receptor_only_PV-005461322877_164_2.pdb</v>
      </c>
      <c r="C29" s="1" t="s">
        <v>1060</v>
      </c>
      <c r="D29" s="1" t="s">
        <v>300</v>
      </c>
      <c r="E29" s="1" t="s">
        <v>301</v>
      </c>
      <c r="F29" s="3" t="s">
        <v>24</v>
      </c>
      <c r="G29" s="3" t="s">
        <v>415</v>
      </c>
      <c r="H29" s="1" t="str">
        <f>IFERROR(__xludf.DUMMYFUNCTION("IFERROR(REGEXEXTRACT(D29, ""res(269|122)""), ""none"")"),"269")</f>
        <v>269</v>
      </c>
      <c r="I29" s="1">
        <v>-16.187871</v>
      </c>
      <c r="J29" s="1">
        <v>8.0</v>
      </c>
      <c r="K29" s="1">
        <v>2.0</v>
      </c>
      <c r="L29" s="1">
        <v>0.25</v>
      </c>
      <c r="M29" s="1">
        <v>2.0</v>
      </c>
      <c r="N29" s="1">
        <v>-1.664296</v>
      </c>
      <c r="O29" s="1">
        <v>100.0</v>
      </c>
      <c r="P29" s="1">
        <v>0.0</v>
      </c>
      <c r="Q29" s="1">
        <v>0.0</v>
      </c>
      <c r="R29" s="1">
        <v>94.397833</v>
      </c>
    </row>
    <row r="30">
      <c r="A30" s="1" t="s">
        <v>19</v>
      </c>
      <c r="B30" s="1" t="str">
        <f>IFERROR(__xludf.DUMMYFUNCTION("""../"" &amp; REGEXEXTRACT(D30, ""[^/]+$"")"),"../res269_7F16_receptor_only_PV-005469944476_215_6.pdb")</f>
        <v>../res269_7F16_receptor_only_PV-005469944476_215_6.pdb</v>
      </c>
      <c r="C30" s="1" t="s">
        <v>1060</v>
      </c>
      <c r="D30" s="1" t="s">
        <v>302</v>
      </c>
      <c r="E30" s="1" t="s">
        <v>303</v>
      </c>
      <c r="F30" s="3" t="s">
        <v>24</v>
      </c>
      <c r="G30" s="3"/>
      <c r="H30" s="1" t="str">
        <f>IFERROR(__xludf.DUMMYFUNCTION("IFERROR(REGEXEXTRACT(D30, ""res(269|122)""), ""none"")"),"269")</f>
        <v>269</v>
      </c>
      <c r="I30" s="1">
        <v>-15.122502</v>
      </c>
      <c r="J30" s="1">
        <v>9.0</v>
      </c>
      <c r="K30" s="1">
        <v>1.0</v>
      </c>
      <c r="L30" s="1">
        <v>0.333333</v>
      </c>
      <c r="M30" s="1">
        <v>2.0</v>
      </c>
      <c r="N30" s="1">
        <v>-1.2518</v>
      </c>
      <c r="O30" s="1">
        <v>100.0</v>
      </c>
      <c r="P30" s="1">
        <v>0.0</v>
      </c>
      <c r="Q30" s="1">
        <v>0.0</v>
      </c>
      <c r="R30" s="1">
        <v>95.959031</v>
      </c>
    </row>
    <row r="31">
      <c r="A31" s="1" t="s">
        <v>19</v>
      </c>
      <c r="B31" s="1" t="str">
        <f>IFERROR(__xludf.DUMMYFUNCTION("""../"" &amp; REGEXEXTRACT(D31, ""[^/]+$"")"),"../res269_7F16_receptor_only_PV-005628811316_82_5.pdb")</f>
        <v>../res269_7F16_receptor_only_PV-005628811316_82_5.pdb</v>
      </c>
      <c r="C31" s="1" t="s">
        <v>1060</v>
      </c>
      <c r="D31" s="1" t="s">
        <v>304</v>
      </c>
      <c r="E31" s="1" t="s">
        <v>305</v>
      </c>
      <c r="F31" s="3" t="s">
        <v>24</v>
      </c>
      <c r="G31" s="3"/>
      <c r="H31" s="1" t="str">
        <f>IFERROR(__xludf.DUMMYFUNCTION("IFERROR(REGEXEXTRACT(D31, ""res(269|122)""), ""none"")"),"269")</f>
        <v>269</v>
      </c>
      <c r="I31" s="1">
        <v>-16.909101</v>
      </c>
      <c r="J31" s="1">
        <v>8.0</v>
      </c>
      <c r="K31" s="1">
        <v>3.0</v>
      </c>
      <c r="L31" s="1">
        <v>0.5</v>
      </c>
      <c r="M31" s="1">
        <v>2.0</v>
      </c>
      <c r="N31" s="1">
        <v>-1.107364</v>
      </c>
      <c r="O31" s="1">
        <v>100.0</v>
      </c>
      <c r="P31" s="1">
        <v>0.0</v>
      </c>
      <c r="Q31" s="1">
        <v>0.0</v>
      </c>
      <c r="R31" s="1">
        <v>95.483535</v>
      </c>
    </row>
    <row r="32">
      <c r="A32" s="1" t="s">
        <v>19</v>
      </c>
      <c r="B32" s="1" t="str">
        <f>IFERROR(__xludf.DUMMYFUNCTION("""../"" &amp; REGEXEXTRACT(D32, ""[^/]+$"")"),"../res269_7F16_receptor_only_PV-005762936890_203_15.pdb")</f>
        <v>../res269_7F16_receptor_only_PV-005762936890_203_15.pdb</v>
      </c>
      <c r="C32" s="1" t="s">
        <v>1060</v>
      </c>
      <c r="D32" s="1" t="s">
        <v>306</v>
      </c>
      <c r="E32" s="1" t="s">
        <v>307</v>
      </c>
      <c r="F32" s="3" t="s">
        <v>24</v>
      </c>
      <c r="G32" s="3"/>
      <c r="H32" s="1" t="str">
        <f>IFERROR(__xludf.DUMMYFUNCTION("IFERROR(REGEXEXTRACT(D32, ""res(269|122)""), ""none"")"),"269")</f>
        <v>269</v>
      </c>
      <c r="I32" s="1">
        <v>-15.785852</v>
      </c>
      <c r="J32" s="1">
        <v>7.0</v>
      </c>
      <c r="K32" s="1">
        <v>5.0</v>
      </c>
      <c r="L32" s="1">
        <v>0.285714</v>
      </c>
      <c r="M32" s="1">
        <v>2.0</v>
      </c>
      <c r="N32" s="1">
        <v>-0.799353999999999</v>
      </c>
      <c r="O32" s="1">
        <v>100.0</v>
      </c>
      <c r="P32" s="1">
        <v>0.0</v>
      </c>
      <c r="Q32" s="1">
        <v>0.0</v>
      </c>
      <c r="R32" s="1">
        <v>97.700508</v>
      </c>
    </row>
    <row r="33">
      <c r="A33" s="1" t="s">
        <v>19</v>
      </c>
      <c r="B33" s="1" t="str">
        <f>IFERROR(__xludf.DUMMYFUNCTION("""../"" &amp; REGEXEXTRACT(D33, ""[^/]+$"")"),"../res269_7F16_receptor_only_PV-005771589697_43_4.pdb")</f>
        <v>../res269_7F16_receptor_only_PV-005771589697_43_4.pdb</v>
      </c>
      <c r="C33" s="1" t="s">
        <v>1060</v>
      </c>
      <c r="D33" s="1" t="s">
        <v>308</v>
      </c>
      <c r="E33" s="1" t="s">
        <v>141</v>
      </c>
      <c r="F33" s="3" t="s">
        <v>33</v>
      </c>
      <c r="G33" s="3" t="s">
        <v>416</v>
      </c>
      <c r="H33" s="1" t="str">
        <f>IFERROR(__xludf.DUMMYFUNCTION("IFERROR(REGEXEXTRACT(D33, ""res(269|122)""), ""none"")"),"269")</f>
        <v>269</v>
      </c>
      <c r="I33" s="1">
        <v>-15.155078</v>
      </c>
      <c r="J33" s="1">
        <v>8.0</v>
      </c>
      <c r="K33" s="1">
        <v>2.0</v>
      </c>
      <c r="L33" s="1">
        <v>0.25</v>
      </c>
      <c r="M33" s="1">
        <v>2.0</v>
      </c>
      <c r="N33" s="1">
        <v>-0.394031</v>
      </c>
      <c r="O33" s="1">
        <v>100.0</v>
      </c>
      <c r="P33" s="1">
        <v>0.0</v>
      </c>
      <c r="Q33" s="1">
        <v>0.0</v>
      </c>
      <c r="R33" s="1">
        <v>96.700891</v>
      </c>
    </row>
    <row r="34">
      <c r="A34" s="1" t="s">
        <v>19</v>
      </c>
      <c r="B34" s="1" t="str">
        <f>IFERROR(__xludf.DUMMYFUNCTION("""../"" &amp; REGEXEXTRACT(D34, ""[^/]+$"")"),"../res269_7F16_receptor_only_PV-005792794357_162_6.pdb")</f>
        <v>../res269_7F16_receptor_only_PV-005792794357_162_6.pdb</v>
      </c>
      <c r="C34" s="1" t="s">
        <v>1060</v>
      </c>
      <c r="D34" s="1" t="s">
        <v>309</v>
      </c>
      <c r="E34" s="1" t="s">
        <v>144</v>
      </c>
      <c r="F34" s="3" t="s">
        <v>26</v>
      </c>
      <c r="G34" s="3"/>
      <c r="H34" s="1" t="str">
        <f>IFERROR(__xludf.DUMMYFUNCTION("IFERROR(REGEXEXTRACT(D34, ""res(269|122)""), ""none"")"),"269")</f>
        <v>269</v>
      </c>
      <c r="I34" s="1">
        <v>-15.473368</v>
      </c>
      <c r="J34" s="1">
        <v>8.0</v>
      </c>
      <c r="K34" s="1">
        <v>2.0</v>
      </c>
      <c r="L34" s="1">
        <v>0.375</v>
      </c>
      <c r="M34" s="1">
        <v>2.0</v>
      </c>
      <c r="N34" s="1">
        <v>-0.972362</v>
      </c>
      <c r="O34" s="1">
        <v>100.0</v>
      </c>
      <c r="P34" s="1">
        <v>0.0</v>
      </c>
      <c r="Q34" s="1">
        <v>0.0</v>
      </c>
      <c r="R34" s="1">
        <v>95.92927</v>
      </c>
    </row>
    <row r="35">
      <c r="A35" s="1" t="s">
        <v>19</v>
      </c>
      <c r="B35" s="1" t="str">
        <f>IFERROR(__xludf.DUMMYFUNCTION("""../"" &amp; REGEXEXTRACT(D35, ""[^/]+$"")"),"../res269_7F16_receptor_only_PV-005904922341_54_3.pdb")</f>
        <v>../res269_7F16_receptor_only_PV-005904922341_54_3.pdb</v>
      </c>
      <c r="C35" s="1" t="s">
        <v>1060</v>
      </c>
      <c r="D35" s="1" t="s">
        <v>310</v>
      </c>
      <c r="E35" s="1" t="s">
        <v>147</v>
      </c>
      <c r="F35" s="3" t="s">
        <v>26</v>
      </c>
      <c r="G35" s="3" t="s">
        <v>417</v>
      </c>
      <c r="H35" s="1" t="str">
        <f>IFERROR(__xludf.DUMMYFUNCTION("IFERROR(REGEXEXTRACT(D35, ""res(269|122)""), ""none"")"),"269")</f>
        <v>269</v>
      </c>
      <c r="I35" s="1">
        <v>-15.32929</v>
      </c>
      <c r="J35" s="1">
        <v>9.0</v>
      </c>
      <c r="K35" s="1">
        <v>2.0</v>
      </c>
      <c r="L35" s="1">
        <v>0.444444</v>
      </c>
      <c r="M35" s="1">
        <v>3.0</v>
      </c>
      <c r="N35" s="1">
        <v>-1.169854</v>
      </c>
      <c r="O35" s="1">
        <v>100.0</v>
      </c>
      <c r="P35" s="1">
        <v>0.0</v>
      </c>
      <c r="Q35" s="1">
        <v>0.0</v>
      </c>
      <c r="R35" s="1">
        <v>97.9453</v>
      </c>
    </row>
    <row r="36">
      <c r="A36" s="1" t="s">
        <v>19</v>
      </c>
      <c r="B36" s="1" t="str">
        <f>IFERROR(__xludf.DUMMYFUNCTION("""../"" &amp; REGEXEXTRACT(D36, ""[^/]+$"")"),"../res269_7F16_receptor_only_PV-005941960676_114_0.pdb")</f>
        <v>../res269_7F16_receptor_only_PV-005941960676_114_0.pdb</v>
      </c>
      <c r="C36" s="1" t="s">
        <v>1060</v>
      </c>
      <c r="D36" s="1" t="s">
        <v>311</v>
      </c>
      <c r="E36" s="1" t="s">
        <v>312</v>
      </c>
      <c r="F36" s="3" t="s">
        <v>24</v>
      </c>
      <c r="G36" s="3"/>
      <c r="H36" s="1" t="str">
        <f>IFERROR(__xludf.DUMMYFUNCTION("IFERROR(REGEXEXTRACT(D36, ""res(269|122)""), ""none"")"),"269")</f>
        <v>269</v>
      </c>
      <c r="I36" s="1">
        <v>-17.46746</v>
      </c>
      <c r="J36" s="1">
        <v>9.0</v>
      </c>
      <c r="K36" s="1">
        <v>2.0</v>
      </c>
      <c r="L36" s="1">
        <v>0.333333</v>
      </c>
      <c r="M36" s="1">
        <v>2.0</v>
      </c>
      <c r="N36" s="1">
        <v>-0.960204</v>
      </c>
      <c r="O36" s="1">
        <v>100.0</v>
      </c>
      <c r="P36" s="1">
        <v>0.0</v>
      </c>
      <c r="Q36" s="1">
        <v>0.0</v>
      </c>
      <c r="R36" s="1">
        <v>94.905669</v>
      </c>
    </row>
    <row r="37">
      <c r="A37" s="1" t="s">
        <v>19</v>
      </c>
      <c r="B37" s="1" t="str">
        <f>IFERROR(__xludf.DUMMYFUNCTION("""../"" &amp; REGEXEXTRACT(D37, ""[^/]+$"")"),"../res269_7F16_receptor_only_PV-005946081927_44_6.pdb")</f>
        <v>../res269_7F16_receptor_only_PV-005946081927_44_6.pdb</v>
      </c>
      <c r="C37" s="1" t="s">
        <v>1060</v>
      </c>
      <c r="D37" s="1" t="s">
        <v>313</v>
      </c>
      <c r="E37" s="1" t="s">
        <v>314</v>
      </c>
      <c r="F37" s="3" t="s">
        <v>24</v>
      </c>
      <c r="G37" s="3"/>
      <c r="H37" s="1" t="str">
        <f>IFERROR(__xludf.DUMMYFUNCTION("IFERROR(REGEXEXTRACT(D37, ""res(269|122)""), ""none"")"),"269")</f>
        <v>269</v>
      </c>
      <c r="I37" s="1">
        <v>-15.769609</v>
      </c>
      <c r="J37" s="1">
        <v>8.0</v>
      </c>
      <c r="K37" s="1">
        <v>2.0</v>
      </c>
      <c r="L37" s="1">
        <v>0.25</v>
      </c>
      <c r="M37" s="1">
        <v>2.0</v>
      </c>
      <c r="N37" s="1">
        <v>-1.998276</v>
      </c>
      <c r="O37" s="1">
        <v>100.0</v>
      </c>
      <c r="P37" s="1">
        <v>0.0</v>
      </c>
      <c r="Q37" s="1">
        <v>0.0</v>
      </c>
      <c r="R37" s="1">
        <v>94.482115</v>
      </c>
    </row>
    <row r="38">
      <c r="A38" s="1" t="s">
        <v>19</v>
      </c>
      <c r="B38" s="1" t="str">
        <f>IFERROR(__xludf.DUMMYFUNCTION("""../"" &amp; REGEXEXTRACT(D38, ""[^/]+$"")"),"../res269_7F16_receptor_only_PV-005999281346_166_3.pdb")</f>
        <v>../res269_7F16_receptor_only_PV-005999281346_166_3.pdb</v>
      </c>
      <c r="C38" s="1" t="s">
        <v>1060</v>
      </c>
      <c r="D38" s="1" t="s">
        <v>315</v>
      </c>
      <c r="E38" s="1" t="s">
        <v>316</v>
      </c>
      <c r="F38" s="3" t="s">
        <v>24</v>
      </c>
      <c r="G38" s="3"/>
      <c r="H38" s="1" t="str">
        <f>IFERROR(__xludf.DUMMYFUNCTION("IFERROR(REGEXEXTRACT(D38, ""res(269|122)""), ""none"")"),"269")</f>
        <v>269</v>
      </c>
      <c r="I38" s="1">
        <v>-16.531836</v>
      </c>
      <c r="J38" s="1">
        <v>10.0</v>
      </c>
      <c r="K38" s="1">
        <v>2.0</v>
      </c>
      <c r="L38" s="1">
        <v>0.3</v>
      </c>
      <c r="M38" s="1">
        <v>2.0</v>
      </c>
      <c r="N38" s="1">
        <v>-0.888794</v>
      </c>
      <c r="O38" s="1">
        <v>100.0</v>
      </c>
      <c r="P38" s="1">
        <v>0.0</v>
      </c>
      <c r="Q38" s="1">
        <v>0.0</v>
      </c>
      <c r="R38" s="1">
        <v>96.87937</v>
      </c>
    </row>
    <row r="39">
      <c r="A39" s="1" t="s">
        <v>19</v>
      </c>
      <c r="B39" s="1" t="str">
        <f>IFERROR(__xludf.DUMMYFUNCTION("""../"" &amp; REGEXEXTRACT(D39, ""[^/]+$"")"),"../res269_7F16_receptor_only_PV-006059242376_180_2.pdb")</f>
        <v>../res269_7F16_receptor_only_PV-006059242376_180_2.pdb</v>
      </c>
      <c r="C39" s="1" t="s">
        <v>1060</v>
      </c>
      <c r="D39" s="1" t="s">
        <v>317</v>
      </c>
      <c r="E39" s="1" t="s">
        <v>318</v>
      </c>
      <c r="F39" s="3" t="s">
        <v>24</v>
      </c>
      <c r="G39" s="3"/>
      <c r="H39" s="1" t="str">
        <f>IFERROR(__xludf.DUMMYFUNCTION("IFERROR(REGEXEXTRACT(D39, ""res(269|122)""), ""none"")"),"269")</f>
        <v>269</v>
      </c>
      <c r="I39" s="1">
        <v>-15.695983</v>
      </c>
      <c r="J39" s="1">
        <v>8.0</v>
      </c>
      <c r="K39" s="1">
        <v>3.0</v>
      </c>
      <c r="L39" s="1">
        <v>0.375</v>
      </c>
      <c r="M39" s="1">
        <v>2.0</v>
      </c>
      <c r="N39" s="1">
        <v>-0.764023</v>
      </c>
      <c r="O39" s="1">
        <v>100.0</v>
      </c>
      <c r="P39" s="1">
        <v>0.0</v>
      </c>
      <c r="Q39" s="1">
        <v>0.0</v>
      </c>
      <c r="R39" s="1">
        <v>96.914994</v>
      </c>
    </row>
    <row r="40">
      <c r="A40" s="1" t="s">
        <v>19</v>
      </c>
      <c r="B40" s="1" t="str">
        <f>IFERROR(__xludf.DUMMYFUNCTION("""../"" &amp; REGEXEXTRACT(D40, ""[^/]+$"")"),"../res269_7F16_receptor_only_PV-006074144815_132_2.pdb")</f>
        <v>../res269_7F16_receptor_only_PV-006074144815_132_2.pdb</v>
      </c>
      <c r="C40" s="1" t="s">
        <v>1060</v>
      </c>
      <c r="D40" s="1" t="s">
        <v>319</v>
      </c>
      <c r="E40" s="1" t="s">
        <v>150</v>
      </c>
      <c r="F40" s="3" t="s">
        <v>26</v>
      </c>
      <c r="G40" s="3"/>
      <c r="H40" s="1" t="str">
        <f>IFERROR(__xludf.DUMMYFUNCTION("IFERROR(REGEXEXTRACT(D40, ""res(269|122)""), ""none"")"),"269")</f>
        <v>269</v>
      </c>
      <c r="I40" s="1">
        <v>-16.574584</v>
      </c>
      <c r="J40" s="1">
        <v>6.0</v>
      </c>
      <c r="K40" s="1">
        <v>1.0</v>
      </c>
      <c r="L40" s="1">
        <v>0.333333</v>
      </c>
      <c r="M40" s="1">
        <v>2.0</v>
      </c>
      <c r="N40" s="1">
        <v>-0.53138</v>
      </c>
      <c r="O40" s="1">
        <v>100.0</v>
      </c>
      <c r="P40" s="1">
        <v>0.0</v>
      </c>
      <c r="Q40" s="1">
        <v>0.0</v>
      </c>
      <c r="R40" s="1">
        <v>92.227369</v>
      </c>
    </row>
    <row r="41">
      <c r="A41" s="1" t="s">
        <v>19</v>
      </c>
      <c r="B41" s="1" t="str">
        <f>IFERROR(__xludf.DUMMYFUNCTION("""../"" &amp; REGEXEXTRACT(D41, ""[^/]+$"")"),"../res269_7F16_receptor_only_PV-006143645773_78_1.pdb")</f>
        <v>../res269_7F16_receptor_only_PV-006143645773_78_1.pdb</v>
      </c>
      <c r="C41" s="1" t="s">
        <v>1060</v>
      </c>
      <c r="D41" s="1" t="s">
        <v>320</v>
      </c>
      <c r="E41" s="1" t="s">
        <v>153</v>
      </c>
      <c r="F41" s="3" t="s">
        <v>26</v>
      </c>
      <c r="G41" s="3" t="s">
        <v>418</v>
      </c>
      <c r="H41" s="1" t="str">
        <f>IFERROR(__xludf.DUMMYFUNCTION("IFERROR(REGEXEXTRACT(D41, ""res(269|122)""), ""none"")"),"269")</f>
        <v>269</v>
      </c>
      <c r="I41" s="1">
        <v>-16.381515</v>
      </c>
      <c r="J41" s="1">
        <v>6.0</v>
      </c>
      <c r="K41" s="1">
        <v>3.0</v>
      </c>
      <c r="L41" s="1">
        <v>0.5</v>
      </c>
      <c r="M41" s="1">
        <v>2.0</v>
      </c>
      <c r="N41" s="1">
        <v>-0.391175999999999</v>
      </c>
      <c r="O41" s="1">
        <v>100.0</v>
      </c>
      <c r="P41" s="1">
        <v>0.0</v>
      </c>
      <c r="Q41" s="1">
        <v>0.0</v>
      </c>
      <c r="R41" s="1">
        <v>94.727309</v>
      </c>
    </row>
    <row r="42">
      <c r="A42" s="1" t="s">
        <v>19</v>
      </c>
      <c r="B42" s="1" t="str">
        <f>IFERROR(__xludf.DUMMYFUNCTION("""../"" &amp; REGEXEXTRACT(D42, ""[^/]+$"")"),"../res269_7F16_receptor_only_PV-006143645775_78_1.pdb")</f>
        <v>../res269_7F16_receptor_only_PV-006143645775_78_1.pdb</v>
      </c>
      <c r="C42" s="1" t="s">
        <v>1060</v>
      </c>
      <c r="D42" s="1" t="s">
        <v>321</v>
      </c>
      <c r="E42" s="1" t="s">
        <v>322</v>
      </c>
      <c r="F42" s="3" t="s">
        <v>26</v>
      </c>
      <c r="G42" s="3" t="s">
        <v>419</v>
      </c>
      <c r="H42" s="1" t="str">
        <f>IFERROR(__xludf.DUMMYFUNCTION("IFERROR(REGEXEXTRACT(D42, ""res(269|122)""), ""none"")"),"269")</f>
        <v>269</v>
      </c>
      <c r="I42" s="1">
        <v>-16.381515</v>
      </c>
      <c r="J42" s="1">
        <v>6.0</v>
      </c>
      <c r="K42" s="1">
        <v>3.0</v>
      </c>
      <c r="L42" s="1">
        <v>0.5</v>
      </c>
      <c r="M42" s="1">
        <v>2.0</v>
      </c>
      <c r="N42" s="1">
        <v>-0.391175999999999</v>
      </c>
      <c r="O42" s="1">
        <v>100.0</v>
      </c>
      <c r="P42" s="1">
        <v>0.0</v>
      </c>
      <c r="Q42" s="1">
        <v>0.0</v>
      </c>
      <c r="R42" s="1">
        <v>94.727309</v>
      </c>
    </row>
    <row r="43">
      <c r="A43" s="1" t="s">
        <v>19</v>
      </c>
      <c r="B43" s="1" t="str">
        <f>IFERROR(__xludf.DUMMYFUNCTION("""../"" &amp; REGEXEXTRACT(D43, ""[^/]+$"")"),"../res269_7F16_receptor_only_PV-006143645776_78_1.pdb")</f>
        <v>../res269_7F16_receptor_only_PV-006143645776_78_1.pdb</v>
      </c>
      <c r="C43" s="1" t="s">
        <v>1060</v>
      </c>
      <c r="D43" s="1" t="s">
        <v>323</v>
      </c>
      <c r="E43" s="1" t="s">
        <v>324</v>
      </c>
      <c r="F43" s="3" t="s">
        <v>26</v>
      </c>
      <c r="G43" s="3" t="s">
        <v>420</v>
      </c>
      <c r="H43" s="1" t="str">
        <f>IFERROR(__xludf.DUMMYFUNCTION("IFERROR(REGEXEXTRACT(D43, ""res(269|122)""), ""none"")"),"269")</f>
        <v>269</v>
      </c>
      <c r="I43" s="1">
        <v>-16.381515</v>
      </c>
      <c r="J43" s="1">
        <v>6.0</v>
      </c>
      <c r="K43" s="1">
        <v>3.0</v>
      </c>
      <c r="L43" s="1">
        <v>0.5</v>
      </c>
      <c r="M43" s="1">
        <v>2.0</v>
      </c>
      <c r="N43" s="1">
        <v>-0.391175999999999</v>
      </c>
      <c r="O43" s="1">
        <v>100.0</v>
      </c>
      <c r="P43" s="1">
        <v>0.0</v>
      </c>
      <c r="Q43" s="1">
        <v>0.0</v>
      </c>
      <c r="R43" s="1">
        <v>94.727309</v>
      </c>
    </row>
    <row r="44">
      <c r="A44" s="1" t="s">
        <v>19</v>
      </c>
      <c r="B44" s="1" t="str">
        <f>IFERROR(__xludf.DUMMYFUNCTION("""../"" &amp; REGEXEXTRACT(D44, ""[^/]+$"")"),"../res269_7F16_receptor_only_PV-006186949995_106_0.pdb")</f>
        <v>../res269_7F16_receptor_only_PV-006186949995_106_0.pdb</v>
      </c>
      <c r="C44" s="1" t="s">
        <v>1060</v>
      </c>
      <c r="D44" s="1" t="s">
        <v>325</v>
      </c>
      <c r="E44" s="1" t="s">
        <v>326</v>
      </c>
      <c r="F44" s="3" t="s">
        <v>24</v>
      </c>
      <c r="G44" s="3"/>
      <c r="H44" s="1" t="str">
        <f>IFERROR(__xludf.DUMMYFUNCTION("IFERROR(REGEXEXTRACT(D44, ""res(269|122)""), ""none"")"),"269")</f>
        <v>269</v>
      </c>
      <c r="I44" s="1">
        <v>-16.758312</v>
      </c>
      <c r="J44" s="1">
        <v>7.0</v>
      </c>
      <c r="K44" s="1">
        <v>4.0</v>
      </c>
      <c r="L44" s="1">
        <v>0.428571</v>
      </c>
      <c r="M44" s="1">
        <v>2.0</v>
      </c>
      <c r="N44" s="1">
        <v>-1.542056</v>
      </c>
      <c r="O44" s="1">
        <v>100.0</v>
      </c>
      <c r="P44" s="1">
        <v>0.0</v>
      </c>
      <c r="Q44" s="1">
        <v>0.0</v>
      </c>
      <c r="R44" s="1">
        <v>95.128203</v>
      </c>
    </row>
    <row r="45">
      <c r="A45" s="1" t="s">
        <v>19</v>
      </c>
      <c r="B45" s="1" t="str">
        <f>IFERROR(__xludf.DUMMYFUNCTION("""../"" &amp; REGEXEXTRACT(D45, ""[^/]+$"")"),"../res269_7F16_receptor_only_PV-006252057578_235_16.pdb")</f>
        <v>../res269_7F16_receptor_only_PV-006252057578_235_16.pdb</v>
      </c>
      <c r="C45" s="1" t="s">
        <v>1060</v>
      </c>
      <c r="D45" s="1" t="s">
        <v>327</v>
      </c>
      <c r="E45" s="1" t="s">
        <v>156</v>
      </c>
      <c r="F45" s="3" t="s">
        <v>24</v>
      </c>
      <c r="G45" s="3"/>
      <c r="H45" s="1" t="str">
        <f>IFERROR(__xludf.DUMMYFUNCTION("IFERROR(REGEXEXTRACT(D45, ""res(269|122)""), ""none"")"),"269")</f>
        <v>269</v>
      </c>
      <c r="I45" s="1">
        <v>-16.196607</v>
      </c>
      <c r="J45" s="1">
        <v>8.0</v>
      </c>
      <c r="K45" s="1">
        <v>5.0</v>
      </c>
      <c r="L45" s="1">
        <v>0.625</v>
      </c>
      <c r="M45" s="1">
        <v>3.0</v>
      </c>
      <c r="N45" s="1">
        <v>-1.08205699999999</v>
      </c>
      <c r="O45" s="1">
        <v>100.0</v>
      </c>
      <c r="P45" s="1">
        <v>0.0</v>
      </c>
      <c r="Q45" s="1">
        <v>0.0</v>
      </c>
      <c r="R45" s="1">
        <v>99.346336</v>
      </c>
    </row>
    <row r="46">
      <c r="A46" s="1" t="s">
        <v>19</v>
      </c>
      <c r="B46" s="1" t="str">
        <f>IFERROR(__xludf.DUMMYFUNCTION("""../"" &amp; REGEXEXTRACT(D46, ""[^/]+$"")"),"../res269_7F16_receptor_only_PV-006275168072_126_0.pdb")</f>
        <v>../res269_7F16_receptor_only_PV-006275168072_126_0.pdb</v>
      </c>
      <c r="C46" s="1" t="s">
        <v>1060</v>
      </c>
      <c r="D46" s="1" t="s">
        <v>328</v>
      </c>
      <c r="E46" s="1" t="s">
        <v>329</v>
      </c>
      <c r="F46" s="3" t="s">
        <v>24</v>
      </c>
      <c r="G46" s="3"/>
      <c r="H46" s="1" t="str">
        <f>IFERROR(__xludf.DUMMYFUNCTION("IFERROR(REGEXEXTRACT(D46, ""res(269|122)""), ""none"")"),"269")</f>
        <v>269</v>
      </c>
      <c r="I46" s="1">
        <v>-15.182474</v>
      </c>
      <c r="J46" s="1">
        <v>7.0</v>
      </c>
      <c r="K46" s="1">
        <v>2.0</v>
      </c>
      <c r="L46" s="1">
        <v>0.285714</v>
      </c>
      <c r="M46" s="1">
        <v>2.0</v>
      </c>
      <c r="N46" s="1">
        <v>-0.62157</v>
      </c>
      <c r="O46" s="1">
        <v>100.0</v>
      </c>
      <c r="P46" s="1">
        <v>0.0</v>
      </c>
      <c r="Q46" s="1">
        <v>0.0</v>
      </c>
      <c r="R46" s="1">
        <v>95.48167</v>
      </c>
    </row>
    <row r="47">
      <c r="A47" s="1" t="s">
        <v>19</v>
      </c>
      <c r="B47" s="1" t="str">
        <f>IFERROR(__xludf.DUMMYFUNCTION("""../"" &amp; REGEXEXTRACT(D47, ""[^/]+$"")"),"../res269_7F16_receptor_only_PV-006279077450_73_15.pdb")</f>
        <v>../res269_7F16_receptor_only_PV-006279077450_73_15.pdb</v>
      </c>
      <c r="C47" s="1" t="s">
        <v>1060</v>
      </c>
      <c r="D47" s="1" t="s">
        <v>330</v>
      </c>
      <c r="E47" s="1" t="s">
        <v>159</v>
      </c>
      <c r="F47" s="3" t="s">
        <v>24</v>
      </c>
      <c r="G47" s="3"/>
      <c r="H47" s="1" t="str">
        <f>IFERROR(__xludf.DUMMYFUNCTION("IFERROR(REGEXEXTRACT(D47, ""res(269|122)""), ""none"")"),"269")</f>
        <v>269</v>
      </c>
      <c r="I47" s="1">
        <v>-17.250811</v>
      </c>
      <c r="J47" s="1">
        <v>11.0</v>
      </c>
      <c r="K47" s="1">
        <v>5.0</v>
      </c>
      <c r="L47" s="1">
        <v>0.272727</v>
      </c>
      <c r="M47" s="1">
        <v>2.0</v>
      </c>
      <c r="N47" s="1">
        <v>-0.713731</v>
      </c>
      <c r="O47" s="1">
        <v>100.0</v>
      </c>
      <c r="P47" s="1">
        <v>0.0</v>
      </c>
      <c r="Q47" s="1">
        <v>0.0</v>
      </c>
      <c r="R47" s="1">
        <v>100.308185</v>
      </c>
    </row>
    <row r="48">
      <c r="A48" s="1" t="s">
        <v>19</v>
      </c>
      <c r="B48" s="1" t="str">
        <f>IFERROR(__xludf.DUMMYFUNCTION("""../"" &amp; REGEXEXTRACT(D48, ""[^/]+$"")"),"../res269_7F16_receptor_only_PV-006328895684_180_8.pdb")</f>
        <v>../res269_7F16_receptor_only_PV-006328895684_180_8.pdb</v>
      </c>
      <c r="C48" s="1" t="s">
        <v>1060</v>
      </c>
      <c r="D48" s="1" t="s">
        <v>331</v>
      </c>
      <c r="E48" s="1" t="s">
        <v>332</v>
      </c>
      <c r="F48" s="3" t="s">
        <v>24</v>
      </c>
      <c r="G48" s="3"/>
      <c r="H48" s="1" t="str">
        <f>IFERROR(__xludf.DUMMYFUNCTION("IFERROR(REGEXEXTRACT(D48, ""res(269|122)""), ""none"")"),"269")</f>
        <v>269</v>
      </c>
      <c r="I48" s="1">
        <v>-15.813539</v>
      </c>
      <c r="J48" s="1">
        <v>8.0</v>
      </c>
      <c r="K48" s="1">
        <v>4.0</v>
      </c>
      <c r="L48" s="1">
        <v>0.375</v>
      </c>
      <c r="M48" s="1">
        <v>2.0</v>
      </c>
      <c r="N48" s="1">
        <v>-0.75356</v>
      </c>
      <c r="O48" s="1">
        <v>100.0</v>
      </c>
      <c r="P48" s="1">
        <v>0.0</v>
      </c>
      <c r="Q48" s="1">
        <v>0.0</v>
      </c>
      <c r="R48" s="1">
        <v>97.807901</v>
      </c>
    </row>
    <row r="49">
      <c r="A49" s="1" t="s">
        <v>19</v>
      </c>
      <c r="B49" s="1" t="str">
        <f>IFERROR(__xludf.DUMMYFUNCTION("""../"" &amp; REGEXEXTRACT(D49, ""[^/]+$"")"),"../res269_7F16_receptor_only_PV-006336543198_32_3.pdb")</f>
        <v>../res269_7F16_receptor_only_PV-006336543198_32_3.pdb</v>
      </c>
      <c r="C49" s="1" t="s">
        <v>1060</v>
      </c>
      <c r="D49" s="1" t="s">
        <v>333</v>
      </c>
      <c r="E49" s="1" t="s">
        <v>162</v>
      </c>
      <c r="F49" s="3" t="s">
        <v>24</v>
      </c>
      <c r="G49" s="3"/>
      <c r="H49" s="1" t="str">
        <f>IFERROR(__xludf.DUMMYFUNCTION("IFERROR(REGEXEXTRACT(D49, ""res(269|122)""), ""none"")"),"269")</f>
        <v>269</v>
      </c>
      <c r="I49" s="1">
        <v>-17.483332</v>
      </c>
      <c r="J49" s="1">
        <v>7.0</v>
      </c>
      <c r="K49" s="1">
        <v>2.0</v>
      </c>
      <c r="L49" s="1">
        <v>0.428571</v>
      </c>
      <c r="M49" s="1">
        <v>2.0</v>
      </c>
      <c r="N49" s="1">
        <v>-0.934603</v>
      </c>
      <c r="O49" s="1">
        <v>100.0</v>
      </c>
      <c r="P49" s="1">
        <v>0.0</v>
      </c>
      <c r="Q49" s="1">
        <v>0.0</v>
      </c>
      <c r="R49" s="1">
        <v>93.010636</v>
      </c>
    </row>
    <row r="50">
      <c r="A50" s="1" t="s">
        <v>19</v>
      </c>
      <c r="B50" s="1" t="str">
        <f>IFERROR(__xludf.DUMMYFUNCTION("""../"" &amp; REGEXEXTRACT(D50, ""[^/]+$"")"),"../res269_7F16_receptor_only_PV-006446974219_136_10.pdb")</f>
        <v>../res269_7F16_receptor_only_PV-006446974219_136_10.pdb</v>
      </c>
      <c r="C50" s="1" t="s">
        <v>1060</v>
      </c>
      <c r="D50" s="1" t="s">
        <v>334</v>
      </c>
      <c r="E50" s="1" t="s">
        <v>335</v>
      </c>
      <c r="F50" s="3" t="s">
        <v>24</v>
      </c>
      <c r="G50" s="3"/>
      <c r="H50" s="1" t="str">
        <f>IFERROR(__xludf.DUMMYFUNCTION("IFERROR(REGEXEXTRACT(D50, ""res(269|122)""), ""none"")"),"269")</f>
        <v>269</v>
      </c>
      <c r="I50" s="1">
        <v>-15.044133</v>
      </c>
      <c r="J50" s="1">
        <v>7.0</v>
      </c>
      <c r="K50" s="1">
        <v>3.0</v>
      </c>
      <c r="L50" s="1">
        <v>0.285714</v>
      </c>
      <c r="M50" s="1">
        <v>2.0</v>
      </c>
      <c r="N50" s="1">
        <v>-0.869404</v>
      </c>
      <c r="O50" s="1">
        <v>100.0</v>
      </c>
      <c r="P50" s="1">
        <v>0.0</v>
      </c>
      <c r="Q50" s="1">
        <v>0.0</v>
      </c>
      <c r="R50" s="1">
        <v>96.372177</v>
      </c>
    </row>
    <row r="51">
      <c r="A51" s="1" t="s">
        <v>19</v>
      </c>
      <c r="B51" s="1" t="str">
        <f>IFERROR(__xludf.DUMMYFUNCTION("""../"" &amp; REGEXEXTRACT(D51, ""[^/]+$"")"),"../res269_7F16_receptor_only_PV-006460901879_4_1.pdb")</f>
        <v>../res269_7F16_receptor_only_PV-006460901879_4_1.pdb</v>
      </c>
      <c r="C51" s="1" t="s">
        <v>1060</v>
      </c>
      <c r="D51" s="1" t="s">
        <v>336</v>
      </c>
      <c r="E51" s="1" t="s">
        <v>337</v>
      </c>
      <c r="F51" s="3" t="s">
        <v>24</v>
      </c>
      <c r="G51" s="3"/>
      <c r="H51" s="1" t="str">
        <f>IFERROR(__xludf.DUMMYFUNCTION("IFERROR(REGEXEXTRACT(D51, ""res(269|122)""), ""none"")"),"269")</f>
        <v>269</v>
      </c>
      <c r="I51" s="1">
        <v>-16.338997</v>
      </c>
      <c r="J51" s="1">
        <v>6.0</v>
      </c>
      <c r="K51" s="1">
        <v>1.0</v>
      </c>
      <c r="L51" s="1">
        <v>0.333333</v>
      </c>
      <c r="M51" s="1">
        <v>2.0</v>
      </c>
      <c r="N51" s="1">
        <v>-1.569369</v>
      </c>
      <c r="O51" s="1">
        <v>100.0</v>
      </c>
      <c r="P51" s="1">
        <v>0.0</v>
      </c>
      <c r="Q51" s="1">
        <v>0.0</v>
      </c>
      <c r="R51" s="1">
        <v>91.424967</v>
      </c>
    </row>
    <row r="52">
      <c r="A52" s="1" t="s">
        <v>19</v>
      </c>
      <c r="B52" s="1" t="str">
        <f>IFERROR(__xludf.DUMMYFUNCTION("""../"" &amp; REGEXEXTRACT(D52, ""[^/]+$"")"),"../res269_7F16_receptor_only_PV-006531537045_114_1.pdb")</f>
        <v>../res269_7F16_receptor_only_PV-006531537045_114_1.pdb</v>
      </c>
      <c r="C52" s="1" t="s">
        <v>1060</v>
      </c>
      <c r="D52" s="1" t="s">
        <v>338</v>
      </c>
      <c r="E52" s="1" t="s">
        <v>339</v>
      </c>
      <c r="F52" s="3" t="s">
        <v>24</v>
      </c>
      <c r="G52" s="3"/>
      <c r="H52" s="1" t="str">
        <f>IFERROR(__xludf.DUMMYFUNCTION("IFERROR(REGEXEXTRACT(D52, ""res(269|122)""), ""none"")"),"269")</f>
        <v>269</v>
      </c>
      <c r="I52" s="1">
        <v>-15.874894</v>
      </c>
      <c r="J52" s="1">
        <v>8.0</v>
      </c>
      <c r="K52" s="1">
        <v>2.0</v>
      </c>
      <c r="L52" s="1">
        <v>0.25</v>
      </c>
      <c r="M52" s="1">
        <v>2.0</v>
      </c>
      <c r="N52" s="1">
        <v>-1.527443</v>
      </c>
      <c r="O52" s="1">
        <v>100.0</v>
      </c>
      <c r="P52" s="1">
        <v>0.0</v>
      </c>
      <c r="Q52" s="1">
        <v>0.0</v>
      </c>
      <c r="R52" s="1">
        <v>94.847663</v>
      </c>
    </row>
    <row r="53">
      <c r="A53" s="1" t="s">
        <v>19</v>
      </c>
      <c r="B53" s="1" t="str">
        <f>IFERROR(__xludf.DUMMYFUNCTION("""../"" &amp; REGEXEXTRACT(D53, ""[^/]+$"")"),"../res269_7F16_receptor_only_PV-006596664813_71_2.pdb")</f>
        <v>../res269_7F16_receptor_only_PV-006596664813_71_2.pdb</v>
      </c>
      <c r="C53" s="1" t="s">
        <v>1060</v>
      </c>
      <c r="D53" s="1" t="s">
        <v>340</v>
      </c>
      <c r="E53" s="1" t="s">
        <v>84</v>
      </c>
      <c r="F53" s="3" t="s">
        <v>24</v>
      </c>
      <c r="G53" s="3"/>
      <c r="H53" s="1" t="str">
        <f>IFERROR(__xludf.DUMMYFUNCTION("IFERROR(REGEXEXTRACT(D53, ""res(269|122)""), ""none"")"),"269")</f>
        <v>269</v>
      </c>
      <c r="I53" s="1">
        <v>-15.19198</v>
      </c>
      <c r="J53" s="1">
        <v>8.0</v>
      </c>
      <c r="K53" s="1">
        <v>3.0</v>
      </c>
      <c r="L53" s="1">
        <v>0.375</v>
      </c>
      <c r="M53" s="1">
        <v>2.0</v>
      </c>
      <c r="N53" s="1">
        <v>-1.182302</v>
      </c>
      <c r="O53" s="1">
        <v>100.0</v>
      </c>
      <c r="P53" s="1">
        <v>0.0</v>
      </c>
      <c r="Q53" s="1">
        <v>0.0</v>
      </c>
      <c r="R53" s="1">
        <v>97.000718</v>
      </c>
    </row>
    <row r="54">
      <c r="A54" s="1" t="s">
        <v>19</v>
      </c>
      <c r="B54" s="1" t="str">
        <f>IFERROR(__xludf.DUMMYFUNCTION("""../"" &amp; REGEXEXTRACT(D54, ""[^/]+$"")"),"../res269_7F16_receptor_only_PV-006598988224_102_4.pdb")</f>
        <v>../res269_7F16_receptor_only_PV-006598988224_102_4.pdb</v>
      </c>
      <c r="C54" s="1" t="s">
        <v>1060</v>
      </c>
      <c r="D54" s="1" t="s">
        <v>341</v>
      </c>
      <c r="E54" s="1" t="s">
        <v>87</v>
      </c>
      <c r="F54" s="3" t="s">
        <v>24</v>
      </c>
      <c r="G54" s="3"/>
      <c r="H54" s="1" t="str">
        <f>IFERROR(__xludf.DUMMYFUNCTION("IFERROR(REGEXEXTRACT(D54, ""res(269|122)""), ""none"")"),"269")</f>
        <v>269</v>
      </c>
      <c r="I54" s="1">
        <v>-15.653385</v>
      </c>
      <c r="J54" s="1">
        <v>8.0</v>
      </c>
      <c r="K54" s="1">
        <v>3.0</v>
      </c>
      <c r="L54" s="1">
        <v>0.25</v>
      </c>
      <c r="M54" s="1">
        <v>2.0</v>
      </c>
      <c r="N54" s="1">
        <v>-0.166637</v>
      </c>
      <c r="O54" s="1">
        <v>100.0</v>
      </c>
      <c r="P54" s="1">
        <v>0.0</v>
      </c>
      <c r="Q54" s="1">
        <v>0.0</v>
      </c>
      <c r="R54" s="1">
        <v>97.429978</v>
      </c>
    </row>
    <row r="55">
      <c r="A55" s="1" t="s">
        <v>19</v>
      </c>
      <c r="B55" s="1" t="str">
        <f>IFERROR(__xludf.DUMMYFUNCTION("""../"" &amp; REGEXEXTRACT(D55, ""[^/]+$"")"),"../res269_7F16_receptor_only_PV-006604268399_13_1.pdb")</f>
        <v>../res269_7F16_receptor_only_PV-006604268399_13_1.pdb</v>
      </c>
      <c r="C55" s="1" t="s">
        <v>1060</v>
      </c>
      <c r="D55" s="1" t="s">
        <v>342</v>
      </c>
      <c r="E55" s="1" t="s">
        <v>165</v>
      </c>
      <c r="F55" s="3" t="s">
        <v>24</v>
      </c>
      <c r="G55" s="3"/>
      <c r="H55" s="1" t="str">
        <f>IFERROR(__xludf.DUMMYFUNCTION("IFERROR(REGEXEXTRACT(D55, ""res(269|122)""), ""none"")"),"269")</f>
        <v>269</v>
      </c>
      <c r="I55" s="1">
        <v>-15.468589</v>
      </c>
      <c r="J55" s="1">
        <v>8.0</v>
      </c>
      <c r="K55" s="1">
        <v>3.0</v>
      </c>
      <c r="L55" s="1">
        <v>0.375</v>
      </c>
      <c r="M55" s="1">
        <v>2.0</v>
      </c>
      <c r="N55" s="1">
        <v>-0.987794</v>
      </c>
      <c r="O55" s="1">
        <v>100.0</v>
      </c>
      <c r="P55" s="1">
        <v>0.0</v>
      </c>
      <c r="Q55" s="1">
        <v>0.0</v>
      </c>
      <c r="R55" s="1">
        <v>96.918617</v>
      </c>
    </row>
    <row r="56">
      <c r="A56" s="1" t="s">
        <v>19</v>
      </c>
      <c r="B56" s="1" t="str">
        <f>IFERROR(__xludf.DUMMYFUNCTION("""../"" &amp; REGEXEXTRACT(D56, ""[^/]+$"")"),"../res269_7F16_receptor_only_PV-006645946899_27_1.pdb")</f>
        <v>../res269_7F16_receptor_only_PV-006645946899_27_1.pdb</v>
      </c>
      <c r="C56" s="1" t="s">
        <v>1060</v>
      </c>
      <c r="D56" s="1" t="s">
        <v>343</v>
      </c>
      <c r="E56" s="1" t="s">
        <v>344</v>
      </c>
      <c r="F56" s="3" t="s">
        <v>24</v>
      </c>
      <c r="G56" s="3"/>
      <c r="H56" s="1" t="str">
        <f>IFERROR(__xludf.DUMMYFUNCTION("IFERROR(REGEXEXTRACT(D56, ""res(269|122)""), ""none"")"),"269")</f>
        <v>269</v>
      </c>
      <c r="I56" s="1">
        <v>-16.533467</v>
      </c>
      <c r="J56" s="1">
        <v>8.0</v>
      </c>
      <c r="K56" s="1">
        <v>5.0</v>
      </c>
      <c r="L56" s="1">
        <v>0.25</v>
      </c>
      <c r="M56" s="1">
        <v>2.0</v>
      </c>
      <c r="N56" s="1">
        <v>-1.486018</v>
      </c>
      <c r="O56" s="1">
        <v>100.0</v>
      </c>
      <c r="P56" s="1">
        <v>0.0</v>
      </c>
      <c r="Q56" s="1">
        <v>0.0</v>
      </c>
      <c r="R56" s="1">
        <v>97.230515</v>
      </c>
    </row>
    <row r="57">
      <c r="A57" s="1" t="s">
        <v>19</v>
      </c>
      <c r="B57" s="1" t="str">
        <f>IFERROR(__xludf.DUMMYFUNCTION("""../"" &amp; REGEXEXTRACT(D57, ""[^/]+$"")"),"../res269_7F16_receptor_only_PV-006694441016_243_2.pdb")</f>
        <v>../res269_7F16_receptor_only_PV-006694441016_243_2.pdb</v>
      </c>
      <c r="C57" s="1" t="s">
        <v>1060</v>
      </c>
      <c r="D57" s="1" t="s">
        <v>345</v>
      </c>
      <c r="E57" s="1" t="s">
        <v>346</v>
      </c>
      <c r="F57" s="3" t="s">
        <v>24</v>
      </c>
      <c r="G57" s="5"/>
      <c r="H57" s="1" t="str">
        <f>IFERROR(__xludf.DUMMYFUNCTION("IFERROR(REGEXEXTRACT(D57, ""res(269|122)""), ""none"")"),"269")</f>
        <v>269</v>
      </c>
      <c r="I57" s="1">
        <v>-16.383014</v>
      </c>
      <c r="J57" s="1">
        <v>11.0</v>
      </c>
      <c r="K57" s="1">
        <v>5.0</v>
      </c>
      <c r="L57" s="1">
        <v>0.545455</v>
      </c>
      <c r="M57" s="1">
        <v>2.0</v>
      </c>
      <c r="N57" s="1">
        <v>-1.431922</v>
      </c>
      <c r="O57" s="1">
        <v>100.0</v>
      </c>
      <c r="P57" s="1">
        <v>0.0</v>
      </c>
      <c r="Q57" s="1">
        <v>0.0</v>
      </c>
      <c r="R57" s="1">
        <v>100.730519</v>
      </c>
    </row>
    <row r="58">
      <c r="A58" s="1" t="s">
        <v>19</v>
      </c>
      <c r="B58" s="1" t="str">
        <f>IFERROR(__xludf.DUMMYFUNCTION("""../"" &amp; REGEXEXTRACT(D58, ""[^/]+$"")"),"../res269_7F16_receptor_only_PV-006706606184_97_3.pdb")</f>
        <v>../res269_7F16_receptor_only_PV-006706606184_97_3.pdb</v>
      </c>
      <c r="C58" s="1" t="s">
        <v>1060</v>
      </c>
      <c r="D58" s="1" t="s">
        <v>347</v>
      </c>
      <c r="E58" s="1" t="s">
        <v>348</v>
      </c>
      <c r="F58" s="3" t="s">
        <v>24</v>
      </c>
      <c r="G58" s="5"/>
      <c r="H58" s="1" t="str">
        <f>IFERROR(__xludf.DUMMYFUNCTION("IFERROR(REGEXEXTRACT(D58, ""res(269|122)""), ""none"")"),"269")</f>
        <v>269</v>
      </c>
      <c r="I58" s="1">
        <v>-15.915515</v>
      </c>
      <c r="J58" s="1">
        <v>8.0</v>
      </c>
      <c r="K58" s="1">
        <v>4.0</v>
      </c>
      <c r="L58" s="1">
        <v>0.375</v>
      </c>
      <c r="M58" s="1">
        <v>2.0</v>
      </c>
      <c r="N58" s="1">
        <v>-0.684045</v>
      </c>
      <c r="O58" s="1">
        <v>100.0</v>
      </c>
      <c r="P58" s="1">
        <v>0.0</v>
      </c>
      <c r="Q58" s="1">
        <v>0.0</v>
      </c>
      <c r="R58" s="1">
        <v>97.77544</v>
      </c>
    </row>
    <row r="59">
      <c r="A59" s="1" t="s">
        <v>19</v>
      </c>
      <c r="B59" s="1" t="str">
        <f>IFERROR(__xludf.DUMMYFUNCTION("""../"" &amp; REGEXEXTRACT(D59, ""[^/]+$"")"),"../res269_7F16_receptor_only_PV-006712468448_190_0.pdb")</f>
        <v>../res269_7F16_receptor_only_PV-006712468448_190_0.pdb</v>
      </c>
      <c r="C59" s="1" t="s">
        <v>1060</v>
      </c>
      <c r="D59" s="1" t="s">
        <v>349</v>
      </c>
      <c r="E59" s="1" t="s">
        <v>90</v>
      </c>
      <c r="F59" s="3" t="s">
        <v>24</v>
      </c>
      <c r="G59" s="3" t="s">
        <v>92</v>
      </c>
      <c r="H59" s="1" t="str">
        <f>IFERROR(__xludf.DUMMYFUNCTION("IFERROR(REGEXEXTRACT(D59, ""res(269|122)""), ""none"")"),"269")</f>
        <v>269</v>
      </c>
      <c r="I59" s="1">
        <v>-15.759066</v>
      </c>
      <c r="J59" s="1">
        <v>7.0</v>
      </c>
      <c r="K59" s="1">
        <v>2.0</v>
      </c>
      <c r="L59" s="1">
        <v>0.571429</v>
      </c>
      <c r="M59" s="1">
        <v>2.0</v>
      </c>
      <c r="N59" s="1">
        <v>-0.931789</v>
      </c>
      <c r="O59" s="1">
        <v>100.0</v>
      </c>
      <c r="P59" s="1">
        <v>0.0</v>
      </c>
      <c r="Q59" s="1">
        <v>0.0</v>
      </c>
      <c r="R59" s="1">
        <v>94.880574</v>
      </c>
    </row>
    <row r="60">
      <c r="A60" s="1" t="s">
        <v>19</v>
      </c>
      <c r="B60" s="1" t="str">
        <f>IFERROR(__xludf.DUMMYFUNCTION("""../"" &amp; REGEXEXTRACT(D60, ""[^/]+$"")"),"../res269_7F16_receptor_only_PV-006712468449_190_0.pdb")</f>
        <v>../res269_7F16_receptor_only_PV-006712468449_190_0.pdb</v>
      </c>
      <c r="C60" s="1" t="s">
        <v>1060</v>
      </c>
      <c r="D60" s="1" t="s">
        <v>350</v>
      </c>
      <c r="E60" s="1" t="s">
        <v>351</v>
      </c>
      <c r="F60" s="3" t="s">
        <v>24</v>
      </c>
      <c r="G60" s="3" t="s">
        <v>421</v>
      </c>
      <c r="H60" s="1" t="str">
        <f>IFERROR(__xludf.DUMMYFUNCTION("IFERROR(REGEXEXTRACT(D60, ""res(269|122)""), ""none"")"),"269")</f>
        <v>269</v>
      </c>
      <c r="I60" s="1">
        <v>-15.759066</v>
      </c>
      <c r="J60" s="1">
        <v>7.0</v>
      </c>
      <c r="K60" s="1">
        <v>2.0</v>
      </c>
      <c r="L60" s="1">
        <v>0.571429</v>
      </c>
      <c r="M60" s="1">
        <v>2.0</v>
      </c>
      <c r="N60" s="1">
        <v>-0.931789</v>
      </c>
      <c r="O60" s="1">
        <v>100.0</v>
      </c>
      <c r="P60" s="1">
        <v>0.0</v>
      </c>
      <c r="Q60" s="1">
        <v>0.0</v>
      </c>
      <c r="R60" s="1">
        <v>94.880574</v>
      </c>
    </row>
    <row r="61">
      <c r="A61" s="1" t="s">
        <v>19</v>
      </c>
      <c r="B61" s="1" t="str">
        <f>IFERROR(__xludf.DUMMYFUNCTION("""../"" &amp; REGEXEXTRACT(D61, ""[^/]+$"")"),"../res269_7F16_receptor_only_Z1134920381_127_4.pdb")</f>
        <v>../res269_7F16_receptor_only_Z1134920381_127_4.pdb</v>
      </c>
      <c r="C61" s="1" t="s">
        <v>1060</v>
      </c>
      <c r="D61" s="1" t="s">
        <v>352</v>
      </c>
      <c r="E61" s="1" t="s">
        <v>353</v>
      </c>
      <c r="F61" s="3" t="s">
        <v>24</v>
      </c>
      <c r="G61" s="5"/>
      <c r="H61" s="1" t="str">
        <f>IFERROR(__xludf.DUMMYFUNCTION("IFERROR(REGEXEXTRACT(D61, ""res(269|122)""), ""none"")"),"269")</f>
        <v>269</v>
      </c>
      <c r="I61" s="1">
        <v>-15.088626</v>
      </c>
      <c r="J61" s="1">
        <v>12.0</v>
      </c>
      <c r="K61" s="1">
        <v>3.0</v>
      </c>
      <c r="L61" s="1">
        <v>0.416667</v>
      </c>
      <c r="M61" s="1">
        <v>2.0</v>
      </c>
      <c r="N61" s="1">
        <v>-0.765151</v>
      </c>
      <c r="O61" s="1">
        <v>100.0</v>
      </c>
      <c r="P61" s="1">
        <v>0.0</v>
      </c>
      <c r="Q61" s="1">
        <v>0.0</v>
      </c>
      <c r="R61" s="1">
        <v>101.56289</v>
      </c>
    </row>
    <row r="62">
      <c r="A62" s="1" t="s">
        <v>19</v>
      </c>
      <c r="B62" s="1" t="str">
        <f>IFERROR(__xludf.DUMMYFUNCTION("""../"" &amp; REGEXEXTRACT(D62, ""[^/]+$"")"),"../res269_7F16_receptor_only_Z1158277734_64_18.pdb")</f>
        <v>../res269_7F16_receptor_only_Z1158277734_64_18.pdb</v>
      </c>
      <c r="C62" s="1" t="s">
        <v>1060</v>
      </c>
      <c r="D62" s="1" t="s">
        <v>354</v>
      </c>
      <c r="E62" s="1" t="s">
        <v>355</v>
      </c>
      <c r="F62" s="3" t="s">
        <v>24</v>
      </c>
      <c r="G62" s="5"/>
      <c r="H62" s="1" t="str">
        <f>IFERROR(__xludf.DUMMYFUNCTION("IFERROR(REGEXEXTRACT(D62, ""res(269|122)""), ""none"")"),"269")</f>
        <v>269</v>
      </c>
      <c r="I62" s="1">
        <v>-16.551482</v>
      </c>
      <c r="J62" s="1">
        <v>8.0</v>
      </c>
      <c r="K62" s="1">
        <v>3.0</v>
      </c>
      <c r="L62" s="1">
        <v>0.25</v>
      </c>
      <c r="M62" s="1">
        <v>2.0</v>
      </c>
      <c r="N62" s="1">
        <v>-0.695112</v>
      </c>
      <c r="O62" s="1">
        <v>100.0</v>
      </c>
      <c r="P62" s="1">
        <v>0.0</v>
      </c>
      <c r="Q62" s="1">
        <v>0.0</v>
      </c>
      <c r="R62" s="1">
        <v>96.003406</v>
      </c>
    </row>
    <row r="63">
      <c r="A63" s="1" t="s">
        <v>19</v>
      </c>
      <c r="B63" s="1" t="str">
        <f>IFERROR(__xludf.DUMMYFUNCTION("""../"" &amp; REGEXEXTRACT(D63, ""[^/]+$"")"),"../res269_7F16_receptor_only_Z1159218881_192_3.pdb")</f>
        <v>../res269_7F16_receptor_only_Z1159218881_192_3.pdb</v>
      </c>
      <c r="C63" s="1" t="s">
        <v>1060</v>
      </c>
      <c r="D63" s="1" t="s">
        <v>356</v>
      </c>
      <c r="E63" s="1" t="s">
        <v>168</v>
      </c>
      <c r="F63" s="3" t="s">
        <v>33</v>
      </c>
      <c r="G63" s="5"/>
      <c r="H63" s="1" t="str">
        <f>IFERROR(__xludf.DUMMYFUNCTION("IFERROR(REGEXEXTRACT(D63, ""res(269|122)""), ""none"")"),"269")</f>
        <v>269</v>
      </c>
      <c r="I63" s="1">
        <v>-16.947939</v>
      </c>
      <c r="J63" s="1">
        <v>7.0</v>
      </c>
      <c r="K63" s="1">
        <v>1.0</v>
      </c>
      <c r="L63" s="1">
        <v>0.285714</v>
      </c>
      <c r="M63" s="1">
        <v>2.0</v>
      </c>
      <c r="N63" s="1">
        <v>-1.26662</v>
      </c>
      <c r="O63" s="1">
        <v>100.0</v>
      </c>
      <c r="P63" s="1">
        <v>0.0</v>
      </c>
      <c r="Q63" s="1">
        <v>0.0</v>
      </c>
      <c r="R63" s="1">
        <v>92.071155</v>
      </c>
    </row>
    <row r="64">
      <c r="A64" s="1" t="s">
        <v>19</v>
      </c>
      <c r="B64" s="1" t="str">
        <f>IFERROR(__xludf.DUMMYFUNCTION("""../"" &amp; REGEXEXTRACT(D64, ""[^/]+$"")"),"../res269_7F16_receptor_only_Z1251516267_57_24.pdb")</f>
        <v>../res269_7F16_receptor_only_Z1251516267_57_24.pdb</v>
      </c>
      <c r="C64" s="1" t="s">
        <v>1060</v>
      </c>
      <c r="D64" s="1" t="s">
        <v>357</v>
      </c>
      <c r="E64" s="1" t="s">
        <v>358</v>
      </c>
      <c r="F64" s="3" t="s">
        <v>24</v>
      </c>
      <c r="G64" s="5"/>
      <c r="H64" s="1" t="str">
        <f>IFERROR(__xludf.DUMMYFUNCTION("IFERROR(REGEXEXTRACT(D64, ""res(269|122)""), ""none"")"),"269")</f>
        <v>269</v>
      </c>
      <c r="I64" s="1">
        <v>-18.499142</v>
      </c>
      <c r="J64" s="1">
        <v>10.0</v>
      </c>
      <c r="K64" s="1">
        <v>1.0</v>
      </c>
      <c r="L64" s="1">
        <v>0.3</v>
      </c>
      <c r="M64" s="1">
        <v>3.0</v>
      </c>
      <c r="N64" s="1">
        <v>-0.362342</v>
      </c>
      <c r="O64" s="1">
        <v>100.0</v>
      </c>
      <c r="P64" s="1">
        <v>0.0</v>
      </c>
      <c r="Q64" s="1">
        <v>0.0</v>
      </c>
      <c r="R64" s="1">
        <v>95.438516</v>
      </c>
    </row>
    <row r="65">
      <c r="A65" s="1" t="s">
        <v>19</v>
      </c>
      <c r="B65" s="1" t="str">
        <f>IFERROR(__xludf.DUMMYFUNCTION("""../"" &amp; REGEXEXTRACT(D65, ""[^/]+$"")"),"../res269_7F16_receptor_only_Z1261227846_96_6.pdb")</f>
        <v>../res269_7F16_receptor_only_Z1261227846_96_6.pdb</v>
      </c>
      <c r="C65" s="1" t="s">
        <v>1060</v>
      </c>
      <c r="D65" s="1" t="s">
        <v>359</v>
      </c>
      <c r="E65" s="1" t="s">
        <v>360</v>
      </c>
      <c r="F65" s="3" t="s">
        <v>24</v>
      </c>
      <c r="G65" s="5"/>
      <c r="H65" s="1" t="str">
        <f>IFERROR(__xludf.DUMMYFUNCTION("IFERROR(REGEXEXTRACT(D65, ""res(269|122)""), ""none"")"),"269")</f>
        <v>269</v>
      </c>
      <c r="I65" s="1">
        <v>-16.983006</v>
      </c>
      <c r="J65" s="1">
        <v>12.0</v>
      </c>
      <c r="K65" s="1">
        <v>5.0</v>
      </c>
      <c r="L65" s="1">
        <v>0.25</v>
      </c>
      <c r="M65" s="1">
        <v>2.0</v>
      </c>
      <c r="N65" s="1">
        <v>-0.69205</v>
      </c>
      <c r="O65" s="1">
        <v>100.0</v>
      </c>
      <c r="P65" s="1">
        <v>0.0</v>
      </c>
      <c r="Q65" s="1">
        <v>0.0</v>
      </c>
      <c r="R65" s="1">
        <v>101.574944</v>
      </c>
    </row>
    <row r="66">
      <c r="A66" s="1" t="s">
        <v>19</v>
      </c>
      <c r="B66" s="1" t="str">
        <f>IFERROR(__xludf.DUMMYFUNCTION("""../"" &amp; REGEXEXTRACT(D66, ""[^/]+$"")"),"../res269_7F16_receptor_only_Z1337997284_46_11.pdb")</f>
        <v>../res269_7F16_receptor_only_Z1337997284_46_11.pdb</v>
      </c>
      <c r="C66" s="1" t="s">
        <v>1060</v>
      </c>
      <c r="D66" s="1" t="s">
        <v>361</v>
      </c>
      <c r="E66" s="1" t="s">
        <v>362</v>
      </c>
      <c r="F66" s="3" t="s">
        <v>24</v>
      </c>
      <c r="G66" s="5"/>
      <c r="H66" s="1" t="str">
        <f>IFERROR(__xludf.DUMMYFUNCTION("IFERROR(REGEXEXTRACT(D66, ""res(269|122)""), ""none"")"),"269")</f>
        <v>269</v>
      </c>
      <c r="I66" s="1">
        <v>-15.529597</v>
      </c>
      <c r="J66" s="1">
        <v>9.0</v>
      </c>
      <c r="K66" s="1">
        <v>2.0</v>
      </c>
      <c r="L66" s="1">
        <v>0.444444</v>
      </c>
      <c r="M66" s="1">
        <v>2.0</v>
      </c>
      <c r="N66" s="1">
        <v>-0.986909</v>
      </c>
      <c r="O66" s="1">
        <v>100.0</v>
      </c>
      <c r="P66" s="1">
        <v>0.0</v>
      </c>
      <c r="Q66" s="1">
        <v>0.0</v>
      </c>
      <c r="R66" s="1">
        <v>96.927938</v>
      </c>
    </row>
    <row r="67">
      <c r="A67" s="1" t="s">
        <v>19</v>
      </c>
      <c r="B67" s="1" t="str">
        <f>IFERROR(__xludf.DUMMYFUNCTION("""../"" &amp; REGEXEXTRACT(D67, ""[^/]+$"")"),"../res269_7F16_receptor_only_Z1359735366_149_10.pdb")</f>
        <v>../res269_7F16_receptor_only_Z1359735366_149_10.pdb</v>
      </c>
      <c r="C67" s="1" t="s">
        <v>1060</v>
      </c>
      <c r="D67" s="1" t="s">
        <v>363</v>
      </c>
      <c r="E67" s="1" t="s">
        <v>364</v>
      </c>
      <c r="F67" s="3" t="s">
        <v>24</v>
      </c>
      <c r="G67" s="5"/>
      <c r="H67" s="1" t="str">
        <f>IFERROR(__xludf.DUMMYFUNCTION("IFERROR(REGEXEXTRACT(D67, ""res(269|122)""), ""none"")"),"269")</f>
        <v>269</v>
      </c>
      <c r="I67" s="1">
        <v>-16.175959</v>
      </c>
      <c r="J67" s="1">
        <v>9.0</v>
      </c>
      <c r="K67" s="1">
        <v>3.0</v>
      </c>
      <c r="L67" s="1">
        <v>0.333333</v>
      </c>
      <c r="M67" s="1">
        <v>2.0</v>
      </c>
      <c r="N67" s="1">
        <v>-0.314357</v>
      </c>
      <c r="O67" s="1">
        <v>100.0</v>
      </c>
      <c r="P67" s="1">
        <v>0.0</v>
      </c>
      <c r="Q67" s="1">
        <v>0.0</v>
      </c>
      <c r="R67" s="1">
        <v>97.843017</v>
      </c>
    </row>
    <row r="68">
      <c r="A68" s="1" t="s">
        <v>19</v>
      </c>
      <c r="B68" s="1" t="str">
        <f>IFERROR(__xludf.DUMMYFUNCTION("""../"" &amp; REGEXEXTRACT(D68, ""[^/]+$"")"),"../res269_7F16_receptor_only_Z1367829528_140_3.pdb")</f>
        <v>../res269_7F16_receptor_only_Z1367829528_140_3.pdb</v>
      </c>
      <c r="C68" s="1" t="s">
        <v>1060</v>
      </c>
      <c r="D68" s="1" t="s">
        <v>365</v>
      </c>
      <c r="E68" s="1" t="s">
        <v>366</v>
      </c>
      <c r="F68" s="3" t="s">
        <v>24</v>
      </c>
      <c r="G68" s="5"/>
      <c r="H68" s="1" t="str">
        <f>IFERROR(__xludf.DUMMYFUNCTION("IFERROR(REGEXEXTRACT(D68, ""res(269|122)""), ""none"")"),"269")</f>
        <v>269</v>
      </c>
      <c r="I68" s="1">
        <v>-17.343073</v>
      </c>
      <c r="J68" s="1">
        <v>7.0</v>
      </c>
      <c r="K68" s="1">
        <v>2.0</v>
      </c>
      <c r="L68" s="1">
        <v>0.285714</v>
      </c>
      <c r="M68" s="1">
        <v>2.0</v>
      </c>
      <c r="N68" s="1">
        <v>-0.812617</v>
      </c>
      <c r="O68" s="1">
        <v>100.0</v>
      </c>
      <c r="P68" s="1">
        <v>0.0</v>
      </c>
      <c r="Q68" s="1">
        <v>0.0</v>
      </c>
      <c r="R68" s="1">
        <v>93.130024</v>
      </c>
    </row>
    <row r="69">
      <c r="A69" s="1" t="s">
        <v>19</v>
      </c>
      <c r="B69" s="1" t="str">
        <f>IFERROR(__xludf.DUMMYFUNCTION("""../"" &amp; REGEXEXTRACT(D69, ""[^/]+$"")"),"../res269_7F16_receptor_only_Z1444094132_108_6.pdb")</f>
        <v>../res269_7F16_receptor_only_Z1444094132_108_6.pdb</v>
      </c>
      <c r="C69" s="1" t="s">
        <v>1060</v>
      </c>
      <c r="D69" s="1" t="s">
        <v>367</v>
      </c>
      <c r="E69" s="1" t="s">
        <v>368</v>
      </c>
      <c r="F69" s="3" t="s">
        <v>24</v>
      </c>
      <c r="G69" s="5"/>
      <c r="H69" s="1" t="str">
        <f>IFERROR(__xludf.DUMMYFUNCTION("IFERROR(REGEXEXTRACT(D69, ""res(269|122)""), ""none"")"),"269")</f>
        <v>269</v>
      </c>
      <c r="I69" s="1">
        <v>-15.840535</v>
      </c>
      <c r="J69" s="1">
        <v>8.0</v>
      </c>
      <c r="K69" s="1">
        <v>3.0</v>
      </c>
      <c r="L69" s="1">
        <v>0.25</v>
      </c>
      <c r="M69" s="1">
        <v>2.0</v>
      </c>
      <c r="N69" s="1">
        <v>-1.102898</v>
      </c>
      <c r="O69" s="1">
        <v>100.0</v>
      </c>
      <c r="P69" s="1">
        <v>0.0</v>
      </c>
      <c r="Q69" s="1">
        <v>0.0</v>
      </c>
      <c r="R69" s="1">
        <v>96.306567</v>
      </c>
    </row>
    <row r="70">
      <c r="A70" s="1" t="s">
        <v>19</v>
      </c>
      <c r="B70" s="1" t="str">
        <f>IFERROR(__xludf.DUMMYFUNCTION("""../"" &amp; REGEXEXTRACT(D70, ""[^/]+$"")"),"../res269_7F16_receptor_only_Z1465195447_53_4.pdb")</f>
        <v>../res269_7F16_receptor_only_Z1465195447_53_4.pdb</v>
      </c>
      <c r="C70" s="1" t="s">
        <v>1060</v>
      </c>
      <c r="D70" s="1" t="s">
        <v>369</v>
      </c>
      <c r="E70" s="1" t="s">
        <v>370</v>
      </c>
      <c r="F70" s="3" t="s">
        <v>24</v>
      </c>
      <c r="G70" s="5"/>
      <c r="H70" s="1" t="str">
        <f>IFERROR(__xludf.DUMMYFUNCTION("IFERROR(REGEXEXTRACT(D70, ""res(269|122)""), ""none"")"),"269")</f>
        <v>269</v>
      </c>
      <c r="I70" s="1">
        <v>-15.34511</v>
      </c>
      <c r="J70" s="1">
        <v>6.0</v>
      </c>
      <c r="K70" s="1">
        <v>3.0</v>
      </c>
      <c r="L70" s="1">
        <v>0.333333</v>
      </c>
      <c r="M70" s="1">
        <v>2.0</v>
      </c>
      <c r="N70" s="1">
        <v>-0.649549</v>
      </c>
      <c r="O70" s="1">
        <v>100.0</v>
      </c>
      <c r="P70" s="1">
        <v>0.0</v>
      </c>
      <c r="Q70" s="1">
        <v>0.0</v>
      </c>
      <c r="R70" s="1">
        <v>95.338674</v>
      </c>
    </row>
    <row r="71">
      <c r="A71" s="1" t="s">
        <v>19</v>
      </c>
      <c r="B71" s="1" t="str">
        <f>IFERROR(__xludf.DUMMYFUNCTION("""../"" &amp; REGEXEXTRACT(D71, ""[^/]+$"")"),"../res269_7F16_receptor_only_Z1497805820_150_11.pdb")</f>
        <v>../res269_7F16_receptor_only_Z1497805820_150_11.pdb</v>
      </c>
      <c r="C71" s="1" t="s">
        <v>1060</v>
      </c>
      <c r="D71" s="1" t="s">
        <v>371</v>
      </c>
      <c r="E71" s="1" t="s">
        <v>372</v>
      </c>
      <c r="F71" s="3" t="s">
        <v>24</v>
      </c>
      <c r="G71" s="3" t="s">
        <v>422</v>
      </c>
      <c r="H71" s="1" t="str">
        <f>IFERROR(__xludf.DUMMYFUNCTION("IFERROR(REGEXEXTRACT(D71, ""res(269|122)""), ""none"")"),"269")</f>
        <v>269</v>
      </c>
      <c r="I71" s="1">
        <v>-15.869256</v>
      </c>
      <c r="J71" s="1">
        <v>7.0</v>
      </c>
      <c r="K71" s="1">
        <v>2.0</v>
      </c>
      <c r="L71" s="1">
        <v>0.428571</v>
      </c>
      <c r="M71" s="1">
        <v>3.0</v>
      </c>
      <c r="N71" s="1">
        <v>-2.176816</v>
      </c>
      <c r="O71" s="1">
        <v>100.0</v>
      </c>
      <c r="P71" s="1">
        <v>0.0</v>
      </c>
      <c r="Q71" s="1">
        <v>0.0</v>
      </c>
      <c r="R71" s="1">
        <v>94.382499</v>
      </c>
    </row>
    <row r="72">
      <c r="A72" s="1" t="s">
        <v>19</v>
      </c>
      <c r="B72" s="1" t="str">
        <f>IFERROR(__xludf.DUMMYFUNCTION("""../"" &amp; REGEXEXTRACT(D72, ""[^/]+$"")"),"../res269_7F16_receptor_only_Z1634233487_99_4.pdb")</f>
        <v>../res269_7F16_receptor_only_Z1634233487_99_4.pdb</v>
      </c>
      <c r="C72" s="1" t="s">
        <v>1060</v>
      </c>
      <c r="D72" s="1" t="s">
        <v>373</v>
      </c>
      <c r="E72" s="1" t="s">
        <v>171</v>
      </c>
      <c r="F72" s="3" t="s">
        <v>33</v>
      </c>
      <c r="G72" s="5"/>
      <c r="H72" s="1" t="str">
        <f>IFERROR(__xludf.DUMMYFUNCTION("IFERROR(REGEXEXTRACT(D72, ""res(269|122)""), ""none"")"),"269")</f>
        <v>269</v>
      </c>
      <c r="I72" s="1">
        <v>-16.284917</v>
      </c>
      <c r="J72" s="1">
        <v>8.0</v>
      </c>
      <c r="K72" s="1">
        <v>5.0</v>
      </c>
      <c r="L72" s="1">
        <v>0.25</v>
      </c>
      <c r="M72" s="1">
        <v>2.0</v>
      </c>
      <c r="N72" s="1">
        <v>-1.566179</v>
      </c>
      <c r="O72" s="1">
        <v>100.0</v>
      </c>
      <c r="P72" s="1">
        <v>0.0</v>
      </c>
      <c r="Q72" s="1">
        <v>0.0</v>
      </c>
      <c r="R72" s="1">
        <v>97.398904</v>
      </c>
    </row>
    <row r="73">
      <c r="A73" s="1" t="s">
        <v>19</v>
      </c>
      <c r="B73" s="1" t="str">
        <f>IFERROR(__xludf.DUMMYFUNCTION("""../"" &amp; REGEXEXTRACT(D73, ""[^/]+$"")"),"../res269_7F16_receptor_only_Z1998434183_30_67.pdb")</f>
        <v>../res269_7F16_receptor_only_Z1998434183_30_67.pdb</v>
      </c>
      <c r="C73" s="1" t="s">
        <v>1060</v>
      </c>
      <c r="D73" s="1" t="s">
        <v>374</v>
      </c>
      <c r="E73" s="1" t="s">
        <v>174</v>
      </c>
      <c r="F73" s="3" t="s">
        <v>24</v>
      </c>
      <c r="G73" s="5"/>
      <c r="H73" s="1" t="str">
        <f>IFERROR(__xludf.DUMMYFUNCTION("IFERROR(REGEXEXTRACT(D73, ""res(269|122)""), ""none"")"),"269")</f>
        <v>269</v>
      </c>
      <c r="I73" s="1">
        <v>-16.118663</v>
      </c>
      <c r="J73" s="1">
        <v>9.0</v>
      </c>
      <c r="K73" s="1">
        <v>1.0</v>
      </c>
      <c r="L73" s="1">
        <v>0.333333</v>
      </c>
      <c r="M73" s="1">
        <v>2.0</v>
      </c>
      <c r="N73" s="1">
        <v>-0.368431</v>
      </c>
      <c r="O73" s="1">
        <v>100.0</v>
      </c>
      <c r="P73" s="1">
        <v>0.0</v>
      </c>
      <c r="Q73" s="1">
        <v>0.0</v>
      </c>
      <c r="R73" s="1">
        <v>95.846239</v>
      </c>
    </row>
    <row r="74">
      <c r="A74" s="1" t="s">
        <v>19</v>
      </c>
      <c r="B74" s="1" t="str">
        <f>IFERROR(__xludf.DUMMYFUNCTION("""../"" &amp; REGEXEXTRACT(D74, ""[^/]+$"")"),"../res269_7F16_receptor_only_Z2094209260_97_1.pdb")</f>
        <v>../res269_7F16_receptor_only_Z2094209260_97_1.pdb</v>
      </c>
      <c r="C74" s="1" t="s">
        <v>1060</v>
      </c>
      <c r="D74" s="1" t="s">
        <v>375</v>
      </c>
      <c r="E74" s="1" t="s">
        <v>376</v>
      </c>
      <c r="F74" s="3" t="s">
        <v>24</v>
      </c>
      <c r="G74" s="5"/>
      <c r="H74" s="1" t="str">
        <f>IFERROR(__xludf.DUMMYFUNCTION("IFERROR(REGEXEXTRACT(D74, ""res(269|122)""), ""none"")"),"269")</f>
        <v>269</v>
      </c>
      <c r="I74" s="1">
        <v>-15.441678</v>
      </c>
      <c r="J74" s="1">
        <v>7.0</v>
      </c>
      <c r="K74" s="1">
        <v>3.0</v>
      </c>
      <c r="L74" s="1">
        <v>0.571429</v>
      </c>
      <c r="M74" s="1">
        <v>2.0</v>
      </c>
      <c r="N74" s="1">
        <v>-0.383116</v>
      </c>
      <c r="O74" s="1">
        <v>100.0</v>
      </c>
      <c r="P74" s="1">
        <v>0.0</v>
      </c>
      <c r="Q74" s="1">
        <v>0.0</v>
      </c>
      <c r="R74" s="1">
        <v>96.746635</v>
      </c>
    </row>
    <row r="75">
      <c r="A75" s="1" t="s">
        <v>19</v>
      </c>
      <c r="B75" s="1" t="str">
        <f>IFERROR(__xludf.DUMMYFUNCTION("""../"" &amp; REGEXEXTRACT(D75, ""[^/]+$"")"),"../res269_7F16_receptor_only_Z3080952359_52_0.pdb")</f>
        <v>../res269_7F16_receptor_only_Z3080952359_52_0.pdb</v>
      </c>
      <c r="C75" s="1" t="s">
        <v>1060</v>
      </c>
      <c r="D75" s="1" t="s">
        <v>377</v>
      </c>
      <c r="E75" s="1" t="s">
        <v>378</v>
      </c>
      <c r="F75" s="3" t="s">
        <v>24</v>
      </c>
      <c r="G75" s="5"/>
      <c r="H75" s="1" t="str">
        <f>IFERROR(__xludf.DUMMYFUNCTION("IFERROR(REGEXEXTRACT(D75, ""res(269|122)""), ""none"")"),"269")</f>
        <v>269</v>
      </c>
      <c r="I75" s="1">
        <v>-15.43829</v>
      </c>
      <c r="J75" s="1">
        <v>8.0</v>
      </c>
      <c r="K75" s="1">
        <v>3.0</v>
      </c>
      <c r="L75" s="1">
        <v>0.375</v>
      </c>
      <c r="M75" s="1">
        <v>2.0</v>
      </c>
      <c r="N75" s="1">
        <v>-1.14393</v>
      </c>
      <c r="O75" s="1">
        <v>100.0</v>
      </c>
      <c r="P75" s="1">
        <v>0.0</v>
      </c>
      <c r="Q75" s="1">
        <v>0.0</v>
      </c>
      <c r="R75" s="1">
        <v>96.79278</v>
      </c>
    </row>
    <row r="76">
      <c r="A76" s="1" t="s">
        <v>19</v>
      </c>
      <c r="B76" s="1" t="str">
        <f>IFERROR(__xludf.DUMMYFUNCTION("""../"" &amp; REGEXEXTRACT(D76, ""[^/]+$"")"),"../res269_7F16_receptor_only_Z363295334_112_11.pdb")</f>
        <v>../res269_7F16_receptor_only_Z363295334_112_11.pdb</v>
      </c>
      <c r="C76" s="1" t="s">
        <v>1060</v>
      </c>
      <c r="D76" s="1" t="s">
        <v>379</v>
      </c>
      <c r="E76" s="1" t="s">
        <v>380</v>
      </c>
      <c r="F76" s="3" t="s">
        <v>24</v>
      </c>
      <c r="G76" s="5"/>
      <c r="H76" s="1" t="str">
        <f>IFERROR(__xludf.DUMMYFUNCTION("IFERROR(REGEXEXTRACT(D76, ""res(269|122)""), ""none"")"),"269")</f>
        <v>269</v>
      </c>
      <c r="I76" s="1">
        <v>-16.179464</v>
      </c>
      <c r="J76" s="1">
        <v>11.0</v>
      </c>
      <c r="K76" s="1">
        <v>5.0</v>
      </c>
      <c r="L76" s="1">
        <v>0.454545</v>
      </c>
      <c r="M76" s="1">
        <v>2.0</v>
      </c>
      <c r="N76" s="1">
        <v>-0.328299</v>
      </c>
      <c r="O76" s="1">
        <v>100.0</v>
      </c>
      <c r="P76" s="1">
        <v>0.0</v>
      </c>
      <c r="Q76" s="1">
        <v>0.0</v>
      </c>
      <c r="R76" s="1">
        <v>101.946782</v>
      </c>
    </row>
    <row r="77">
      <c r="A77" s="1" t="s">
        <v>19</v>
      </c>
      <c r="B77" s="1" t="str">
        <f>IFERROR(__xludf.DUMMYFUNCTION("""../"" &amp; REGEXEXTRACT(D77, ""[^/]+$"")"),"../res269_7F16_receptor_only_Z395775478_134_52.pdb")</f>
        <v>../res269_7F16_receptor_only_Z395775478_134_52.pdb</v>
      </c>
      <c r="C77" s="1" t="s">
        <v>1060</v>
      </c>
      <c r="D77" s="1" t="s">
        <v>381</v>
      </c>
      <c r="E77" s="1" t="s">
        <v>177</v>
      </c>
      <c r="F77" s="3" t="s">
        <v>24</v>
      </c>
      <c r="G77" s="3" t="s">
        <v>423</v>
      </c>
      <c r="H77" s="1" t="str">
        <f>IFERROR(__xludf.DUMMYFUNCTION("IFERROR(REGEXEXTRACT(D77, ""res(269|122)""), ""none"")"),"269")</f>
        <v>269</v>
      </c>
      <c r="I77" s="1">
        <v>-15.935374</v>
      </c>
      <c r="J77" s="1">
        <v>10.0</v>
      </c>
      <c r="K77" s="1">
        <v>2.0</v>
      </c>
      <c r="L77" s="1">
        <v>0.3</v>
      </c>
      <c r="M77" s="1">
        <v>3.0</v>
      </c>
      <c r="N77" s="1">
        <v>-1.849118</v>
      </c>
      <c r="O77" s="1">
        <v>100.0</v>
      </c>
      <c r="P77" s="1">
        <v>0.0</v>
      </c>
      <c r="Q77" s="1">
        <v>0.0</v>
      </c>
      <c r="R77" s="1">
        <v>97.515508</v>
      </c>
    </row>
    <row r="78">
      <c r="A78" s="1" t="s">
        <v>19</v>
      </c>
      <c r="B78" s="1" t="str">
        <f>IFERROR(__xludf.DUMMYFUNCTION("""../"" &amp; REGEXEXTRACT(D78, ""[^/]+$"")"),"../res269_7F16_receptor_only_Z4322826053_15_0.pdb")</f>
        <v>../res269_7F16_receptor_only_Z4322826053_15_0.pdb</v>
      </c>
      <c r="C78" s="1" t="s">
        <v>1060</v>
      </c>
      <c r="D78" s="1" t="s">
        <v>382</v>
      </c>
      <c r="E78" s="1" t="s">
        <v>180</v>
      </c>
      <c r="F78" s="3" t="s">
        <v>33</v>
      </c>
      <c r="G78" s="3" t="s">
        <v>424</v>
      </c>
      <c r="H78" s="1" t="str">
        <f>IFERROR(__xludf.DUMMYFUNCTION("IFERROR(REGEXEXTRACT(D78, ""res(269|122)""), ""none"")"),"269")</f>
        <v>269</v>
      </c>
      <c r="I78" s="1">
        <v>-15.953649</v>
      </c>
      <c r="J78" s="1">
        <v>12.0</v>
      </c>
      <c r="K78" s="1">
        <v>5.0</v>
      </c>
      <c r="L78" s="1">
        <v>0.416667</v>
      </c>
      <c r="M78" s="1">
        <v>3.0</v>
      </c>
      <c r="N78" s="1">
        <v>-0.584621</v>
      </c>
      <c r="O78" s="1">
        <v>100.0</v>
      </c>
      <c r="P78" s="1">
        <v>0.0</v>
      </c>
      <c r="Q78" s="1">
        <v>0.0</v>
      </c>
      <c r="R78" s="1">
        <v>103.878397</v>
      </c>
    </row>
    <row r="79">
      <c r="A79" s="1" t="s">
        <v>19</v>
      </c>
      <c r="B79" s="1" t="str">
        <f>IFERROR(__xludf.DUMMYFUNCTION("""../"" &amp; REGEXEXTRACT(D79, ""[^/]+$"")"),"../res269_7F16_receptor_only_Z4322826055_15_0.pdb")</f>
        <v>../res269_7F16_receptor_only_Z4322826055_15_0.pdb</v>
      </c>
      <c r="C79" s="1" t="s">
        <v>1060</v>
      </c>
      <c r="D79" s="1" t="s">
        <v>383</v>
      </c>
      <c r="E79" s="1" t="s">
        <v>183</v>
      </c>
      <c r="F79" s="3" t="s">
        <v>33</v>
      </c>
      <c r="G79" s="3" t="s">
        <v>425</v>
      </c>
      <c r="H79" s="1" t="str">
        <f>IFERROR(__xludf.DUMMYFUNCTION("IFERROR(REGEXEXTRACT(D79, ""res(269|122)""), ""none"")"),"269")</f>
        <v>269</v>
      </c>
      <c r="I79" s="1">
        <v>-15.953649</v>
      </c>
      <c r="J79" s="1">
        <v>12.0</v>
      </c>
      <c r="K79" s="1">
        <v>5.0</v>
      </c>
      <c r="L79" s="1">
        <v>0.416667</v>
      </c>
      <c r="M79" s="1">
        <v>3.0</v>
      </c>
      <c r="N79" s="1">
        <v>-0.584621</v>
      </c>
      <c r="O79" s="1">
        <v>100.0</v>
      </c>
      <c r="P79" s="1">
        <v>0.0</v>
      </c>
      <c r="Q79" s="1">
        <v>0.0</v>
      </c>
      <c r="R79" s="1">
        <v>103.878397</v>
      </c>
    </row>
    <row r="80">
      <c r="A80" s="1" t="s">
        <v>19</v>
      </c>
      <c r="B80" s="1" t="str">
        <f>IFERROR(__xludf.DUMMYFUNCTION("""../"" &amp; REGEXEXTRACT(D80, ""[^/]+$"")"),"../res269_7F16_receptor_only_Z4881795915_226_8.pdb")</f>
        <v>../res269_7F16_receptor_only_Z4881795915_226_8.pdb</v>
      </c>
      <c r="C80" s="1" t="s">
        <v>1060</v>
      </c>
      <c r="D80" s="1" t="s">
        <v>384</v>
      </c>
      <c r="E80" s="1" t="s">
        <v>385</v>
      </c>
      <c r="F80" s="3" t="s">
        <v>24</v>
      </c>
      <c r="G80" s="3" t="s">
        <v>426</v>
      </c>
      <c r="H80" s="1" t="str">
        <f>IFERROR(__xludf.DUMMYFUNCTION("IFERROR(REGEXEXTRACT(D80, ""res(269|122)""), ""none"")"),"269")</f>
        <v>269</v>
      </c>
      <c r="I80" s="1">
        <v>-15.47128</v>
      </c>
      <c r="J80" s="1">
        <v>8.0</v>
      </c>
      <c r="K80" s="1">
        <v>5.0</v>
      </c>
      <c r="L80" s="1">
        <v>0.5</v>
      </c>
      <c r="M80" s="1">
        <v>2.0</v>
      </c>
      <c r="N80" s="1">
        <v>-0.38008</v>
      </c>
      <c r="O80" s="1">
        <v>100.0</v>
      </c>
      <c r="P80" s="1">
        <v>0.0</v>
      </c>
      <c r="Q80" s="1">
        <v>0.0</v>
      </c>
      <c r="R80" s="1">
        <v>99.64864</v>
      </c>
    </row>
    <row r="81">
      <c r="A81" s="1" t="s">
        <v>19</v>
      </c>
      <c r="B81" s="1" t="str">
        <f>IFERROR(__xludf.DUMMYFUNCTION("""../"" &amp; REGEXEXTRACT(D81, ""[^/]+$"")"),"../res269_7F16_receptor_only_Z4881795942_226_8.pdb")</f>
        <v>../res269_7F16_receptor_only_Z4881795942_226_8.pdb</v>
      </c>
      <c r="C81" s="1" t="s">
        <v>1060</v>
      </c>
      <c r="D81" s="1" t="s">
        <v>386</v>
      </c>
      <c r="E81" s="1" t="s">
        <v>185</v>
      </c>
      <c r="F81" s="3" t="s">
        <v>24</v>
      </c>
      <c r="G81" s="3" t="s">
        <v>427</v>
      </c>
      <c r="H81" s="1" t="str">
        <f>IFERROR(__xludf.DUMMYFUNCTION("IFERROR(REGEXEXTRACT(D81, ""res(269|122)""), ""none"")"),"269")</f>
        <v>269</v>
      </c>
      <c r="I81" s="1">
        <v>-15.47128</v>
      </c>
      <c r="J81" s="1">
        <v>8.0</v>
      </c>
      <c r="K81" s="1">
        <v>5.0</v>
      </c>
      <c r="L81" s="1">
        <v>0.5</v>
      </c>
      <c r="M81" s="1">
        <v>2.0</v>
      </c>
      <c r="N81" s="1">
        <v>-0.38008</v>
      </c>
      <c r="O81" s="1">
        <v>100.0</v>
      </c>
      <c r="P81" s="1">
        <v>0.0</v>
      </c>
      <c r="Q81" s="1">
        <v>0.0</v>
      </c>
      <c r="R81" s="1">
        <v>99.64864</v>
      </c>
    </row>
    <row r="82">
      <c r="A82" s="1" t="s">
        <v>19</v>
      </c>
      <c r="B82" s="1" t="str">
        <f>IFERROR(__xludf.DUMMYFUNCTION("""../"" &amp; REGEXEXTRACT(D82, ""[^/]+$"")"),"../res269_7F16_receptor_only_Z606021628_7_1.pdb")</f>
        <v>../res269_7F16_receptor_only_Z606021628_7_1.pdb</v>
      </c>
      <c r="C82" s="1" t="s">
        <v>1060</v>
      </c>
      <c r="D82" s="1" t="s">
        <v>387</v>
      </c>
      <c r="E82" s="1" t="s">
        <v>388</v>
      </c>
      <c r="F82" s="3" t="s">
        <v>24</v>
      </c>
      <c r="G82" s="5"/>
      <c r="H82" s="1" t="str">
        <f>IFERROR(__xludf.DUMMYFUNCTION("IFERROR(REGEXEXTRACT(D82, ""res(269|122)""), ""none"")"),"269")</f>
        <v>269</v>
      </c>
      <c r="I82" s="1">
        <v>-15.350062</v>
      </c>
      <c r="J82" s="1">
        <v>8.0</v>
      </c>
      <c r="K82" s="1">
        <v>3.0</v>
      </c>
      <c r="L82" s="1">
        <v>0.375</v>
      </c>
      <c r="M82" s="1">
        <v>2.0</v>
      </c>
      <c r="N82" s="1">
        <v>-1.00126</v>
      </c>
      <c r="O82" s="1">
        <v>100.0</v>
      </c>
      <c r="P82" s="1">
        <v>0.0</v>
      </c>
      <c r="Q82" s="1">
        <v>0.0</v>
      </c>
      <c r="R82" s="1">
        <v>97.023678</v>
      </c>
    </row>
    <row r="83">
      <c r="A83" s="1" t="s">
        <v>19</v>
      </c>
      <c r="B83" s="1" t="str">
        <f>IFERROR(__xludf.DUMMYFUNCTION("""../"" &amp; REGEXEXTRACT(D83, ""[^/]+$"")"),"../res269_7F16_receptor_only_Z735508476_101_2.pdb")</f>
        <v>../res269_7F16_receptor_only_Z735508476_101_2.pdb</v>
      </c>
      <c r="C83" s="1" t="s">
        <v>1060</v>
      </c>
      <c r="D83" s="1" t="s">
        <v>389</v>
      </c>
      <c r="E83" s="1" t="s">
        <v>390</v>
      </c>
      <c r="F83" s="3" t="s">
        <v>24</v>
      </c>
      <c r="G83" s="5"/>
      <c r="H83" s="1" t="str">
        <f>IFERROR(__xludf.DUMMYFUNCTION("IFERROR(REGEXEXTRACT(D83, ""res(269|122)""), ""none"")"),"269")</f>
        <v>269</v>
      </c>
      <c r="I83" s="1">
        <v>-17.013166</v>
      </c>
      <c r="J83" s="1">
        <v>10.0</v>
      </c>
      <c r="K83" s="1">
        <v>3.0</v>
      </c>
      <c r="L83" s="1">
        <v>0.4</v>
      </c>
      <c r="M83" s="1">
        <v>2.0</v>
      </c>
      <c r="N83" s="1">
        <v>-0.429581</v>
      </c>
      <c r="O83" s="1">
        <v>100.0</v>
      </c>
      <c r="P83" s="1">
        <v>0.0</v>
      </c>
      <c r="Q83" s="1">
        <v>0.0</v>
      </c>
      <c r="R83" s="1">
        <v>97.957253</v>
      </c>
    </row>
    <row r="84">
      <c r="A84" s="1" t="s">
        <v>19</v>
      </c>
      <c r="B84" s="1" t="str">
        <f>IFERROR(__xludf.DUMMYFUNCTION("""../"" &amp; REGEXEXTRACT(D84, ""[^/]+$"")"),"../res269_7F16_receptor_only_Z768140560_208_0.pdb")</f>
        <v>../res269_7F16_receptor_only_Z768140560_208_0.pdb</v>
      </c>
      <c r="C84" s="1" t="s">
        <v>1060</v>
      </c>
      <c r="D84" s="1" t="s">
        <v>391</v>
      </c>
      <c r="E84" s="1" t="s">
        <v>392</v>
      </c>
      <c r="F84" s="3" t="s">
        <v>24</v>
      </c>
      <c r="G84" s="5"/>
      <c r="H84" s="1" t="str">
        <f>IFERROR(__xludf.DUMMYFUNCTION("IFERROR(REGEXEXTRACT(D84, ""res(269|122)""), ""none"")"),"269")</f>
        <v>269</v>
      </c>
      <c r="I84" s="1">
        <v>-17.033126</v>
      </c>
      <c r="J84" s="1">
        <v>11.0</v>
      </c>
      <c r="K84" s="1">
        <v>5.0</v>
      </c>
      <c r="L84" s="1">
        <v>0.363636</v>
      </c>
      <c r="M84" s="1">
        <v>2.0</v>
      </c>
      <c r="N84" s="1">
        <v>-1.0082</v>
      </c>
      <c r="O84" s="1">
        <v>100.0</v>
      </c>
      <c r="P84" s="1">
        <v>0.0</v>
      </c>
      <c r="Q84" s="1">
        <v>0.0</v>
      </c>
      <c r="R84" s="1">
        <v>100.32231</v>
      </c>
    </row>
    <row r="85">
      <c r="A85" s="1" t="s">
        <v>19</v>
      </c>
      <c r="B85" s="1" t="str">
        <f>IFERROR(__xludf.DUMMYFUNCTION("""../"" &amp; REGEXEXTRACT(D85, ""[^/]+$"")"),"../res269_7F16_receptor_only_Z940680074_25_66.pdb")</f>
        <v>../res269_7F16_receptor_only_Z940680074_25_66.pdb</v>
      </c>
      <c r="C85" s="1" t="s">
        <v>1060</v>
      </c>
      <c r="D85" s="1" t="s">
        <v>393</v>
      </c>
      <c r="E85" s="1" t="s">
        <v>394</v>
      </c>
      <c r="F85" s="3" t="s">
        <v>24</v>
      </c>
      <c r="G85" s="5"/>
      <c r="H85" s="1" t="str">
        <f>IFERROR(__xludf.DUMMYFUNCTION("IFERROR(REGEXEXTRACT(D85, ""res(269|122)""), ""none"")"),"269")</f>
        <v>269</v>
      </c>
      <c r="I85" s="1">
        <v>-15.889195</v>
      </c>
      <c r="J85" s="1">
        <v>10.0</v>
      </c>
      <c r="K85" s="1">
        <v>4.0</v>
      </c>
      <c r="L85" s="1">
        <v>0.3</v>
      </c>
      <c r="M85" s="1">
        <v>2.0</v>
      </c>
      <c r="N85" s="1">
        <v>-1.177871</v>
      </c>
      <c r="O85" s="1">
        <v>100.0</v>
      </c>
      <c r="P85" s="1">
        <v>0.0</v>
      </c>
      <c r="Q85" s="1">
        <v>0.0</v>
      </c>
      <c r="R85" s="1">
        <v>99.232934</v>
      </c>
    </row>
    <row r="86">
      <c r="F86" s="5"/>
      <c r="G86" s="5"/>
    </row>
    <row r="87">
      <c r="F87" s="5"/>
      <c r="G87" s="5"/>
    </row>
    <row r="88">
      <c r="F88" s="5"/>
      <c r="G88" s="5"/>
    </row>
    <row r="89">
      <c r="F89" s="5"/>
      <c r="G89" s="5"/>
    </row>
    <row r="90">
      <c r="F90" s="5"/>
      <c r="G90" s="5"/>
    </row>
    <row r="91">
      <c r="F91" s="5"/>
      <c r="G91" s="5"/>
    </row>
    <row r="92">
      <c r="F92" s="5"/>
      <c r="G92" s="5"/>
    </row>
    <row r="93">
      <c r="F93" s="5"/>
      <c r="G93" s="5"/>
    </row>
    <row r="94">
      <c r="F94" s="5"/>
      <c r="G94" s="5"/>
    </row>
    <row r="95">
      <c r="F95" s="5"/>
      <c r="G95" s="5"/>
    </row>
    <row r="96">
      <c r="F96" s="5"/>
      <c r="G96" s="5"/>
    </row>
    <row r="97">
      <c r="F97" s="5"/>
      <c r="G97" s="5"/>
    </row>
    <row r="98">
      <c r="F98" s="5"/>
      <c r="G98" s="5"/>
    </row>
    <row r="99">
      <c r="F99" s="5"/>
      <c r="G99" s="5"/>
    </row>
    <row r="100">
      <c r="F100" s="5"/>
      <c r="G100" s="5"/>
    </row>
    <row r="101">
      <c r="F101" s="5"/>
      <c r="G101" s="5"/>
    </row>
    <row r="102">
      <c r="F102" s="5"/>
      <c r="G102" s="5"/>
    </row>
    <row r="103">
      <c r="F103" s="5"/>
      <c r="G103" s="5"/>
    </row>
    <row r="104">
      <c r="F104" s="5"/>
      <c r="G104" s="5"/>
    </row>
    <row r="105">
      <c r="F105" s="5"/>
      <c r="G105" s="5"/>
    </row>
    <row r="106">
      <c r="F106" s="5"/>
      <c r="G106" s="5"/>
    </row>
    <row r="107">
      <c r="F107" s="5"/>
      <c r="G107" s="5"/>
    </row>
    <row r="108">
      <c r="F108" s="5"/>
      <c r="G108" s="5"/>
    </row>
    <row r="109">
      <c r="F109" s="5"/>
      <c r="G109" s="5"/>
    </row>
    <row r="110">
      <c r="F110" s="5"/>
      <c r="G110" s="5"/>
    </row>
    <row r="111">
      <c r="F111" s="5"/>
      <c r="G111" s="5"/>
    </row>
    <row r="112">
      <c r="F112" s="5"/>
      <c r="G112" s="5"/>
    </row>
    <row r="113">
      <c r="F113" s="5"/>
      <c r="G113" s="5"/>
    </row>
    <row r="114">
      <c r="F114" s="5"/>
      <c r="G114" s="5"/>
    </row>
    <row r="115">
      <c r="F115" s="5"/>
      <c r="G115" s="5"/>
    </row>
    <row r="116">
      <c r="F116" s="5"/>
      <c r="G116" s="5"/>
    </row>
    <row r="117">
      <c r="F117" s="5"/>
      <c r="G117" s="5"/>
    </row>
    <row r="118">
      <c r="F118" s="5"/>
      <c r="G118" s="5"/>
    </row>
    <row r="119">
      <c r="F119" s="5"/>
      <c r="G119" s="5"/>
    </row>
    <row r="120">
      <c r="F120" s="5"/>
      <c r="G120" s="5"/>
    </row>
    <row r="121">
      <c r="F121" s="5"/>
      <c r="G121" s="5"/>
    </row>
    <row r="122">
      <c r="F122" s="5"/>
      <c r="G122" s="5"/>
    </row>
    <row r="123">
      <c r="F123" s="5"/>
      <c r="G123" s="5"/>
    </row>
    <row r="124">
      <c r="F124" s="5"/>
      <c r="G124" s="5"/>
    </row>
    <row r="125">
      <c r="F125" s="5"/>
      <c r="G125" s="5"/>
    </row>
    <row r="126">
      <c r="F126" s="5"/>
      <c r="G126" s="5"/>
    </row>
    <row r="127">
      <c r="F127" s="5"/>
      <c r="G127" s="5"/>
    </row>
    <row r="128">
      <c r="F128" s="5"/>
      <c r="G128" s="5"/>
    </row>
    <row r="129">
      <c r="F129" s="5"/>
      <c r="G129" s="5"/>
    </row>
    <row r="130">
      <c r="F130" s="5"/>
      <c r="G130" s="5"/>
    </row>
    <row r="131">
      <c r="F131" s="5"/>
      <c r="G131" s="5"/>
    </row>
    <row r="132">
      <c r="F132" s="5"/>
      <c r="G132" s="5"/>
    </row>
    <row r="133">
      <c r="F133" s="5"/>
      <c r="G133" s="5"/>
    </row>
    <row r="134">
      <c r="F134" s="5"/>
      <c r="G134" s="5"/>
    </row>
    <row r="135">
      <c r="F135" s="5"/>
      <c r="G135" s="5"/>
    </row>
    <row r="136">
      <c r="F136" s="5"/>
      <c r="G136" s="5"/>
    </row>
    <row r="137">
      <c r="F137" s="5"/>
      <c r="G137" s="5"/>
    </row>
    <row r="138">
      <c r="F138" s="5"/>
      <c r="G138" s="5"/>
    </row>
    <row r="139">
      <c r="F139" s="5"/>
      <c r="G139" s="5"/>
    </row>
    <row r="140">
      <c r="F140" s="5"/>
      <c r="G140" s="5"/>
    </row>
    <row r="141">
      <c r="F141" s="5"/>
      <c r="G141" s="5"/>
    </row>
    <row r="142">
      <c r="F142" s="5"/>
      <c r="G142" s="5"/>
    </row>
    <row r="143">
      <c r="F143" s="5"/>
      <c r="G143" s="5"/>
    </row>
    <row r="144">
      <c r="F144" s="5"/>
      <c r="G144" s="5"/>
    </row>
    <row r="145">
      <c r="F145" s="5"/>
      <c r="G145" s="5"/>
    </row>
    <row r="146">
      <c r="F146" s="5"/>
      <c r="G146" s="5"/>
    </row>
    <row r="147">
      <c r="F147" s="5"/>
      <c r="G147" s="5"/>
    </row>
    <row r="148">
      <c r="F148" s="5"/>
      <c r="G148" s="5"/>
    </row>
    <row r="149">
      <c r="F149" s="5"/>
      <c r="G149" s="5"/>
    </row>
    <row r="150">
      <c r="F150" s="5"/>
      <c r="G150" s="5"/>
    </row>
    <row r="151">
      <c r="F151" s="5"/>
      <c r="G151" s="5"/>
    </row>
    <row r="152">
      <c r="F152" s="5"/>
      <c r="G152" s="5"/>
    </row>
    <row r="153">
      <c r="F153" s="5"/>
      <c r="G153" s="5"/>
    </row>
    <row r="154">
      <c r="F154" s="5"/>
      <c r="G154" s="5"/>
    </row>
    <row r="155">
      <c r="F155" s="5"/>
      <c r="G155" s="5"/>
    </row>
    <row r="156">
      <c r="F156" s="5"/>
      <c r="G156" s="5"/>
    </row>
    <row r="157">
      <c r="F157" s="5"/>
      <c r="G157" s="5"/>
    </row>
    <row r="158">
      <c r="F158" s="5"/>
      <c r="G158" s="5"/>
    </row>
    <row r="159">
      <c r="F159" s="5"/>
      <c r="G159" s="5"/>
    </row>
    <row r="160">
      <c r="F160" s="5"/>
      <c r="G160" s="5"/>
    </row>
    <row r="161">
      <c r="F161" s="5"/>
      <c r="G161" s="5"/>
    </row>
    <row r="162">
      <c r="F162" s="5"/>
      <c r="G162" s="5"/>
    </row>
    <row r="163">
      <c r="F163" s="5"/>
      <c r="G163" s="5"/>
    </row>
    <row r="164">
      <c r="F164" s="5"/>
      <c r="G164" s="5"/>
    </row>
    <row r="165">
      <c r="F165" s="5"/>
      <c r="G165" s="5"/>
    </row>
    <row r="166">
      <c r="F166" s="5"/>
      <c r="G166" s="5"/>
    </row>
    <row r="167">
      <c r="F167" s="5"/>
      <c r="G167" s="5"/>
    </row>
    <row r="168">
      <c r="F168" s="5"/>
      <c r="G168" s="5"/>
    </row>
    <row r="169">
      <c r="F169" s="5"/>
      <c r="G169" s="5"/>
    </row>
    <row r="170">
      <c r="F170" s="5"/>
      <c r="G170" s="5"/>
    </row>
    <row r="171">
      <c r="F171" s="5"/>
      <c r="G171" s="5"/>
    </row>
    <row r="172">
      <c r="F172" s="5"/>
      <c r="G172" s="5"/>
    </row>
    <row r="173">
      <c r="F173" s="5"/>
      <c r="G173" s="5"/>
    </row>
    <row r="174">
      <c r="F174" s="5"/>
      <c r="G174" s="5"/>
    </row>
    <row r="175">
      <c r="F175" s="5"/>
      <c r="G175" s="5"/>
    </row>
    <row r="176">
      <c r="F176" s="5"/>
      <c r="G176" s="5"/>
    </row>
    <row r="177">
      <c r="F177" s="5"/>
      <c r="G177" s="5"/>
    </row>
    <row r="178">
      <c r="F178" s="5"/>
      <c r="G178" s="5"/>
    </row>
    <row r="179">
      <c r="F179" s="5"/>
      <c r="G179" s="5"/>
    </row>
    <row r="180">
      <c r="F180" s="5"/>
      <c r="G180" s="5"/>
    </row>
    <row r="181">
      <c r="F181" s="5"/>
      <c r="G181" s="5"/>
    </row>
    <row r="182">
      <c r="F182" s="5"/>
      <c r="G182" s="5"/>
    </row>
    <row r="183">
      <c r="F183" s="5"/>
      <c r="G183" s="5"/>
    </row>
    <row r="184">
      <c r="F184" s="5"/>
      <c r="G184" s="5"/>
    </row>
    <row r="185">
      <c r="F185" s="5"/>
      <c r="G185" s="5"/>
    </row>
    <row r="186">
      <c r="F186" s="5"/>
      <c r="G186" s="5"/>
    </row>
    <row r="187">
      <c r="F187" s="5"/>
      <c r="G187" s="5"/>
    </row>
    <row r="188">
      <c r="F188" s="5"/>
      <c r="G188" s="5"/>
    </row>
    <row r="189">
      <c r="F189" s="5"/>
      <c r="G189" s="5"/>
    </row>
    <row r="190">
      <c r="F190" s="5"/>
      <c r="G190" s="5"/>
    </row>
    <row r="191">
      <c r="F191" s="5"/>
      <c r="G191" s="5"/>
    </row>
    <row r="192">
      <c r="F192" s="5"/>
      <c r="G192" s="5"/>
    </row>
    <row r="193">
      <c r="F193" s="5"/>
      <c r="G193" s="5"/>
    </row>
    <row r="194">
      <c r="F194" s="5"/>
      <c r="G194" s="5"/>
    </row>
    <row r="195">
      <c r="F195" s="5"/>
      <c r="G195" s="5"/>
    </row>
    <row r="196">
      <c r="F196" s="5"/>
      <c r="G196" s="5"/>
    </row>
    <row r="197">
      <c r="F197" s="5"/>
      <c r="G197" s="5"/>
    </row>
    <row r="198">
      <c r="F198" s="5"/>
      <c r="G198" s="5"/>
    </row>
    <row r="199">
      <c r="F199" s="5"/>
      <c r="G199" s="5"/>
    </row>
    <row r="200">
      <c r="F200" s="5"/>
      <c r="G200" s="5"/>
    </row>
    <row r="201">
      <c r="F201" s="5"/>
      <c r="G201" s="5"/>
    </row>
    <row r="202">
      <c r="F202" s="5"/>
      <c r="G202" s="5"/>
    </row>
    <row r="203">
      <c r="F203" s="5"/>
      <c r="G203" s="5"/>
    </row>
    <row r="204">
      <c r="F204" s="5"/>
      <c r="G204" s="5"/>
    </row>
    <row r="205">
      <c r="F205" s="5"/>
      <c r="G205" s="5"/>
    </row>
    <row r="206">
      <c r="F206" s="5"/>
      <c r="G206" s="5"/>
    </row>
    <row r="207">
      <c r="F207" s="5"/>
      <c r="G207" s="5"/>
    </row>
    <row r="208">
      <c r="F208" s="5"/>
      <c r="G208" s="5"/>
    </row>
    <row r="209">
      <c r="F209" s="5"/>
      <c r="G209" s="5"/>
    </row>
    <row r="210">
      <c r="F210" s="5"/>
      <c r="G210" s="5"/>
    </row>
    <row r="211">
      <c r="F211" s="5"/>
      <c r="G211" s="5"/>
    </row>
    <row r="212">
      <c r="F212" s="5"/>
      <c r="G212" s="5"/>
    </row>
    <row r="213">
      <c r="F213" s="5"/>
      <c r="G213" s="5"/>
    </row>
    <row r="214">
      <c r="F214" s="5"/>
      <c r="G214" s="5"/>
    </row>
    <row r="215">
      <c r="F215" s="5"/>
      <c r="G215" s="5"/>
    </row>
    <row r="216">
      <c r="F216" s="5"/>
      <c r="G216" s="5"/>
    </row>
    <row r="217">
      <c r="F217" s="5"/>
      <c r="G217" s="5"/>
    </row>
    <row r="218">
      <c r="F218" s="5"/>
      <c r="G218" s="5"/>
    </row>
    <row r="219">
      <c r="F219" s="5"/>
      <c r="G219" s="5"/>
    </row>
    <row r="220">
      <c r="F220" s="5"/>
      <c r="G220" s="5"/>
    </row>
    <row r="221">
      <c r="F221" s="5"/>
      <c r="G221" s="5"/>
    </row>
    <row r="222">
      <c r="F222" s="5"/>
      <c r="G222" s="5"/>
    </row>
    <row r="223">
      <c r="F223" s="5"/>
      <c r="G223" s="5"/>
    </row>
    <row r="224">
      <c r="F224" s="5"/>
      <c r="G224" s="5"/>
    </row>
    <row r="225">
      <c r="F225" s="5"/>
      <c r="G225" s="5"/>
    </row>
    <row r="226">
      <c r="F226" s="5"/>
      <c r="G226" s="5"/>
    </row>
    <row r="227">
      <c r="F227" s="5"/>
      <c r="G227" s="5"/>
    </row>
    <row r="228">
      <c r="F228" s="5"/>
      <c r="G228" s="5"/>
    </row>
    <row r="229">
      <c r="F229" s="5"/>
      <c r="G229" s="5"/>
    </row>
    <row r="230">
      <c r="F230" s="5"/>
      <c r="G230" s="5"/>
    </row>
    <row r="231">
      <c r="F231" s="5"/>
      <c r="G231" s="5"/>
    </row>
    <row r="232">
      <c r="F232" s="5"/>
      <c r="G232" s="5"/>
    </row>
    <row r="233">
      <c r="F233" s="5"/>
      <c r="G233" s="5"/>
    </row>
    <row r="234">
      <c r="F234" s="5"/>
      <c r="G234" s="5"/>
    </row>
    <row r="235">
      <c r="F235" s="5"/>
      <c r="G235" s="5"/>
    </row>
    <row r="236">
      <c r="F236" s="5"/>
      <c r="G236" s="5"/>
    </row>
    <row r="237">
      <c r="F237" s="5"/>
      <c r="G237" s="5"/>
    </row>
    <row r="238">
      <c r="F238" s="5"/>
      <c r="G238" s="5"/>
    </row>
    <row r="239">
      <c r="F239" s="5"/>
      <c r="G239" s="5"/>
    </row>
    <row r="240">
      <c r="F240" s="5"/>
      <c r="G240" s="5"/>
    </row>
    <row r="241">
      <c r="F241" s="5"/>
      <c r="G241" s="5"/>
    </row>
    <row r="242">
      <c r="F242" s="5"/>
      <c r="G242" s="5"/>
    </row>
    <row r="243">
      <c r="F243" s="5"/>
      <c r="G243" s="5"/>
    </row>
    <row r="244">
      <c r="F244" s="5"/>
      <c r="G244" s="5"/>
    </row>
    <row r="245">
      <c r="F245" s="5"/>
      <c r="G245" s="5"/>
    </row>
    <row r="246">
      <c r="F246" s="5"/>
      <c r="G246" s="5"/>
    </row>
    <row r="247">
      <c r="F247" s="5"/>
      <c r="G247" s="5"/>
    </row>
    <row r="248">
      <c r="F248" s="5"/>
      <c r="G248" s="5"/>
    </row>
    <row r="249">
      <c r="F249" s="5"/>
      <c r="G249" s="5"/>
    </row>
    <row r="250">
      <c r="F250" s="5"/>
      <c r="G250" s="5"/>
    </row>
    <row r="251">
      <c r="F251" s="5"/>
      <c r="G251" s="5"/>
    </row>
    <row r="252">
      <c r="F252" s="5"/>
      <c r="G252" s="5"/>
    </row>
    <row r="253">
      <c r="F253" s="5"/>
      <c r="G253" s="5"/>
    </row>
    <row r="254">
      <c r="F254" s="5"/>
      <c r="G254" s="5"/>
    </row>
    <row r="255">
      <c r="F255" s="5"/>
      <c r="G255" s="5"/>
    </row>
    <row r="256">
      <c r="F256" s="5"/>
      <c r="G256" s="5"/>
    </row>
    <row r="257">
      <c r="F257" s="5"/>
      <c r="G257" s="5"/>
    </row>
    <row r="258">
      <c r="F258" s="5"/>
      <c r="G258" s="5"/>
    </row>
    <row r="259">
      <c r="F259" s="5"/>
      <c r="G259" s="5"/>
    </row>
    <row r="260">
      <c r="F260" s="5"/>
      <c r="G260" s="5"/>
    </row>
    <row r="261">
      <c r="F261" s="5"/>
      <c r="G261" s="5"/>
    </row>
    <row r="262">
      <c r="F262" s="5"/>
      <c r="G262" s="5"/>
    </row>
    <row r="263">
      <c r="F263" s="5"/>
      <c r="G263" s="5"/>
    </row>
    <row r="264">
      <c r="F264" s="5"/>
      <c r="G264" s="5"/>
    </row>
    <row r="265">
      <c r="F265" s="5"/>
      <c r="G265" s="5"/>
    </row>
    <row r="266">
      <c r="F266" s="5"/>
      <c r="G266" s="5"/>
    </row>
    <row r="267">
      <c r="F267" s="5"/>
      <c r="G267" s="5"/>
    </row>
    <row r="268">
      <c r="F268" s="5"/>
      <c r="G268" s="5"/>
    </row>
    <row r="269">
      <c r="F269" s="5"/>
      <c r="G269" s="5"/>
    </row>
    <row r="270">
      <c r="F270" s="5"/>
      <c r="G270" s="5"/>
    </row>
    <row r="271">
      <c r="F271" s="5"/>
      <c r="G271" s="5"/>
    </row>
    <row r="272">
      <c r="F272" s="5"/>
      <c r="G272" s="5"/>
    </row>
    <row r="273">
      <c r="F273" s="5"/>
      <c r="G273" s="5"/>
    </row>
    <row r="274">
      <c r="F274" s="5"/>
      <c r="G274" s="5"/>
    </row>
    <row r="275">
      <c r="F275" s="5"/>
      <c r="G275" s="5"/>
    </row>
    <row r="276">
      <c r="F276" s="5"/>
      <c r="G276" s="5"/>
    </row>
    <row r="277">
      <c r="F277" s="5"/>
      <c r="G277" s="5"/>
    </row>
    <row r="278">
      <c r="F278" s="5"/>
      <c r="G278" s="5"/>
    </row>
    <row r="279">
      <c r="F279" s="5"/>
      <c r="G279" s="5"/>
    </row>
    <row r="280">
      <c r="F280" s="5"/>
      <c r="G280" s="5"/>
    </row>
    <row r="281">
      <c r="F281" s="5"/>
      <c r="G281" s="5"/>
    </row>
    <row r="282">
      <c r="F282" s="5"/>
      <c r="G282" s="5"/>
    </row>
    <row r="283">
      <c r="F283" s="5"/>
      <c r="G283" s="5"/>
    </row>
    <row r="284">
      <c r="F284" s="5"/>
      <c r="G284" s="5"/>
    </row>
    <row r="285">
      <c r="F285" s="5"/>
      <c r="G285" s="5"/>
    </row>
    <row r="286">
      <c r="F286" s="5"/>
      <c r="G286" s="5"/>
    </row>
    <row r="287">
      <c r="F287" s="5"/>
      <c r="G287" s="5"/>
    </row>
    <row r="288">
      <c r="F288" s="5"/>
      <c r="G288" s="5"/>
    </row>
    <row r="289">
      <c r="F289" s="5"/>
      <c r="G289" s="5"/>
    </row>
    <row r="290">
      <c r="F290" s="5"/>
      <c r="G290" s="5"/>
    </row>
    <row r="291">
      <c r="F291" s="5"/>
      <c r="G291" s="5"/>
    </row>
    <row r="292">
      <c r="F292" s="5"/>
      <c r="G292" s="5"/>
    </row>
    <row r="293">
      <c r="F293" s="5"/>
      <c r="G293" s="5"/>
    </row>
    <row r="294">
      <c r="F294" s="5"/>
      <c r="G294" s="5"/>
    </row>
    <row r="295">
      <c r="F295" s="5"/>
      <c r="G295" s="5"/>
    </row>
    <row r="296">
      <c r="F296" s="5"/>
      <c r="G296" s="5"/>
    </row>
    <row r="297">
      <c r="F297" s="5"/>
      <c r="G297" s="5"/>
    </row>
    <row r="298">
      <c r="F298" s="5"/>
      <c r="G298" s="5"/>
    </row>
    <row r="299">
      <c r="F299" s="5"/>
      <c r="G299" s="5"/>
    </row>
    <row r="300">
      <c r="F300" s="5"/>
      <c r="G300" s="5"/>
    </row>
    <row r="301">
      <c r="F301" s="5"/>
      <c r="G301" s="5"/>
    </row>
    <row r="302">
      <c r="F302" s="5"/>
      <c r="G302" s="5"/>
    </row>
    <row r="303">
      <c r="F303" s="5"/>
      <c r="G303" s="5"/>
    </row>
    <row r="304">
      <c r="F304" s="5"/>
      <c r="G304" s="5"/>
    </row>
    <row r="305">
      <c r="F305" s="5"/>
      <c r="G305" s="5"/>
    </row>
    <row r="306">
      <c r="F306" s="5"/>
      <c r="G306" s="5"/>
    </row>
    <row r="307">
      <c r="F307" s="5"/>
      <c r="G307" s="5"/>
    </row>
    <row r="308">
      <c r="F308" s="5"/>
      <c r="G308" s="5"/>
    </row>
    <row r="309">
      <c r="F309" s="5"/>
      <c r="G309" s="5"/>
    </row>
    <row r="310">
      <c r="F310" s="5"/>
      <c r="G310" s="5"/>
    </row>
    <row r="311">
      <c r="F311" s="5"/>
      <c r="G311" s="5"/>
    </row>
    <row r="312">
      <c r="F312" s="5"/>
      <c r="G312" s="5"/>
    </row>
    <row r="313">
      <c r="F313" s="5"/>
      <c r="G313" s="5"/>
    </row>
    <row r="314">
      <c r="F314" s="5"/>
      <c r="G314" s="5"/>
    </row>
    <row r="315">
      <c r="F315" s="5"/>
      <c r="G315" s="5"/>
    </row>
    <row r="316">
      <c r="F316" s="5"/>
      <c r="G316" s="5"/>
    </row>
    <row r="317">
      <c r="F317" s="5"/>
      <c r="G317" s="5"/>
    </row>
    <row r="318">
      <c r="F318" s="5"/>
      <c r="G318" s="5"/>
    </row>
    <row r="319">
      <c r="F319" s="5"/>
      <c r="G319" s="5"/>
    </row>
    <row r="320">
      <c r="F320" s="5"/>
      <c r="G320" s="5"/>
    </row>
    <row r="321">
      <c r="F321" s="5"/>
      <c r="G321" s="5"/>
    </row>
    <row r="322">
      <c r="F322" s="5"/>
      <c r="G322" s="5"/>
    </row>
    <row r="323">
      <c r="F323" s="5"/>
      <c r="G323" s="5"/>
    </row>
    <row r="324">
      <c r="F324" s="5"/>
      <c r="G324" s="5"/>
    </row>
    <row r="325">
      <c r="F325" s="5"/>
      <c r="G325" s="5"/>
    </row>
    <row r="326">
      <c r="F326" s="5"/>
      <c r="G326" s="5"/>
    </row>
    <row r="327">
      <c r="F327" s="5"/>
      <c r="G327" s="5"/>
    </row>
    <row r="328">
      <c r="F328" s="5"/>
      <c r="G328" s="5"/>
    </row>
    <row r="329">
      <c r="F329" s="5"/>
      <c r="G329" s="5"/>
    </row>
    <row r="330">
      <c r="F330" s="5"/>
      <c r="G330" s="5"/>
    </row>
    <row r="331">
      <c r="F331" s="5"/>
      <c r="G331" s="5"/>
    </row>
    <row r="332">
      <c r="F332" s="5"/>
      <c r="G332" s="5"/>
    </row>
    <row r="333">
      <c r="F333" s="5"/>
      <c r="G333" s="5"/>
    </row>
    <row r="334">
      <c r="F334" s="5"/>
      <c r="G334" s="5"/>
    </row>
    <row r="335">
      <c r="F335" s="5"/>
      <c r="G335" s="5"/>
    </row>
    <row r="336">
      <c r="F336" s="5"/>
      <c r="G336" s="5"/>
    </row>
    <row r="337">
      <c r="F337" s="5"/>
      <c r="G337" s="5"/>
    </row>
    <row r="338">
      <c r="F338" s="5"/>
      <c r="G338" s="5"/>
    </row>
    <row r="339">
      <c r="F339" s="5"/>
      <c r="G339" s="5"/>
    </row>
    <row r="340">
      <c r="F340" s="5"/>
      <c r="G340" s="5"/>
    </row>
    <row r="341">
      <c r="F341" s="5"/>
      <c r="G341" s="5"/>
    </row>
    <row r="342">
      <c r="F342" s="5"/>
      <c r="G342" s="5"/>
    </row>
    <row r="343">
      <c r="F343" s="5"/>
      <c r="G343" s="5"/>
    </row>
    <row r="344">
      <c r="F344" s="5"/>
      <c r="G344" s="5"/>
    </row>
    <row r="345">
      <c r="F345" s="5"/>
      <c r="G345" s="5"/>
    </row>
    <row r="346">
      <c r="F346" s="5"/>
      <c r="G346" s="5"/>
    </row>
    <row r="347">
      <c r="F347" s="5"/>
      <c r="G347" s="5"/>
    </row>
    <row r="348">
      <c r="F348" s="5"/>
      <c r="G348" s="5"/>
    </row>
    <row r="349">
      <c r="F349" s="5"/>
      <c r="G349" s="5"/>
    </row>
    <row r="350">
      <c r="F350" s="5"/>
      <c r="G350" s="5"/>
    </row>
    <row r="351">
      <c r="F351" s="5"/>
      <c r="G351" s="5"/>
    </row>
    <row r="352">
      <c r="F352" s="5"/>
      <c r="G352" s="5"/>
    </row>
    <row r="353">
      <c r="F353" s="5"/>
      <c r="G353" s="5"/>
    </row>
    <row r="354">
      <c r="F354" s="5"/>
      <c r="G354" s="5"/>
    </row>
    <row r="355">
      <c r="F355" s="5"/>
      <c r="G355" s="5"/>
    </row>
    <row r="356">
      <c r="F356" s="5"/>
      <c r="G356" s="5"/>
    </row>
    <row r="357">
      <c r="F357" s="5"/>
      <c r="G357" s="5"/>
    </row>
    <row r="358">
      <c r="F358" s="5"/>
      <c r="G358" s="5"/>
    </row>
    <row r="359">
      <c r="F359" s="5"/>
      <c r="G359" s="5"/>
    </row>
    <row r="360">
      <c r="F360" s="5"/>
      <c r="G360" s="5"/>
    </row>
    <row r="361">
      <c r="F361" s="5"/>
      <c r="G361" s="5"/>
    </row>
    <row r="362">
      <c r="F362" s="5"/>
      <c r="G362" s="5"/>
    </row>
    <row r="363">
      <c r="F363" s="5"/>
      <c r="G363" s="5"/>
    </row>
    <row r="364">
      <c r="F364" s="5"/>
      <c r="G364" s="5"/>
    </row>
    <row r="365">
      <c r="F365" s="5"/>
      <c r="G365" s="5"/>
    </row>
    <row r="366">
      <c r="F366" s="5"/>
      <c r="G366" s="5"/>
    </row>
    <row r="367">
      <c r="F367" s="5"/>
      <c r="G367" s="5"/>
    </row>
    <row r="368">
      <c r="F368" s="5"/>
      <c r="G368" s="5"/>
    </row>
    <row r="369">
      <c r="F369" s="5"/>
      <c r="G369" s="5"/>
    </row>
    <row r="370">
      <c r="F370" s="5"/>
      <c r="G370" s="5"/>
    </row>
    <row r="371">
      <c r="F371" s="5"/>
      <c r="G371" s="5"/>
    </row>
    <row r="372">
      <c r="F372" s="5"/>
      <c r="G372" s="5"/>
    </row>
    <row r="373">
      <c r="F373" s="5"/>
      <c r="G373" s="5"/>
    </row>
    <row r="374">
      <c r="F374" s="5"/>
      <c r="G374" s="5"/>
    </row>
    <row r="375">
      <c r="F375" s="5"/>
      <c r="G375" s="5"/>
    </row>
    <row r="376">
      <c r="F376" s="5"/>
      <c r="G376" s="5"/>
    </row>
    <row r="377">
      <c r="F377" s="5"/>
      <c r="G377" s="5"/>
    </row>
    <row r="378">
      <c r="F378" s="5"/>
      <c r="G378" s="5"/>
    </row>
    <row r="379">
      <c r="F379" s="5"/>
      <c r="G379" s="5"/>
    </row>
    <row r="380">
      <c r="F380" s="5"/>
      <c r="G380" s="5"/>
    </row>
    <row r="381">
      <c r="F381" s="5"/>
      <c r="G381" s="5"/>
    </row>
    <row r="382">
      <c r="F382" s="5"/>
      <c r="G382" s="5"/>
    </row>
    <row r="383">
      <c r="F383" s="5"/>
      <c r="G383" s="5"/>
    </row>
    <row r="384">
      <c r="F384" s="5"/>
      <c r="G384" s="5"/>
    </row>
    <row r="385">
      <c r="F385" s="5"/>
      <c r="G385" s="5"/>
    </row>
    <row r="386">
      <c r="F386" s="5"/>
      <c r="G386" s="5"/>
    </row>
    <row r="387">
      <c r="F387" s="5"/>
      <c r="G387" s="5"/>
    </row>
    <row r="388">
      <c r="F388" s="5"/>
      <c r="G388" s="5"/>
    </row>
    <row r="389">
      <c r="F389" s="5"/>
      <c r="G389" s="5"/>
    </row>
    <row r="390">
      <c r="F390" s="5"/>
      <c r="G390" s="5"/>
    </row>
    <row r="391">
      <c r="F391" s="5"/>
      <c r="G391" s="5"/>
    </row>
    <row r="392">
      <c r="F392" s="5"/>
      <c r="G392" s="5"/>
    </row>
    <row r="393">
      <c r="F393" s="5"/>
      <c r="G393" s="5"/>
    </row>
    <row r="394">
      <c r="F394" s="5"/>
      <c r="G394" s="5"/>
    </row>
    <row r="395">
      <c r="F395" s="5"/>
      <c r="G395" s="5"/>
    </row>
    <row r="396">
      <c r="F396" s="5"/>
      <c r="G396" s="5"/>
    </row>
    <row r="397">
      <c r="F397" s="5"/>
      <c r="G397" s="5"/>
    </row>
    <row r="398">
      <c r="F398" s="5"/>
      <c r="G398" s="5"/>
    </row>
    <row r="399">
      <c r="F399" s="5"/>
      <c r="G399" s="5"/>
    </row>
    <row r="400">
      <c r="F400" s="5"/>
      <c r="G400" s="5"/>
    </row>
    <row r="401">
      <c r="F401" s="5"/>
      <c r="G401" s="5"/>
    </row>
    <row r="402">
      <c r="F402" s="5"/>
      <c r="G402" s="5"/>
    </row>
    <row r="403">
      <c r="F403" s="5"/>
      <c r="G403" s="5"/>
    </row>
    <row r="404">
      <c r="F404" s="5"/>
      <c r="G404" s="5"/>
    </row>
    <row r="405">
      <c r="F405" s="5"/>
      <c r="G405" s="5"/>
    </row>
    <row r="406">
      <c r="F406" s="5"/>
      <c r="G406" s="5"/>
    </row>
    <row r="407">
      <c r="F407" s="5"/>
      <c r="G407" s="5"/>
    </row>
    <row r="408">
      <c r="F408" s="5"/>
      <c r="G408" s="5"/>
    </row>
    <row r="409">
      <c r="F409" s="5"/>
      <c r="G409" s="5"/>
    </row>
    <row r="410">
      <c r="F410" s="5"/>
      <c r="G410" s="5"/>
    </row>
    <row r="411">
      <c r="F411" s="5"/>
      <c r="G411" s="5"/>
    </row>
    <row r="412">
      <c r="F412" s="5"/>
      <c r="G412" s="5"/>
    </row>
    <row r="413">
      <c r="F413" s="5"/>
      <c r="G413" s="5"/>
    </row>
    <row r="414">
      <c r="F414" s="5"/>
      <c r="G414" s="5"/>
    </row>
    <row r="415">
      <c r="F415" s="5"/>
      <c r="G415" s="5"/>
    </row>
    <row r="416">
      <c r="F416" s="5"/>
      <c r="G416" s="5"/>
    </row>
    <row r="417">
      <c r="F417" s="5"/>
      <c r="G417" s="5"/>
    </row>
    <row r="418">
      <c r="F418" s="5"/>
      <c r="G418" s="5"/>
    </row>
    <row r="419">
      <c r="F419" s="5"/>
      <c r="G419" s="5"/>
    </row>
    <row r="420">
      <c r="F420" s="5"/>
      <c r="G420" s="5"/>
    </row>
    <row r="421">
      <c r="F421" s="5"/>
      <c r="G421" s="5"/>
    </row>
    <row r="422">
      <c r="F422" s="5"/>
      <c r="G422" s="5"/>
    </row>
    <row r="423">
      <c r="F423" s="5"/>
      <c r="G423" s="5"/>
    </row>
    <row r="424">
      <c r="F424" s="5"/>
      <c r="G424" s="5"/>
    </row>
    <row r="425">
      <c r="F425" s="5"/>
      <c r="G425" s="5"/>
    </row>
    <row r="426">
      <c r="F426" s="5"/>
      <c r="G426" s="5"/>
    </row>
    <row r="427">
      <c r="F427" s="5"/>
      <c r="G427" s="5"/>
    </row>
    <row r="428">
      <c r="F428" s="5"/>
      <c r="G428" s="5"/>
    </row>
    <row r="429">
      <c r="F429" s="5"/>
      <c r="G429" s="5"/>
    </row>
    <row r="430">
      <c r="F430" s="5"/>
      <c r="G430" s="5"/>
    </row>
    <row r="431">
      <c r="F431" s="5"/>
      <c r="G431" s="5"/>
    </row>
    <row r="432">
      <c r="F432" s="5"/>
      <c r="G432" s="5"/>
    </row>
    <row r="433">
      <c r="F433" s="5"/>
      <c r="G433" s="5"/>
    </row>
    <row r="434">
      <c r="F434" s="5"/>
      <c r="G434" s="5"/>
    </row>
    <row r="435">
      <c r="F435" s="5"/>
      <c r="G435" s="5"/>
    </row>
    <row r="436">
      <c r="F436" s="5"/>
      <c r="G436" s="5"/>
    </row>
    <row r="437">
      <c r="F437" s="5"/>
      <c r="G437" s="5"/>
    </row>
    <row r="438">
      <c r="F438" s="5"/>
      <c r="G438" s="5"/>
    </row>
    <row r="439">
      <c r="F439" s="5"/>
      <c r="G439" s="5"/>
    </row>
    <row r="440">
      <c r="F440" s="5"/>
      <c r="G440" s="5"/>
    </row>
    <row r="441">
      <c r="F441" s="5"/>
      <c r="G441" s="5"/>
    </row>
    <row r="442">
      <c r="F442" s="5"/>
      <c r="G442" s="5"/>
    </row>
    <row r="443">
      <c r="F443" s="5"/>
      <c r="G443" s="5"/>
    </row>
    <row r="444">
      <c r="F444" s="5"/>
      <c r="G444" s="5"/>
    </row>
    <row r="445">
      <c r="F445" s="5"/>
      <c r="G445" s="5"/>
    </row>
    <row r="446">
      <c r="F446" s="5"/>
      <c r="G446" s="5"/>
    </row>
    <row r="447">
      <c r="F447" s="5"/>
      <c r="G447" s="5"/>
    </row>
    <row r="448">
      <c r="F448" s="5"/>
      <c r="G448" s="5"/>
    </row>
    <row r="449">
      <c r="F449" s="5"/>
      <c r="G449" s="5"/>
    </row>
    <row r="450">
      <c r="F450" s="5"/>
      <c r="G450" s="5"/>
    </row>
    <row r="451">
      <c r="F451" s="5"/>
      <c r="G451" s="5"/>
    </row>
    <row r="452">
      <c r="F452" s="5"/>
      <c r="G452" s="5"/>
    </row>
    <row r="453">
      <c r="F453" s="5"/>
      <c r="G453" s="5"/>
    </row>
    <row r="454">
      <c r="F454" s="5"/>
      <c r="G454" s="5"/>
    </row>
    <row r="455">
      <c r="F455" s="5"/>
      <c r="G455" s="5"/>
    </row>
    <row r="456">
      <c r="F456" s="5"/>
      <c r="G456" s="5"/>
    </row>
    <row r="457">
      <c r="F457" s="5"/>
      <c r="G457" s="5"/>
    </row>
    <row r="458">
      <c r="F458" s="5"/>
      <c r="G458" s="5"/>
    </row>
    <row r="459">
      <c r="F459" s="5"/>
      <c r="G459" s="5"/>
    </row>
    <row r="460">
      <c r="F460" s="5"/>
      <c r="G460" s="5"/>
    </row>
    <row r="461">
      <c r="F461" s="5"/>
      <c r="G461" s="5"/>
    </row>
    <row r="462">
      <c r="F462" s="5"/>
      <c r="G462" s="5"/>
    </row>
    <row r="463">
      <c r="F463" s="5"/>
      <c r="G463" s="5"/>
    </row>
    <row r="464">
      <c r="F464" s="5"/>
      <c r="G464" s="5"/>
    </row>
  </sheetData>
  <conditionalFormatting sqref="F1:F464">
    <cfRule type="containsText" dxfId="0" priority="1" operator="containsText" text="yes">
      <formula>NOT(ISERROR(SEARCH(("yes"),(F1))))</formula>
    </cfRule>
  </conditionalFormatting>
  <conditionalFormatting sqref="F1:F464">
    <cfRule type="containsText" dxfId="1" priority="2" operator="containsText" text="decent">
      <formula>NOT(ISERROR(SEARCH(("decent"),(F1))))</formula>
    </cfRule>
  </conditionalFormatting>
  <conditionalFormatting sqref="F1:F464">
    <cfRule type="containsText" dxfId="2" priority="3" operator="containsText" text="maybe">
      <formula>NOT(ISERROR(SEARCH(("maybe"),(F1))))</formula>
    </cfRule>
  </conditionalFormatting>
  <conditionalFormatting sqref="F1:F464">
    <cfRule type="containsText" dxfId="3" priority="4" operator="containsText" text="no">
      <formula>NOT(ISERROR(SEARCH(("no"),(F1))))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88"/>
  </cols>
  <sheetData>
    <row r="1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</row>
    <row r="2">
      <c r="A2" s="1" t="s">
        <v>188</v>
      </c>
      <c r="B2" s="1" t="s">
        <v>22</v>
      </c>
      <c r="C2" s="1" t="str">
        <f>IFERROR(__xludf.DUMMYFUNCTION("IFERROR(REGEXEXTRACT(A2, ""res(269|122)""), ""none"")"),"122")</f>
        <v>122</v>
      </c>
      <c r="D2" s="1">
        <v>-15.535781</v>
      </c>
      <c r="E2" s="1">
        <v>9.0</v>
      </c>
      <c r="F2" s="1">
        <v>3.0</v>
      </c>
      <c r="G2" s="1">
        <v>0.444444</v>
      </c>
      <c r="H2" s="1">
        <v>2.0</v>
      </c>
      <c r="I2" s="1">
        <v>-1.719191</v>
      </c>
      <c r="J2" s="1">
        <v>100.0</v>
      </c>
      <c r="K2" s="1">
        <v>0.0</v>
      </c>
      <c r="L2" s="1">
        <v>0.0</v>
      </c>
      <c r="M2" s="1">
        <v>97.189472</v>
      </c>
    </row>
    <row r="3">
      <c r="A3" s="1" t="s">
        <v>882</v>
      </c>
      <c r="B3" s="1" t="s">
        <v>883</v>
      </c>
      <c r="C3" s="1" t="str">
        <f>IFERROR(__xludf.DUMMYFUNCTION("IFERROR(REGEXEXTRACT(A3, ""res(269|122)""), ""none"")"),"122")</f>
        <v>122</v>
      </c>
      <c r="D3" s="1">
        <v>-15.909327</v>
      </c>
      <c r="E3" s="1">
        <v>10.0</v>
      </c>
      <c r="F3" s="1">
        <v>4.0</v>
      </c>
      <c r="G3" s="1">
        <v>0.3</v>
      </c>
      <c r="H3" s="1">
        <v>2.0</v>
      </c>
      <c r="I3" s="1">
        <v>-0.838915</v>
      </c>
      <c r="J3" s="1">
        <v>100.0</v>
      </c>
      <c r="K3" s="1">
        <v>0.0</v>
      </c>
      <c r="L3" s="1">
        <v>0.0</v>
      </c>
      <c r="M3" s="1">
        <v>99.551758</v>
      </c>
    </row>
    <row r="4">
      <c r="A4" s="1" t="s">
        <v>884</v>
      </c>
      <c r="B4" s="1" t="s">
        <v>885</v>
      </c>
      <c r="C4" s="1" t="str">
        <f>IFERROR(__xludf.DUMMYFUNCTION("IFERROR(REGEXEXTRACT(A4, ""res(269|122)""), ""none"")"),"122")</f>
        <v>122</v>
      </c>
      <c r="D4" s="1">
        <v>-15.853293</v>
      </c>
      <c r="E4" s="1">
        <v>10.0</v>
      </c>
      <c r="F4" s="1">
        <v>3.0</v>
      </c>
      <c r="G4" s="1">
        <v>0.3</v>
      </c>
      <c r="H4" s="1">
        <v>3.0</v>
      </c>
      <c r="I4" s="1">
        <v>-0.169824</v>
      </c>
      <c r="J4" s="1">
        <v>100.0</v>
      </c>
      <c r="K4" s="1">
        <v>0.0</v>
      </c>
      <c r="L4" s="1">
        <v>0.0</v>
      </c>
      <c r="M4" s="1">
        <v>100.276883</v>
      </c>
    </row>
    <row r="5">
      <c r="A5" s="1" t="s">
        <v>886</v>
      </c>
      <c r="B5" s="1" t="s">
        <v>887</v>
      </c>
      <c r="C5" s="1" t="str">
        <f>IFERROR(__xludf.DUMMYFUNCTION("IFERROR(REGEXEXTRACT(A5, ""res(269|122)""), ""none"")"),"122")</f>
        <v>122</v>
      </c>
      <c r="D5" s="1">
        <v>-15.314097</v>
      </c>
      <c r="E5" s="1">
        <v>10.0</v>
      </c>
      <c r="F5" s="1">
        <v>4.0</v>
      </c>
      <c r="G5" s="1">
        <v>0.3</v>
      </c>
      <c r="H5" s="1">
        <v>2.0</v>
      </c>
      <c r="I5" s="1">
        <v>-1.339481</v>
      </c>
      <c r="J5" s="1">
        <v>100.0</v>
      </c>
      <c r="K5" s="1">
        <v>0.0</v>
      </c>
      <c r="L5" s="1">
        <v>0.0</v>
      </c>
      <c r="M5" s="1">
        <v>99.646422</v>
      </c>
    </row>
    <row r="6">
      <c r="A6" s="1" t="s">
        <v>189</v>
      </c>
      <c r="B6" s="1" t="s">
        <v>190</v>
      </c>
      <c r="C6" s="1" t="str">
        <f>IFERROR(__xludf.DUMMYFUNCTION("IFERROR(REGEXEXTRACT(A6, ""res(269|122)""), ""none"")"),"122")</f>
        <v>122</v>
      </c>
      <c r="D6" s="1">
        <v>-17.372141</v>
      </c>
      <c r="E6" s="1">
        <v>10.0</v>
      </c>
      <c r="F6" s="1">
        <v>2.0</v>
      </c>
      <c r="G6" s="1">
        <v>0.3</v>
      </c>
      <c r="H6" s="1">
        <v>2.0</v>
      </c>
      <c r="I6" s="1">
        <v>-1.44699499999999</v>
      </c>
      <c r="J6" s="1">
        <v>100.0</v>
      </c>
      <c r="K6" s="1">
        <v>0.0</v>
      </c>
      <c r="L6" s="1">
        <v>0.0</v>
      </c>
      <c r="M6" s="1">
        <v>95.480864</v>
      </c>
    </row>
    <row r="7">
      <c r="A7" s="1" t="s">
        <v>888</v>
      </c>
      <c r="B7" s="1" t="s">
        <v>889</v>
      </c>
      <c r="C7" s="1" t="str">
        <f>IFERROR(__xludf.DUMMYFUNCTION("IFERROR(REGEXEXTRACT(A7, ""res(269|122)""), ""none"")"),"122")</f>
        <v>122</v>
      </c>
      <c r="D7" s="1">
        <v>-15.270707</v>
      </c>
      <c r="E7" s="1">
        <v>10.0</v>
      </c>
      <c r="F7" s="1">
        <v>3.0</v>
      </c>
      <c r="G7" s="1">
        <v>0.4</v>
      </c>
      <c r="H7" s="1">
        <v>2.0</v>
      </c>
      <c r="I7" s="1">
        <v>-1.180542</v>
      </c>
      <c r="J7" s="1">
        <v>100.0</v>
      </c>
      <c r="K7" s="1">
        <v>0.0</v>
      </c>
      <c r="L7" s="1">
        <v>0.0</v>
      </c>
      <c r="M7" s="1">
        <v>98.948751</v>
      </c>
    </row>
    <row r="8">
      <c r="A8" s="1" t="s">
        <v>890</v>
      </c>
      <c r="B8" s="1" t="s">
        <v>891</v>
      </c>
      <c r="C8" s="1" t="str">
        <f>IFERROR(__xludf.DUMMYFUNCTION("IFERROR(REGEXEXTRACT(A8, ""res(269|122)""), ""none"")"),"122")</f>
        <v>122</v>
      </c>
      <c r="D8" s="1">
        <v>-15.966543</v>
      </c>
      <c r="E8" s="1">
        <v>7.0</v>
      </c>
      <c r="F8" s="1">
        <v>5.0</v>
      </c>
      <c r="G8" s="1">
        <v>0.571429</v>
      </c>
      <c r="H8" s="1">
        <v>2.0</v>
      </c>
      <c r="I8" s="1">
        <v>-0.746181</v>
      </c>
      <c r="J8" s="1">
        <v>100.0</v>
      </c>
      <c r="K8" s="1">
        <v>0.0</v>
      </c>
      <c r="L8" s="1">
        <v>0.0</v>
      </c>
      <c r="M8" s="1">
        <v>97.858705</v>
      </c>
    </row>
    <row r="9">
      <c r="A9" s="1" t="s">
        <v>191</v>
      </c>
      <c r="B9" s="1" t="s">
        <v>192</v>
      </c>
      <c r="C9" s="1" t="str">
        <f>IFERROR(__xludf.DUMMYFUNCTION("IFERROR(REGEXEXTRACT(A9, ""res(269|122)""), ""none"")"),"122")</f>
        <v>122</v>
      </c>
      <c r="D9" s="1">
        <v>-15.13854</v>
      </c>
      <c r="E9" s="1">
        <v>9.0</v>
      </c>
      <c r="F9" s="1">
        <v>4.0</v>
      </c>
      <c r="G9" s="1">
        <v>0.333333</v>
      </c>
      <c r="H9" s="1">
        <v>2.0</v>
      </c>
      <c r="I9" s="1">
        <v>-1.065005</v>
      </c>
      <c r="J9" s="1">
        <v>100.0</v>
      </c>
      <c r="K9" s="1">
        <v>0.0</v>
      </c>
      <c r="L9" s="1">
        <v>0.0</v>
      </c>
      <c r="M9" s="1">
        <v>99.129788</v>
      </c>
    </row>
    <row r="10">
      <c r="A10" s="1" t="s">
        <v>193</v>
      </c>
      <c r="B10" s="1" t="s">
        <v>194</v>
      </c>
      <c r="C10" s="1" t="str">
        <f>IFERROR(__xludf.DUMMYFUNCTION("IFERROR(REGEXEXTRACT(A10, ""res(269|122)""), ""none"")"),"122")</f>
        <v>122</v>
      </c>
      <c r="D10" s="1">
        <v>-15.55909</v>
      </c>
      <c r="E10" s="1">
        <v>12.0</v>
      </c>
      <c r="F10" s="1">
        <v>4.0</v>
      </c>
      <c r="G10" s="1">
        <v>0.25</v>
      </c>
      <c r="H10" s="1">
        <v>2.0</v>
      </c>
      <c r="I10" s="1">
        <v>-0.857348</v>
      </c>
      <c r="J10" s="1">
        <v>100.0</v>
      </c>
      <c r="K10" s="1">
        <v>0.0</v>
      </c>
      <c r="L10" s="1">
        <v>0.0</v>
      </c>
      <c r="M10" s="1">
        <v>101.833562</v>
      </c>
    </row>
    <row r="11">
      <c r="A11" s="1" t="s">
        <v>892</v>
      </c>
      <c r="B11" s="1" t="s">
        <v>893</v>
      </c>
      <c r="C11" s="1" t="str">
        <f>IFERROR(__xludf.DUMMYFUNCTION("IFERROR(REGEXEXTRACT(A11, ""res(269|122)""), ""none"")"),"122")</f>
        <v>122</v>
      </c>
      <c r="D11" s="1">
        <v>-15.352621</v>
      </c>
      <c r="E11" s="1">
        <v>9.0</v>
      </c>
      <c r="F11" s="1">
        <v>3.0</v>
      </c>
      <c r="G11" s="1">
        <v>0.333333</v>
      </c>
      <c r="H11" s="1">
        <v>2.0</v>
      </c>
      <c r="I11" s="1">
        <v>-0.609783</v>
      </c>
      <c r="J11" s="1">
        <v>100.0</v>
      </c>
      <c r="K11" s="1">
        <v>0.0</v>
      </c>
      <c r="L11" s="1">
        <v>0.0</v>
      </c>
      <c r="M11" s="1">
        <v>98.370929</v>
      </c>
    </row>
    <row r="12">
      <c r="A12" s="1" t="s">
        <v>894</v>
      </c>
      <c r="B12" s="1" t="s">
        <v>895</v>
      </c>
      <c r="C12" s="1" t="str">
        <f>IFERROR(__xludf.DUMMYFUNCTION("IFERROR(REGEXEXTRACT(A12, ""res(269|122)""), ""none"")"),"122")</f>
        <v>122</v>
      </c>
      <c r="D12" s="1">
        <v>-16.976415</v>
      </c>
      <c r="E12" s="1">
        <v>10.0</v>
      </c>
      <c r="F12" s="1">
        <v>3.0</v>
      </c>
      <c r="G12" s="1">
        <v>0.3</v>
      </c>
      <c r="H12" s="1">
        <v>2.0</v>
      </c>
      <c r="I12" s="1">
        <v>-0.947909</v>
      </c>
      <c r="J12" s="1">
        <v>100.0</v>
      </c>
      <c r="K12" s="1">
        <v>0.0</v>
      </c>
      <c r="L12" s="1">
        <v>0.0</v>
      </c>
      <c r="M12" s="1">
        <v>97.375676</v>
      </c>
    </row>
    <row r="13">
      <c r="A13" s="1" t="s">
        <v>195</v>
      </c>
      <c r="B13" s="1" t="s">
        <v>196</v>
      </c>
      <c r="C13" s="1" t="str">
        <f>IFERROR(__xludf.DUMMYFUNCTION("IFERROR(REGEXEXTRACT(A13, ""res(269|122)""), ""none"")"),"122")</f>
        <v>122</v>
      </c>
      <c r="D13" s="1">
        <v>-16.502904</v>
      </c>
      <c r="E13" s="1">
        <v>8.0</v>
      </c>
      <c r="F13" s="1">
        <v>3.0</v>
      </c>
      <c r="G13" s="1">
        <v>0.25</v>
      </c>
      <c r="H13" s="1">
        <v>3.0</v>
      </c>
      <c r="I13" s="1">
        <v>-0.998347</v>
      </c>
      <c r="J13" s="1">
        <v>100.0</v>
      </c>
      <c r="K13" s="1">
        <v>0.0</v>
      </c>
      <c r="L13" s="1">
        <v>0.0</v>
      </c>
      <c r="M13" s="1">
        <v>96.748749</v>
      </c>
    </row>
    <row r="14">
      <c r="A14" s="1" t="s">
        <v>197</v>
      </c>
      <c r="B14" s="1" t="s">
        <v>94</v>
      </c>
      <c r="C14" s="1" t="str">
        <f>IFERROR(__xludf.DUMMYFUNCTION("IFERROR(REGEXEXTRACT(A14, ""res(269|122)""), ""none"")"),"122")</f>
        <v>122</v>
      </c>
      <c r="D14" s="1">
        <v>-16.222639</v>
      </c>
      <c r="E14" s="1">
        <v>10.0</v>
      </c>
      <c r="F14" s="1">
        <v>3.0</v>
      </c>
      <c r="G14" s="1">
        <v>0.3</v>
      </c>
      <c r="H14" s="1">
        <v>2.0</v>
      </c>
      <c r="I14" s="1">
        <v>-1.763647</v>
      </c>
      <c r="J14" s="1">
        <v>100.0</v>
      </c>
      <c r="K14" s="1">
        <v>0.0</v>
      </c>
      <c r="L14" s="1">
        <v>0.0</v>
      </c>
      <c r="M14" s="1">
        <v>97.313714</v>
      </c>
    </row>
    <row r="15">
      <c r="A15" s="1" t="s">
        <v>198</v>
      </c>
      <c r="B15" s="1" t="s">
        <v>30</v>
      </c>
      <c r="C15" s="1" t="str">
        <f>IFERROR(__xludf.DUMMYFUNCTION("IFERROR(REGEXEXTRACT(A15, ""res(269|122)""), ""none"")"),"122")</f>
        <v>122</v>
      </c>
      <c r="D15" s="1">
        <v>-15.296063</v>
      </c>
      <c r="E15" s="1">
        <v>8.0</v>
      </c>
      <c r="F15" s="1">
        <v>3.0</v>
      </c>
      <c r="G15" s="1">
        <v>0.25</v>
      </c>
      <c r="H15" s="1">
        <v>2.0</v>
      </c>
      <c r="I15" s="1">
        <v>-1.293353</v>
      </c>
      <c r="J15" s="1">
        <v>100.0</v>
      </c>
      <c r="K15" s="1">
        <v>0.0</v>
      </c>
      <c r="L15" s="1">
        <v>0.0</v>
      </c>
      <c r="M15" s="1">
        <v>96.660584</v>
      </c>
    </row>
    <row r="16">
      <c r="A16" s="1" t="s">
        <v>896</v>
      </c>
      <c r="B16" s="1" t="s">
        <v>897</v>
      </c>
      <c r="C16" s="1" t="str">
        <f>IFERROR(__xludf.DUMMYFUNCTION("IFERROR(REGEXEXTRACT(A16, ""res(269|122)""), ""none"")"),"122")</f>
        <v>122</v>
      </c>
      <c r="D16" s="1">
        <v>-15.173012</v>
      </c>
      <c r="E16" s="1">
        <v>10.0</v>
      </c>
      <c r="F16" s="1">
        <v>4.0</v>
      </c>
      <c r="G16" s="1">
        <v>0.3</v>
      </c>
      <c r="H16" s="1">
        <v>2.0</v>
      </c>
      <c r="I16" s="1">
        <v>-1.39177</v>
      </c>
      <c r="J16" s="1">
        <v>100.0</v>
      </c>
      <c r="K16" s="1">
        <v>0.0</v>
      </c>
      <c r="L16" s="1">
        <v>0.0</v>
      </c>
      <c r="M16" s="1">
        <v>99.735218</v>
      </c>
    </row>
    <row r="17">
      <c r="A17" s="1" t="s">
        <v>199</v>
      </c>
      <c r="B17" s="1" t="s">
        <v>200</v>
      </c>
      <c r="C17" s="1" t="str">
        <f>IFERROR(__xludf.DUMMYFUNCTION("IFERROR(REGEXEXTRACT(A17, ""res(269|122)""), ""none"")"),"122")</f>
        <v>122</v>
      </c>
      <c r="D17" s="1">
        <v>-15.047575</v>
      </c>
      <c r="E17" s="1">
        <v>8.0</v>
      </c>
      <c r="F17" s="1">
        <v>4.0</v>
      </c>
      <c r="G17" s="1">
        <v>0.25</v>
      </c>
      <c r="H17" s="1">
        <v>2.0</v>
      </c>
      <c r="I17" s="1">
        <v>-1.824829</v>
      </c>
      <c r="J17" s="1">
        <v>100.0</v>
      </c>
      <c r="K17" s="1">
        <v>0.0</v>
      </c>
      <c r="L17" s="1">
        <v>0.0</v>
      </c>
      <c r="M17" s="1">
        <v>97.377596</v>
      </c>
    </row>
    <row r="18">
      <c r="A18" s="1" t="s">
        <v>898</v>
      </c>
      <c r="B18" s="1" t="s">
        <v>899</v>
      </c>
      <c r="C18" s="1" t="str">
        <f>IFERROR(__xludf.DUMMYFUNCTION("IFERROR(REGEXEXTRACT(A18, ""res(269|122)""), ""none"")"),"122")</f>
        <v>122</v>
      </c>
      <c r="D18" s="1">
        <v>-15.089032</v>
      </c>
      <c r="E18" s="1">
        <v>11.0</v>
      </c>
      <c r="F18" s="1">
        <v>4.0</v>
      </c>
      <c r="G18" s="1">
        <v>0.272727</v>
      </c>
      <c r="H18" s="1">
        <v>2.0</v>
      </c>
      <c r="I18" s="1">
        <v>-0.598739999999999</v>
      </c>
      <c r="J18" s="1">
        <v>100.0</v>
      </c>
      <c r="K18" s="1">
        <v>0.0</v>
      </c>
      <c r="L18" s="1">
        <v>0.0</v>
      </c>
      <c r="M18" s="1">
        <v>101.584955</v>
      </c>
    </row>
    <row r="19">
      <c r="A19" s="1" t="s">
        <v>201</v>
      </c>
      <c r="B19" s="1" t="s">
        <v>35</v>
      </c>
      <c r="C19" s="1" t="str">
        <f>IFERROR(__xludf.DUMMYFUNCTION("IFERROR(REGEXEXTRACT(A19, ""res(269|122)""), ""none"")"),"122")</f>
        <v>122</v>
      </c>
      <c r="D19" s="1">
        <v>-15.950047</v>
      </c>
      <c r="E19" s="1">
        <v>7.0</v>
      </c>
      <c r="F19" s="1">
        <v>3.0</v>
      </c>
      <c r="G19" s="1">
        <v>0.285714</v>
      </c>
      <c r="H19" s="1">
        <v>3.0</v>
      </c>
      <c r="I19" s="1">
        <v>-1.505897</v>
      </c>
      <c r="J19" s="1">
        <v>100.0</v>
      </c>
      <c r="K19" s="1">
        <v>0.0</v>
      </c>
      <c r="L19" s="1">
        <v>0.0</v>
      </c>
      <c r="M19" s="1">
        <v>95.82977</v>
      </c>
    </row>
    <row r="20">
      <c r="A20" s="1" t="s">
        <v>900</v>
      </c>
      <c r="B20" s="1" t="s">
        <v>901</v>
      </c>
      <c r="C20" s="1" t="str">
        <f>IFERROR(__xludf.DUMMYFUNCTION("IFERROR(REGEXEXTRACT(A20, ""res(269|122)""), ""none"")"),"122")</f>
        <v>122</v>
      </c>
      <c r="D20" s="1">
        <v>-15.476784</v>
      </c>
      <c r="E20" s="1">
        <v>9.0</v>
      </c>
      <c r="F20" s="1">
        <v>3.0</v>
      </c>
      <c r="G20" s="1">
        <v>0.333333</v>
      </c>
      <c r="H20" s="1">
        <v>2.0</v>
      </c>
      <c r="I20" s="1">
        <v>-1.337507</v>
      </c>
      <c r="J20" s="1">
        <v>100.0</v>
      </c>
      <c r="K20" s="1">
        <v>0.0</v>
      </c>
      <c r="L20" s="1">
        <v>0.0</v>
      </c>
      <c r="M20" s="1">
        <v>97.519042</v>
      </c>
    </row>
    <row r="21">
      <c r="A21" s="1" t="s">
        <v>902</v>
      </c>
      <c r="B21" s="1" t="s">
        <v>903</v>
      </c>
      <c r="C21" s="1" t="str">
        <f>IFERROR(__xludf.DUMMYFUNCTION("IFERROR(REGEXEXTRACT(A21, ""res(269|122)""), ""none"")"),"122")</f>
        <v>122</v>
      </c>
      <c r="D21" s="1">
        <v>-15.805707</v>
      </c>
      <c r="E21" s="1">
        <v>11.0</v>
      </c>
      <c r="F21" s="1">
        <v>4.0</v>
      </c>
      <c r="G21" s="1">
        <v>0.454545</v>
      </c>
      <c r="H21" s="1">
        <v>2.0</v>
      </c>
      <c r="I21" s="1">
        <v>-1.318406</v>
      </c>
      <c r="J21" s="1">
        <v>100.0</v>
      </c>
      <c r="K21" s="1">
        <v>0.0</v>
      </c>
      <c r="L21" s="1">
        <v>0.0</v>
      </c>
      <c r="M21" s="1">
        <v>100.330432</v>
      </c>
    </row>
    <row r="22">
      <c r="A22" s="1" t="s">
        <v>202</v>
      </c>
      <c r="B22" s="1" t="s">
        <v>203</v>
      </c>
      <c r="C22" s="1" t="str">
        <f>IFERROR(__xludf.DUMMYFUNCTION("IFERROR(REGEXEXTRACT(A22, ""res(269|122)""), ""none"")"),"122")</f>
        <v>122</v>
      </c>
      <c r="D22" s="1">
        <v>-15.642859</v>
      </c>
      <c r="E22" s="1">
        <v>11.0</v>
      </c>
      <c r="F22" s="1">
        <v>3.0</v>
      </c>
      <c r="G22" s="1">
        <v>0.272727</v>
      </c>
      <c r="H22" s="1">
        <v>2.0</v>
      </c>
      <c r="I22" s="1">
        <v>-1.1816</v>
      </c>
      <c r="J22" s="1">
        <v>100.0</v>
      </c>
      <c r="K22" s="1">
        <v>0.0</v>
      </c>
      <c r="L22" s="1">
        <v>0.0</v>
      </c>
      <c r="M22" s="1">
        <v>99.448268</v>
      </c>
    </row>
    <row r="23">
      <c r="A23" s="1" t="s">
        <v>904</v>
      </c>
      <c r="B23" s="1" t="s">
        <v>905</v>
      </c>
      <c r="C23" s="1" t="str">
        <f>IFERROR(__xludf.DUMMYFUNCTION("IFERROR(REGEXEXTRACT(A23, ""res(269|122)""), ""none"")"),"122")</f>
        <v>122</v>
      </c>
      <c r="D23" s="1">
        <v>-15.38509</v>
      </c>
      <c r="E23" s="1">
        <v>9.0</v>
      </c>
      <c r="F23" s="1">
        <v>4.0</v>
      </c>
      <c r="G23" s="1">
        <v>0.333333</v>
      </c>
      <c r="H23" s="1">
        <v>2.0</v>
      </c>
      <c r="I23" s="1">
        <v>-1.023251</v>
      </c>
      <c r="J23" s="1">
        <v>100.0</v>
      </c>
      <c r="K23" s="1">
        <v>0.0</v>
      </c>
      <c r="L23" s="1">
        <v>0.0</v>
      </c>
      <c r="M23" s="1">
        <v>98.924992</v>
      </c>
    </row>
    <row r="24">
      <c r="A24" s="1" t="s">
        <v>906</v>
      </c>
      <c r="B24" s="1" t="s">
        <v>907</v>
      </c>
      <c r="C24" s="1" t="str">
        <f>IFERROR(__xludf.DUMMYFUNCTION("IFERROR(REGEXEXTRACT(A24, ""res(269|122)""), ""none"")"),"122")</f>
        <v>122</v>
      </c>
      <c r="D24" s="1">
        <v>-15.399542</v>
      </c>
      <c r="E24" s="1">
        <v>10.0</v>
      </c>
      <c r="F24" s="1">
        <v>2.0</v>
      </c>
      <c r="G24" s="1">
        <v>0.6</v>
      </c>
      <c r="H24" s="1">
        <v>2.0</v>
      </c>
      <c r="I24" s="1">
        <v>-0.613366</v>
      </c>
      <c r="J24" s="1">
        <v>100.0</v>
      </c>
      <c r="K24" s="1">
        <v>0.0</v>
      </c>
      <c r="L24" s="1">
        <v>0.0</v>
      </c>
      <c r="M24" s="1">
        <v>98.587092</v>
      </c>
    </row>
    <row r="25">
      <c r="A25" s="1" t="s">
        <v>204</v>
      </c>
      <c r="B25" s="1" t="s">
        <v>99</v>
      </c>
      <c r="C25" s="1" t="str">
        <f>IFERROR(__xludf.DUMMYFUNCTION("IFERROR(REGEXEXTRACT(A25, ""res(269|122)""), ""none"")"),"122")</f>
        <v>122</v>
      </c>
      <c r="D25" s="1">
        <v>-15.476613</v>
      </c>
      <c r="E25" s="1">
        <v>12.0</v>
      </c>
      <c r="F25" s="1">
        <v>4.0</v>
      </c>
      <c r="G25" s="1">
        <v>0.333333</v>
      </c>
      <c r="H25" s="1">
        <v>2.0</v>
      </c>
      <c r="I25" s="1">
        <v>-0.623346</v>
      </c>
      <c r="J25" s="1">
        <v>100.0</v>
      </c>
      <c r="K25" s="1">
        <v>0.0</v>
      </c>
      <c r="L25" s="1">
        <v>0.0</v>
      </c>
      <c r="M25" s="1">
        <v>102.233374</v>
      </c>
    </row>
    <row r="26">
      <c r="A26" s="1" t="s">
        <v>205</v>
      </c>
      <c r="B26" s="1" t="s">
        <v>206</v>
      </c>
      <c r="C26" s="1" t="str">
        <f>IFERROR(__xludf.DUMMYFUNCTION("IFERROR(REGEXEXTRACT(A26, ""res(269|122)""), ""none"")"),"122")</f>
        <v>122</v>
      </c>
      <c r="D26" s="1">
        <v>-16.216217</v>
      </c>
      <c r="E26" s="1">
        <v>7.0</v>
      </c>
      <c r="F26" s="1">
        <v>4.0</v>
      </c>
      <c r="G26" s="1">
        <v>0.285714</v>
      </c>
      <c r="H26" s="1">
        <v>2.0</v>
      </c>
      <c r="I26" s="1">
        <v>-0.930066</v>
      </c>
      <c r="J26" s="1">
        <v>100.0</v>
      </c>
      <c r="K26" s="1">
        <v>0.0</v>
      </c>
      <c r="L26" s="1">
        <v>0.0</v>
      </c>
      <c r="M26" s="1">
        <v>96.139431</v>
      </c>
    </row>
    <row r="27">
      <c r="A27" s="1" t="s">
        <v>207</v>
      </c>
      <c r="B27" s="1" t="s">
        <v>208</v>
      </c>
      <c r="C27" s="1" t="str">
        <f>IFERROR(__xludf.DUMMYFUNCTION("IFERROR(REGEXEXTRACT(A27, ""res(269|122)""), ""none"")"),"122")</f>
        <v>122</v>
      </c>
      <c r="D27" s="1">
        <v>-15.113702</v>
      </c>
      <c r="E27" s="1">
        <v>8.0</v>
      </c>
      <c r="F27" s="1">
        <v>3.0</v>
      </c>
      <c r="G27" s="1">
        <v>0.25</v>
      </c>
      <c r="H27" s="1">
        <v>2.0</v>
      </c>
      <c r="I27" s="1">
        <v>-0.761492</v>
      </c>
      <c r="J27" s="1">
        <v>100.0</v>
      </c>
      <c r="K27" s="1">
        <v>0.0</v>
      </c>
      <c r="L27" s="1">
        <v>0.0</v>
      </c>
      <c r="M27" s="1">
        <v>97.374806</v>
      </c>
    </row>
    <row r="28">
      <c r="A28" s="1" t="s">
        <v>908</v>
      </c>
      <c r="B28" s="1" t="s">
        <v>909</v>
      </c>
      <c r="C28" s="1" t="str">
        <f>IFERROR(__xludf.DUMMYFUNCTION("IFERROR(REGEXEXTRACT(A28, ""res(269|122)""), ""none"")"),"122")</f>
        <v>122</v>
      </c>
      <c r="D28" s="1">
        <v>-15.31518</v>
      </c>
      <c r="E28" s="1">
        <v>8.0</v>
      </c>
      <c r="F28" s="1">
        <v>4.0</v>
      </c>
      <c r="G28" s="1">
        <v>0.375</v>
      </c>
      <c r="H28" s="1">
        <v>2.0</v>
      </c>
      <c r="I28" s="1">
        <v>-1.223903</v>
      </c>
      <c r="J28" s="1">
        <v>100.0</v>
      </c>
      <c r="K28" s="1">
        <v>0.0</v>
      </c>
      <c r="L28" s="1">
        <v>0.0</v>
      </c>
      <c r="M28" s="1">
        <v>97.835917</v>
      </c>
    </row>
    <row r="29">
      <c r="A29" s="1" t="s">
        <v>209</v>
      </c>
      <c r="B29" s="1" t="s">
        <v>210</v>
      </c>
      <c r="C29" s="1" t="str">
        <f>IFERROR(__xludf.DUMMYFUNCTION("IFERROR(REGEXEXTRACT(A29, ""res(269|122)""), ""none"")"),"122")</f>
        <v>122</v>
      </c>
      <c r="D29" s="1">
        <v>-15.419001</v>
      </c>
      <c r="E29" s="1">
        <v>8.0</v>
      </c>
      <c r="F29" s="1">
        <v>5.0</v>
      </c>
      <c r="G29" s="1">
        <v>0.5</v>
      </c>
      <c r="H29" s="1">
        <v>3.0</v>
      </c>
      <c r="I29" s="1">
        <v>-1.097048</v>
      </c>
      <c r="J29" s="1">
        <v>100.0</v>
      </c>
      <c r="K29" s="1">
        <v>0.0</v>
      </c>
      <c r="L29" s="1">
        <v>0.0</v>
      </c>
      <c r="M29" s="1">
        <v>99.983951</v>
      </c>
    </row>
    <row r="30">
      <c r="A30" s="1" t="s">
        <v>910</v>
      </c>
      <c r="B30" s="1" t="s">
        <v>911</v>
      </c>
      <c r="C30" s="1" t="str">
        <f>IFERROR(__xludf.DUMMYFUNCTION("IFERROR(REGEXEXTRACT(A30, ""res(269|122)""), ""none"")"),"122")</f>
        <v>122</v>
      </c>
      <c r="D30" s="1">
        <v>-15.898066</v>
      </c>
      <c r="E30" s="1">
        <v>10.0</v>
      </c>
      <c r="F30" s="1">
        <v>5.0</v>
      </c>
      <c r="G30" s="1">
        <v>0.3</v>
      </c>
      <c r="H30" s="1">
        <v>2.0</v>
      </c>
      <c r="I30" s="1">
        <v>-0.756596</v>
      </c>
      <c r="J30" s="1">
        <v>100.0</v>
      </c>
      <c r="K30" s="1">
        <v>0.0</v>
      </c>
      <c r="L30" s="1">
        <v>0.0</v>
      </c>
      <c r="M30" s="1">
        <v>100.645338</v>
      </c>
    </row>
    <row r="31">
      <c r="A31" s="1" t="s">
        <v>912</v>
      </c>
      <c r="B31" s="1" t="s">
        <v>913</v>
      </c>
      <c r="C31" s="1" t="str">
        <f>IFERROR(__xludf.DUMMYFUNCTION("IFERROR(REGEXEXTRACT(A31, ""res(269|122)""), ""none"")"),"122")</f>
        <v>122</v>
      </c>
      <c r="D31" s="1">
        <v>-15.987933</v>
      </c>
      <c r="E31" s="1">
        <v>8.0</v>
      </c>
      <c r="F31" s="1">
        <v>4.0</v>
      </c>
      <c r="G31" s="1">
        <v>0.25</v>
      </c>
      <c r="H31" s="1">
        <v>2.0</v>
      </c>
      <c r="I31" s="1">
        <v>-1.336909</v>
      </c>
      <c r="J31" s="1">
        <v>100.0</v>
      </c>
      <c r="K31" s="1">
        <v>0.0</v>
      </c>
      <c r="L31" s="1">
        <v>0.0</v>
      </c>
      <c r="M31" s="1">
        <v>96.925158</v>
      </c>
    </row>
    <row r="32">
      <c r="A32" s="1" t="s">
        <v>914</v>
      </c>
      <c r="B32" s="1" t="s">
        <v>915</v>
      </c>
      <c r="C32" s="1" t="str">
        <f>IFERROR(__xludf.DUMMYFUNCTION("IFERROR(REGEXEXTRACT(A32, ""res(269|122)""), ""none"")"),"122")</f>
        <v>122</v>
      </c>
      <c r="D32" s="1">
        <v>-15.292696</v>
      </c>
      <c r="E32" s="1">
        <v>11.0</v>
      </c>
      <c r="F32" s="1">
        <v>2.0</v>
      </c>
      <c r="G32" s="1">
        <v>0.272727</v>
      </c>
      <c r="H32" s="1">
        <v>2.0</v>
      </c>
      <c r="I32" s="1">
        <v>-0.566388</v>
      </c>
      <c r="J32" s="1">
        <v>100.0</v>
      </c>
      <c r="K32" s="1">
        <v>0.0</v>
      </c>
      <c r="L32" s="1">
        <v>0.0</v>
      </c>
      <c r="M32" s="1">
        <v>99.413643</v>
      </c>
    </row>
    <row r="33">
      <c r="A33" s="1" t="s">
        <v>916</v>
      </c>
      <c r="B33" s="1" t="s">
        <v>917</v>
      </c>
      <c r="C33" s="1" t="str">
        <f>IFERROR(__xludf.DUMMYFUNCTION("IFERROR(REGEXEXTRACT(A33, ""res(269|122)""), ""none"")"),"122")</f>
        <v>122</v>
      </c>
      <c r="D33" s="1">
        <v>-15.186457</v>
      </c>
      <c r="E33" s="1">
        <v>8.0</v>
      </c>
      <c r="F33" s="1">
        <v>2.0</v>
      </c>
      <c r="G33" s="1">
        <v>0.25</v>
      </c>
      <c r="H33" s="1">
        <v>2.0</v>
      </c>
      <c r="I33" s="1">
        <v>-1.2613</v>
      </c>
      <c r="J33" s="1">
        <v>100.0</v>
      </c>
      <c r="K33" s="1">
        <v>0.0</v>
      </c>
      <c r="L33" s="1">
        <v>0.0</v>
      </c>
      <c r="M33" s="1">
        <v>95.802243</v>
      </c>
    </row>
    <row r="34">
      <c r="A34" s="1" t="s">
        <v>918</v>
      </c>
      <c r="B34" s="1" t="s">
        <v>919</v>
      </c>
      <c r="C34" s="1" t="str">
        <f>IFERROR(__xludf.DUMMYFUNCTION("IFERROR(REGEXEXTRACT(A34, ""res(269|122)""), ""none"")"),"122")</f>
        <v>122</v>
      </c>
      <c r="D34" s="1">
        <v>-16.198358</v>
      </c>
      <c r="E34" s="1">
        <v>8.0</v>
      </c>
      <c r="F34" s="1">
        <v>4.0</v>
      </c>
      <c r="G34" s="1">
        <v>0.25</v>
      </c>
      <c r="H34" s="1">
        <v>2.0</v>
      </c>
      <c r="I34" s="1">
        <v>-0.652775</v>
      </c>
      <c r="J34" s="1">
        <v>100.0</v>
      </c>
      <c r="K34" s="1">
        <v>0.0</v>
      </c>
      <c r="L34" s="1">
        <v>0.0</v>
      </c>
      <c r="M34" s="1">
        <v>97.398867</v>
      </c>
    </row>
    <row r="35">
      <c r="A35" s="1" t="s">
        <v>920</v>
      </c>
      <c r="B35" s="1" t="s">
        <v>921</v>
      </c>
      <c r="C35" s="1" t="str">
        <f>IFERROR(__xludf.DUMMYFUNCTION("IFERROR(REGEXEXTRACT(A35, ""res(269|122)""), ""none"")"),"122")</f>
        <v>122</v>
      </c>
      <c r="D35" s="1">
        <v>-16.731063</v>
      </c>
      <c r="E35" s="1">
        <v>8.0</v>
      </c>
      <c r="F35" s="1">
        <v>4.0</v>
      </c>
      <c r="G35" s="1">
        <v>0.25</v>
      </c>
      <c r="H35" s="1">
        <v>2.0</v>
      </c>
      <c r="I35" s="1">
        <v>-0.330589</v>
      </c>
      <c r="J35" s="1">
        <v>100.0</v>
      </c>
      <c r="K35" s="1">
        <v>0.0</v>
      </c>
      <c r="L35" s="1">
        <v>0.0</v>
      </c>
      <c r="M35" s="1">
        <v>97.188348</v>
      </c>
    </row>
    <row r="36">
      <c r="A36" s="1" t="s">
        <v>211</v>
      </c>
      <c r="B36" s="1" t="s">
        <v>212</v>
      </c>
      <c r="C36" s="1" t="str">
        <f>IFERROR(__xludf.DUMMYFUNCTION("IFERROR(REGEXEXTRACT(A36, ""res(269|122)""), ""none"")"),"122")</f>
        <v>122</v>
      </c>
      <c r="D36" s="1">
        <v>-15.695975</v>
      </c>
      <c r="E36" s="1">
        <v>7.0</v>
      </c>
      <c r="F36" s="1">
        <v>5.0</v>
      </c>
      <c r="G36" s="1">
        <v>0.428571</v>
      </c>
      <c r="H36" s="1">
        <v>2.0</v>
      </c>
      <c r="I36" s="1">
        <v>-0.51858</v>
      </c>
      <c r="J36" s="1">
        <v>100.0</v>
      </c>
      <c r="K36" s="1">
        <v>0.0</v>
      </c>
      <c r="L36" s="1">
        <v>0.0</v>
      </c>
      <c r="M36" s="1">
        <v>98.214016</v>
      </c>
    </row>
    <row r="37">
      <c r="A37" s="1" t="s">
        <v>922</v>
      </c>
      <c r="B37" s="1" t="s">
        <v>923</v>
      </c>
      <c r="C37" s="1" t="str">
        <f>IFERROR(__xludf.DUMMYFUNCTION("IFERROR(REGEXEXTRACT(A37, ""res(269|122)""), ""none"")"),"122")</f>
        <v>122</v>
      </c>
      <c r="D37" s="1">
        <v>-15.855765</v>
      </c>
      <c r="E37" s="1">
        <v>7.0</v>
      </c>
      <c r="F37" s="1">
        <v>3.0</v>
      </c>
      <c r="G37" s="1">
        <v>0.285714</v>
      </c>
      <c r="H37" s="1">
        <v>2.0</v>
      </c>
      <c r="I37" s="1">
        <v>-0.404817</v>
      </c>
      <c r="J37" s="1">
        <v>100.0</v>
      </c>
      <c r="K37" s="1">
        <v>0.0</v>
      </c>
      <c r="L37" s="1">
        <v>0.0</v>
      </c>
      <c r="M37" s="1">
        <v>96.025132</v>
      </c>
    </row>
    <row r="38">
      <c r="A38" s="1" t="s">
        <v>924</v>
      </c>
      <c r="B38" s="1" t="s">
        <v>925</v>
      </c>
      <c r="C38" s="1" t="str">
        <f>IFERROR(__xludf.DUMMYFUNCTION("IFERROR(REGEXEXTRACT(A38, ""res(269|122)""), ""none"")"),"122")</f>
        <v>122</v>
      </c>
      <c r="D38" s="1">
        <v>-16.725242</v>
      </c>
      <c r="E38" s="1">
        <v>10.0</v>
      </c>
      <c r="F38" s="1">
        <v>4.0</v>
      </c>
      <c r="G38" s="1">
        <v>0.3</v>
      </c>
      <c r="H38" s="1">
        <v>2.0</v>
      </c>
      <c r="I38" s="1">
        <v>-1.11447299999999</v>
      </c>
      <c r="J38" s="1">
        <v>100.0</v>
      </c>
      <c r="K38" s="1">
        <v>0.0</v>
      </c>
      <c r="L38" s="1">
        <v>0.0</v>
      </c>
      <c r="M38" s="1">
        <v>98.460285</v>
      </c>
    </row>
    <row r="39">
      <c r="A39" s="1" t="s">
        <v>926</v>
      </c>
      <c r="B39" s="1" t="s">
        <v>927</v>
      </c>
      <c r="C39" s="1" t="str">
        <f>IFERROR(__xludf.DUMMYFUNCTION("IFERROR(REGEXEXTRACT(A39, ""res(269|122)""), ""none"")"),"122")</f>
        <v>122</v>
      </c>
      <c r="D39" s="1">
        <v>-15.350543</v>
      </c>
      <c r="E39" s="1">
        <v>9.0</v>
      </c>
      <c r="F39" s="1">
        <v>4.0</v>
      </c>
      <c r="G39" s="1">
        <v>0.333333</v>
      </c>
      <c r="H39" s="1">
        <v>2.0</v>
      </c>
      <c r="I39" s="1">
        <v>-0.784927</v>
      </c>
      <c r="J39" s="1">
        <v>100.0</v>
      </c>
      <c r="K39" s="1">
        <v>0.0</v>
      </c>
      <c r="L39" s="1">
        <v>0.0</v>
      </c>
      <c r="M39" s="1">
        <v>99.197863</v>
      </c>
    </row>
    <row r="40">
      <c r="A40" s="1" t="s">
        <v>928</v>
      </c>
      <c r="B40" s="1" t="s">
        <v>929</v>
      </c>
      <c r="C40" s="1" t="str">
        <f>IFERROR(__xludf.DUMMYFUNCTION("IFERROR(REGEXEXTRACT(A40, ""res(269|122)""), ""none"")"),"122")</f>
        <v>122</v>
      </c>
      <c r="D40" s="1">
        <v>-16.543963</v>
      </c>
      <c r="E40" s="1">
        <v>7.0</v>
      </c>
      <c r="F40" s="1">
        <v>4.0</v>
      </c>
      <c r="G40" s="1">
        <v>0.285714</v>
      </c>
      <c r="H40" s="1">
        <v>2.0</v>
      </c>
      <c r="I40" s="1">
        <v>-1.827052</v>
      </c>
      <c r="J40" s="1">
        <v>100.0</v>
      </c>
      <c r="K40" s="1">
        <v>0.0</v>
      </c>
      <c r="L40" s="1">
        <v>0.0</v>
      </c>
      <c r="M40" s="1">
        <v>94.914699</v>
      </c>
    </row>
    <row r="41">
      <c r="A41" s="1" t="s">
        <v>930</v>
      </c>
      <c r="B41" s="1" t="s">
        <v>931</v>
      </c>
      <c r="C41" s="1" t="str">
        <f>IFERROR(__xludf.DUMMYFUNCTION("IFERROR(REGEXEXTRACT(A41, ""res(269|122)""), ""none"")"),"122")</f>
        <v>122</v>
      </c>
      <c r="D41" s="1">
        <v>-16.543963</v>
      </c>
      <c r="E41" s="1">
        <v>7.0</v>
      </c>
      <c r="F41" s="1">
        <v>4.0</v>
      </c>
      <c r="G41" s="1">
        <v>0.285714</v>
      </c>
      <c r="H41" s="1">
        <v>2.0</v>
      </c>
      <c r="I41" s="1">
        <v>-1.827052</v>
      </c>
      <c r="J41" s="1">
        <v>100.0</v>
      </c>
      <c r="K41" s="1">
        <v>0.0</v>
      </c>
      <c r="L41" s="1">
        <v>0.0</v>
      </c>
      <c r="M41" s="1">
        <v>94.914699</v>
      </c>
    </row>
    <row r="42">
      <c r="A42" s="1" t="s">
        <v>213</v>
      </c>
      <c r="B42" s="1" t="s">
        <v>40</v>
      </c>
      <c r="C42" s="1" t="str">
        <f>IFERROR(__xludf.DUMMYFUNCTION("IFERROR(REGEXEXTRACT(A42, ""res(269|122)""), ""none"")"),"122")</f>
        <v>122</v>
      </c>
      <c r="D42" s="1">
        <v>-15.040718</v>
      </c>
      <c r="E42" s="1">
        <v>6.0</v>
      </c>
      <c r="F42" s="1">
        <v>3.0</v>
      </c>
      <c r="G42" s="1">
        <v>0.333333</v>
      </c>
      <c r="H42" s="1">
        <v>2.0</v>
      </c>
      <c r="I42" s="1">
        <v>-1.138986</v>
      </c>
      <c r="J42" s="1">
        <v>100.0</v>
      </c>
      <c r="K42" s="1">
        <v>0.0</v>
      </c>
      <c r="L42" s="1">
        <v>0.0</v>
      </c>
      <c r="M42" s="1">
        <v>95.153629</v>
      </c>
    </row>
    <row r="43">
      <c r="A43" s="1" t="s">
        <v>932</v>
      </c>
      <c r="B43" s="1" t="s">
        <v>933</v>
      </c>
      <c r="C43" s="1" t="str">
        <f>IFERROR(__xludf.DUMMYFUNCTION("IFERROR(REGEXEXTRACT(A43, ""res(269|122)""), ""none"")"),"122")</f>
        <v>122</v>
      </c>
      <c r="D43" s="1">
        <v>-15.00123</v>
      </c>
      <c r="E43" s="1">
        <v>9.0</v>
      </c>
      <c r="F43" s="1">
        <v>4.0</v>
      </c>
      <c r="G43" s="1">
        <v>0.333333</v>
      </c>
      <c r="H43" s="1">
        <v>2.0</v>
      </c>
      <c r="I43" s="1">
        <v>-0.988256</v>
      </c>
      <c r="J43" s="1">
        <v>100.0</v>
      </c>
      <c r="K43" s="1">
        <v>0.0</v>
      </c>
      <c r="L43" s="1">
        <v>0.0</v>
      </c>
      <c r="M43" s="1">
        <v>99.343847</v>
      </c>
    </row>
    <row r="44">
      <c r="A44" s="1" t="s">
        <v>214</v>
      </c>
      <c r="B44" s="1" t="s">
        <v>44</v>
      </c>
      <c r="C44" s="1" t="str">
        <f>IFERROR(__xludf.DUMMYFUNCTION("IFERROR(REGEXEXTRACT(A44, ""res(269|122)""), ""none"")"),"122")</f>
        <v>122</v>
      </c>
      <c r="D44" s="1">
        <v>-15.260381</v>
      </c>
      <c r="E44" s="1">
        <v>8.0</v>
      </c>
      <c r="F44" s="1">
        <v>3.0</v>
      </c>
      <c r="G44" s="1">
        <v>0.25</v>
      </c>
      <c r="H44" s="1">
        <v>3.0</v>
      </c>
      <c r="I44" s="1">
        <v>-1.428861</v>
      </c>
      <c r="J44" s="1">
        <v>100.0</v>
      </c>
      <c r="K44" s="1">
        <v>0.0</v>
      </c>
      <c r="L44" s="1">
        <v>0.0</v>
      </c>
      <c r="M44" s="1">
        <v>97.560758</v>
      </c>
    </row>
    <row r="45">
      <c r="A45" s="1" t="s">
        <v>934</v>
      </c>
      <c r="B45" s="1" t="s">
        <v>935</v>
      </c>
      <c r="C45" s="1" t="str">
        <f>IFERROR(__xludf.DUMMYFUNCTION("IFERROR(REGEXEXTRACT(A45, ""res(269|122)""), ""none"")"),"122")</f>
        <v>122</v>
      </c>
      <c r="D45" s="1">
        <v>-15.938727</v>
      </c>
      <c r="E45" s="1">
        <v>8.0</v>
      </c>
      <c r="F45" s="1">
        <v>1.0</v>
      </c>
      <c r="G45" s="1">
        <v>0.25</v>
      </c>
      <c r="H45" s="1">
        <v>2.0</v>
      </c>
      <c r="I45" s="1">
        <v>-0.174925</v>
      </c>
      <c r="J45" s="1">
        <v>100.0</v>
      </c>
      <c r="K45" s="1">
        <v>0.0</v>
      </c>
      <c r="L45" s="1">
        <v>0.0</v>
      </c>
      <c r="M45" s="1">
        <v>95.136348</v>
      </c>
    </row>
    <row r="46">
      <c r="A46" s="1" t="s">
        <v>936</v>
      </c>
      <c r="B46" s="1" t="s">
        <v>937</v>
      </c>
      <c r="C46" s="1" t="str">
        <f>IFERROR(__xludf.DUMMYFUNCTION("IFERROR(REGEXEXTRACT(A46, ""res(269|122)""), ""none"")"),"122")</f>
        <v>122</v>
      </c>
      <c r="D46" s="1">
        <v>-15.860614</v>
      </c>
      <c r="E46" s="1">
        <v>10.0</v>
      </c>
      <c r="F46" s="1">
        <v>4.0</v>
      </c>
      <c r="G46" s="1">
        <v>0.3</v>
      </c>
      <c r="H46" s="1">
        <v>2.0</v>
      </c>
      <c r="I46" s="1">
        <v>-1.47230399999999</v>
      </c>
      <c r="J46" s="1">
        <v>100.0</v>
      </c>
      <c r="K46" s="1">
        <v>0.0</v>
      </c>
      <c r="L46" s="1">
        <v>0.0</v>
      </c>
      <c r="M46" s="1">
        <v>98.967082</v>
      </c>
    </row>
    <row r="47">
      <c r="A47" s="1" t="s">
        <v>938</v>
      </c>
      <c r="B47" s="1" t="s">
        <v>939</v>
      </c>
      <c r="C47" s="1" t="str">
        <f>IFERROR(__xludf.DUMMYFUNCTION("IFERROR(REGEXEXTRACT(A47, ""res(269|122)""), ""none"")"),"122")</f>
        <v>122</v>
      </c>
      <c r="D47" s="1">
        <v>-15.843518</v>
      </c>
      <c r="E47" s="1">
        <v>6.0</v>
      </c>
      <c r="F47" s="1">
        <v>3.0</v>
      </c>
      <c r="G47" s="1">
        <v>0.333333</v>
      </c>
      <c r="H47" s="1">
        <v>2.0</v>
      </c>
      <c r="I47" s="1">
        <v>-0.907249</v>
      </c>
      <c r="J47" s="1">
        <v>100.0</v>
      </c>
      <c r="K47" s="1">
        <v>0.0</v>
      </c>
      <c r="L47" s="1">
        <v>0.0</v>
      </c>
      <c r="M47" s="1">
        <v>94.582566</v>
      </c>
    </row>
    <row r="48">
      <c r="A48" s="1" t="s">
        <v>940</v>
      </c>
      <c r="B48" s="1" t="s">
        <v>941</v>
      </c>
      <c r="C48" s="1" t="str">
        <f>IFERROR(__xludf.DUMMYFUNCTION("IFERROR(REGEXEXTRACT(A48, ""res(269|122)""), ""none"")"),"122")</f>
        <v>122</v>
      </c>
      <c r="D48" s="1">
        <v>-15.895796</v>
      </c>
      <c r="E48" s="1">
        <v>7.0</v>
      </c>
      <c r="F48" s="1">
        <v>3.0</v>
      </c>
      <c r="G48" s="1">
        <v>0.285714</v>
      </c>
      <c r="H48" s="1">
        <v>2.0</v>
      </c>
      <c r="I48" s="1">
        <v>-1.042085</v>
      </c>
      <c r="J48" s="1">
        <v>100.0</v>
      </c>
      <c r="K48" s="1">
        <v>0.0</v>
      </c>
      <c r="L48" s="1">
        <v>0.0</v>
      </c>
      <c r="M48" s="1">
        <v>95.347833</v>
      </c>
    </row>
    <row r="49">
      <c r="A49" s="1" t="s">
        <v>942</v>
      </c>
      <c r="B49" s="1" t="s">
        <v>943</v>
      </c>
      <c r="C49" s="1" t="str">
        <f>IFERROR(__xludf.DUMMYFUNCTION("IFERROR(REGEXEXTRACT(A49, ""res(269|122)""), ""none"")"),"122")</f>
        <v>122</v>
      </c>
      <c r="D49" s="1">
        <v>-17.273811</v>
      </c>
      <c r="E49" s="1">
        <v>7.0</v>
      </c>
      <c r="F49" s="1">
        <v>3.0</v>
      </c>
      <c r="G49" s="1">
        <v>0.285714</v>
      </c>
      <c r="H49" s="1">
        <v>2.0</v>
      </c>
      <c r="I49" s="1">
        <v>-0.836087999999999</v>
      </c>
      <c r="J49" s="1">
        <v>100.0</v>
      </c>
      <c r="K49" s="1">
        <v>0.0</v>
      </c>
      <c r="L49" s="1">
        <v>0.0</v>
      </c>
      <c r="M49" s="1">
        <v>94.175815</v>
      </c>
    </row>
    <row r="50">
      <c r="A50" s="1" t="s">
        <v>215</v>
      </c>
      <c r="B50" s="1" t="s">
        <v>216</v>
      </c>
      <c r="C50" s="1" t="str">
        <f>IFERROR(__xludf.DUMMYFUNCTION("IFERROR(REGEXEXTRACT(A50, ""res(269|122)""), ""none"")"),"122")</f>
        <v>122</v>
      </c>
      <c r="D50" s="1">
        <v>-16.747691</v>
      </c>
      <c r="E50" s="1">
        <v>10.0</v>
      </c>
      <c r="F50" s="1">
        <v>4.0</v>
      </c>
      <c r="G50" s="1">
        <v>0.4</v>
      </c>
      <c r="H50" s="1">
        <v>2.0</v>
      </c>
      <c r="I50" s="1">
        <v>-1.533959</v>
      </c>
      <c r="J50" s="1">
        <v>100.0</v>
      </c>
      <c r="K50" s="1">
        <v>0.0</v>
      </c>
      <c r="L50" s="1">
        <v>0.0</v>
      </c>
      <c r="M50" s="1">
        <v>98.11835</v>
      </c>
    </row>
    <row r="51">
      <c r="A51" s="1" t="s">
        <v>217</v>
      </c>
      <c r="B51" s="1" t="s">
        <v>218</v>
      </c>
      <c r="C51" s="1" t="str">
        <f>IFERROR(__xludf.DUMMYFUNCTION("IFERROR(REGEXEXTRACT(A51, ""res(269|122)""), ""none"")"),"122")</f>
        <v>122</v>
      </c>
      <c r="D51" s="1">
        <v>-15.251888</v>
      </c>
      <c r="E51" s="1">
        <v>10.0</v>
      </c>
      <c r="F51" s="1">
        <v>4.0</v>
      </c>
      <c r="G51" s="1">
        <v>0.4</v>
      </c>
      <c r="H51" s="1">
        <v>2.0</v>
      </c>
      <c r="I51" s="1">
        <v>-0.922495</v>
      </c>
      <c r="J51" s="1">
        <v>100.0</v>
      </c>
      <c r="K51" s="1">
        <v>0.0</v>
      </c>
      <c r="L51" s="1">
        <v>0.0</v>
      </c>
      <c r="M51" s="1">
        <v>100.225617</v>
      </c>
    </row>
    <row r="52">
      <c r="A52" s="1" t="s">
        <v>219</v>
      </c>
      <c r="B52" s="1" t="s">
        <v>220</v>
      </c>
      <c r="C52" s="1" t="str">
        <f>IFERROR(__xludf.DUMMYFUNCTION("IFERROR(REGEXEXTRACT(A52, ""res(269|122)""), ""none"")"),"122")</f>
        <v>122</v>
      </c>
      <c r="D52" s="1">
        <v>-15.933583</v>
      </c>
      <c r="E52" s="1">
        <v>10.0</v>
      </c>
      <c r="F52" s="1">
        <v>4.0</v>
      </c>
      <c r="G52" s="1">
        <v>0.4</v>
      </c>
      <c r="H52" s="1">
        <v>3.0</v>
      </c>
      <c r="I52" s="1">
        <v>-0.861401</v>
      </c>
      <c r="J52" s="1">
        <v>100.0</v>
      </c>
      <c r="K52" s="1">
        <v>0.0</v>
      </c>
      <c r="L52" s="1">
        <v>0.0</v>
      </c>
      <c r="M52" s="1">
        <v>100.605016</v>
      </c>
    </row>
    <row r="53">
      <c r="A53" s="1" t="s">
        <v>944</v>
      </c>
      <c r="B53" s="1" t="s">
        <v>945</v>
      </c>
      <c r="C53" s="1" t="str">
        <f>IFERROR(__xludf.DUMMYFUNCTION("IFERROR(REGEXEXTRACT(A53, ""res(269|122)""), ""none"")"),"122")</f>
        <v>122</v>
      </c>
      <c r="D53" s="1">
        <v>-15.995015</v>
      </c>
      <c r="E53" s="1">
        <v>9.0</v>
      </c>
      <c r="F53" s="1">
        <v>4.0</v>
      </c>
      <c r="G53" s="1">
        <v>0.333333</v>
      </c>
      <c r="H53" s="1">
        <v>3.0</v>
      </c>
      <c r="I53" s="1">
        <v>-0.936516</v>
      </c>
      <c r="J53" s="1">
        <v>100.0</v>
      </c>
      <c r="K53" s="1">
        <v>0.0</v>
      </c>
      <c r="L53" s="1">
        <v>0.0</v>
      </c>
      <c r="M53" s="1">
        <v>99.401802</v>
      </c>
    </row>
    <row r="54">
      <c r="A54" s="1" t="s">
        <v>946</v>
      </c>
      <c r="B54" s="1" t="s">
        <v>947</v>
      </c>
      <c r="C54" s="1" t="str">
        <f>IFERROR(__xludf.DUMMYFUNCTION("IFERROR(REGEXEXTRACT(A54, ""res(269|122)""), ""none"")"),"122")</f>
        <v>122</v>
      </c>
      <c r="D54" s="1">
        <v>-15.980019</v>
      </c>
      <c r="E54" s="1">
        <v>10.0</v>
      </c>
      <c r="F54" s="1">
        <v>3.0</v>
      </c>
      <c r="G54" s="1">
        <v>0.3</v>
      </c>
      <c r="H54" s="1">
        <v>2.0</v>
      </c>
      <c r="I54" s="1">
        <v>-0.742691</v>
      </c>
      <c r="J54" s="1">
        <v>100.0</v>
      </c>
      <c r="K54" s="1">
        <v>0.0</v>
      </c>
      <c r="L54" s="1">
        <v>0.0</v>
      </c>
      <c r="M54" s="1">
        <v>98.57729</v>
      </c>
    </row>
    <row r="55">
      <c r="A55" s="1" t="s">
        <v>948</v>
      </c>
      <c r="B55" s="1" t="s">
        <v>949</v>
      </c>
      <c r="C55" s="1" t="str">
        <f>IFERROR(__xludf.DUMMYFUNCTION("IFERROR(REGEXEXTRACT(A55, ""res(269|122)""), ""none"")"),"122")</f>
        <v>122</v>
      </c>
      <c r="D55" s="1">
        <v>-15.786352</v>
      </c>
      <c r="E55" s="1">
        <v>7.0</v>
      </c>
      <c r="F55" s="1">
        <v>4.0</v>
      </c>
      <c r="G55" s="1">
        <v>0.285714</v>
      </c>
      <c r="H55" s="1">
        <v>3.0</v>
      </c>
      <c r="I55" s="1">
        <v>-1.391272</v>
      </c>
      <c r="J55" s="1">
        <v>100.0</v>
      </c>
      <c r="K55" s="1">
        <v>0.0</v>
      </c>
      <c r="L55" s="1">
        <v>0.0</v>
      </c>
      <c r="M55" s="1">
        <v>97.10809</v>
      </c>
    </row>
    <row r="56">
      <c r="A56" s="1" t="s">
        <v>950</v>
      </c>
      <c r="B56" s="1" t="s">
        <v>951</v>
      </c>
      <c r="C56" s="1" t="str">
        <f>IFERROR(__xludf.DUMMYFUNCTION("IFERROR(REGEXEXTRACT(A56, ""res(269|122)""), ""none"")"),"122")</f>
        <v>122</v>
      </c>
      <c r="D56" s="1">
        <v>-15.195113</v>
      </c>
      <c r="E56" s="1">
        <v>8.0</v>
      </c>
      <c r="F56" s="1">
        <v>3.0</v>
      </c>
      <c r="G56" s="1">
        <v>0.25</v>
      </c>
      <c r="H56" s="1">
        <v>2.0</v>
      </c>
      <c r="I56" s="1">
        <v>-1.197714</v>
      </c>
      <c r="J56" s="1">
        <v>100.0</v>
      </c>
      <c r="K56" s="1">
        <v>0.0</v>
      </c>
      <c r="L56" s="1">
        <v>0.0</v>
      </c>
      <c r="M56" s="1">
        <v>96.857173</v>
      </c>
    </row>
    <row r="57">
      <c r="A57" s="1" t="s">
        <v>221</v>
      </c>
      <c r="B57" s="1" t="s">
        <v>222</v>
      </c>
      <c r="C57" s="1" t="str">
        <f>IFERROR(__xludf.DUMMYFUNCTION("IFERROR(REGEXEXTRACT(A57, ""res(269|122)""), ""none"")"),"122")</f>
        <v>122</v>
      </c>
      <c r="D57" s="1">
        <v>-15.3418</v>
      </c>
      <c r="E57" s="1">
        <v>9.0</v>
      </c>
      <c r="F57" s="1">
        <v>4.0</v>
      </c>
      <c r="G57" s="1">
        <v>0.333333</v>
      </c>
      <c r="H57" s="1">
        <v>2.0</v>
      </c>
      <c r="I57" s="1">
        <v>-1.486109</v>
      </c>
      <c r="J57" s="1">
        <v>100.0</v>
      </c>
      <c r="K57" s="1">
        <v>0.0</v>
      </c>
      <c r="L57" s="1">
        <v>0.0</v>
      </c>
      <c r="M57" s="1">
        <v>98.505424</v>
      </c>
    </row>
    <row r="58">
      <c r="A58" s="1" t="s">
        <v>223</v>
      </c>
      <c r="B58" s="1" t="s">
        <v>49</v>
      </c>
      <c r="C58" s="1" t="str">
        <f>IFERROR(__xludf.DUMMYFUNCTION("IFERROR(REGEXEXTRACT(A58, ""res(269|122)""), ""none"")"),"122")</f>
        <v>122</v>
      </c>
      <c r="D58" s="1">
        <v>-16.481134</v>
      </c>
      <c r="E58" s="1">
        <v>7.0</v>
      </c>
      <c r="F58" s="1">
        <v>3.0</v>
      </c>
      <c r="G58" s="1">
        <v>0.285714</v>
      </c>
      <c r="H58" s="1">
        <v>2.0</v>
      </c>
      <c r="I58" s="1">
        <v>-1.079586</v>
      </c>
      <c r="J58" s="1">
        <v>100.0</v>
      </c>
      <c r="K58" s="1">
        <v>0.0</v>
      </c>
      <c r="L58" s="1">
        <v>0.0</v>
      </c>
      <c r="M58" s="1">
        <v>94.724994</v>
      </c>
    </row>
    <row r="59">
      <c r="A59" s="1" t="s">
        <v>224</v>
      </c>
      <c r="B59" s="1" t="s">
        <v>53</v>
      </c>
      <c r="C59" s="1" t="str">
        <f>IFERROR(__xludf.DUMMYFUNCTION("IFERROR(REGEXEXTRACT(A59, ""res(269|122)""), ""none"")"),"122")</f>
        <v>122</v>
      </c>
      <c r="D59" s="1">
        <v>-15.209335</v>
      </c>
      <c r="E59" s="1">
        <v>9.0</v>
      </c>
      <c r="F59" s="1">
        <v>3.0</v>
      </c>
      <c r="G59" s="1">
        <v>0.555556</v>
      </c>
      <c r="H59" s="1">
        <v>2.0</v>
      </c>
      <c r="I59" s="1">
        <v>-0.616797</v>
      </c>
      <c r="J59" s="1">
        <v>100.0</v>
      </c>
      <c r="K59" s="1">
        <v>0.0</v>
      </c>
      <c r="L59" s="1">
        <v>0.0</v>
      </c>
      <c r="M59" s="1">
        <v>98.729424</v>
      </c>
    </row>
    <row r="60">
      <c r="A60" s="1" t="s">
        <v>952</v>
      </c>
      <c r="B60" s="1" t="s">
        <v>953</v>
      </c>
      <c r="C60" s="1" t="str">
        <f>IFERROR(__xludf.DUMMYFUNCTION("IFERROR(REGEXEXTRACT(A60, ""res(269|122)""), ""none"")"),"122")</f>
        <v>122</v>
      </c>
      <c r="D60" s="1">
        <v>-15.627624</v>
      </c>
      <c r="E60" s="1">
        <v>11.0</v>
      </c>
      <c r="F60" s="1">
        <v>3.0</v>
      </c>
      <c r="G60" s="1">
        <v>0.272727</v>
      </c>
      <c r="H60" s="1">
        <v>2.0</v>
      </c>
      <c r="I60" s="1">
        <v>-1.090456</v>
      </c>
      <c r="J60" s="1">
        <v>100.0</v>
      </c>
      <c r="K60" s="1">
        <v>0.0</v>
      </c>
      <c r="L60" s="1">
        <v>0.0</v>
      </c>
      <c r="M60" s="1">
        <v>99.554647</v>
      </c>
    </row>
    <row r="61">
      <c r="A61" s="1" t="s">
        <v>225</v>
      </c>
      <c r="B61" s="1" t="s">
        <v>226</v>
      </c>
      <c r="C61" s="1" t="str">
        <f>IFERROR(__xludf.DUMMYFUNCTION("IFERROR(REGEXEXTRACT(A61, ""res(269|122)""), ""none"")"),"122")</f>
        <v>122</v>
      </c>
      <c r="D61" s="1">
        <v>-16.256898</v>
      </c>
      <c r="E61" s="1">
        <v>11.0</v>
      </c>
      <c r="F61" s="1">
        <v>4.0</v>
      </c>
      <c r="G61" s="1">
        <v>0.272727</v>
      </c>
      <c r="H61" s="1">
        <v>2.0</v>
      </c>
      <c r="I61" s="1">
        <v>-1.787076</v>
      </c>
      <c r="J61" s="1">
        <v>100.0</v>
      </c>
      <c r="K61" s="1">
        <v>0.0</v>
      </c>
      <c r="L61" s="1">
        <v>0.0</v>
      </c>
      <c r="M61" s="1">
        <v>99.228753</v>
      </c>
    </row>
    <row r="62">
      <c r="A62" s="1" t="s">
        <v>954</v>
      </c>
      <c r="B62" s="1" t="s">
        <v>955</v>
      </c>
      <c r="C62" s="1" t="str">
        <f>IFERROR(__xludf.DUMMYFUNCTION("IFERROR(REGEXEXTRACT(A62, ""res(269|122)""), ""none"")"),"122")</f>
        <v>122</v>
      </c>
      <c r="D62" s="1">
        <v>-15.589483</v>
      </c>
      <c r="E62" s="1">
        <v>11.0</v>
      </c>
      <c r="F62" s="1">
        <v>4.0</v>
      </c>
      <c r="G62" s="1">
        <v>0.363636</v>
      </c>
      <c r="H62" s="1">
        <v>3.0</v>
      </c>
      <c r="I62" s="1">
        <v>-1.049205</v>
      </c>
      <c r="J62" s="1">
        <v>100.0</v>
      </c>
      <c r="K62" s="1">
        <v>0.0</v>
      </c>
      <c r="L62" s="1">
        <v>0.0</v>
      </c>
      <c r="M62" s="1">
        <v>101.724948</v>
      </c>
    </row>
    <row r="63">
      <c r="A63" s="1" t="s">
        <v>956</v>
      </c>
      <c r="B63" s="1" t="s">
        <v>957</v>
      </c>
      <c r="C63" s="1" t="str">
        <f>IFERROR(__xludf.DUMMYFUNCTION("IFERROR(REGEXEXTRACT(A63, ""res(269|122)""), ""none"")"),"122")</f>
        <v>122</v>
      </c>
      <c r="D63" s="1">
        <v>-16.073073</v>
      </c>
      <c r="E63" s="1">
        <v>9.0</v>
      </c>
      <c r="F63" s="1">
        <v>4.0</v>
      </c>
      <c r="G63" s="1">
        <v>0.333333</v>
      </c>
      <c r="H63" s="1">
        <v>2.0</v>
      </c>
      <c r="I63" s="1">
        <v>-1.417971</v>
      </c>
      <c r="J63" s="1">
        <v>100.0</v>
      </c>
      <c r="K63" s="1">
        <v>0.0</v>
      </c>
      <c r="L63" s="1">
        <v>0.0</v>
      </c>
      <c r="M63" s="1">
        <v>97.842289</v>
      </c>
    </row>
    <row r="64">
      <c r="A64" s="1" t="s">
        <v>227</v>
      </c>
      <c r="B64" s="1" t="s">
        <v>228</v>
      </c>
      <c r="C64" s="1" t="str">
        <f>IFERROR(__xludf.DUMMYFUNCTION("IFERROR(REGEXEXTRACT(A64, ""res(269|122)""), ""none"")"),"122")</f>
        <v>122</v>
      </c>
      <c r="D64" s="1">
        <v>-17.376492</v>
      </c>
      <c r="E64" s="1">
        <v>6.0</v>
      </c>
      <c r="F64" s="1">
        <v>3.0</v>
      </c>
      <c r="G64" s="1">
        <v>0.333333</v>
      </c>
      <c r="H64" s="1">
        <v>2.0</v>
      </c>
      <c r="I64" s="1">
        <v>-0.775723</v>
      </c>
      <c r="J64" s="1">
        <v>100.0</v>
      </c>
      <c r="K64" s="1">
        <v>0.0</v>
      </c>
      <c r="L64" s="1">
        <v>0.0</v>
      </c>
      <c r="M64" s="1">
        <v>93.181118</v>
      </c>
    </row>
    <row r="65">
      <c r="A65" s="1" t="s">
        <v>958</v>
      </c>
      <c r="B65" s="1" t="s">
        <v>959</v>
      </c>
      <c r="C65" s="1" t="str">
        <f>IFERROR(__xludf.DUMMYFUNCTION("IFERROR(REGEXEXTRACT(A65, ""res(269|122)""), ""none"")"),"122")</f>
        <v>122</v>
      </c>
      <c r="D65" s="1">
        <v>-15.665856</v>
      </c>
      <c r="E65" s="1">
        <v>8.0</v>
      </c>
      <c r="F65" s="1">
        <v>4.0</v>
      </c>
      <c r="G65" s="1">
        <v>0.375</v>
      </c>
      <c r="H65" s="1">
        <v>2.0</v>
      </c>
      <c r="I65" s="1">
        <v>-1.024371</v>
      </c>
      <c r="J65" s="1">
        <v>100.0</v>
      </c>
      <c r="K65" s="1">
        <v>0.0</v>
      </c>
      <c r="L65" s="1">
        <v>0.0</v>
      </c>
      <c r="M65" s="1">
        <v>97.684773</v>
      </c>
    </row>
    <row r="66">
      <c r="A66" s="1" t="s">
        <v>960</v>
      </c>
      <c r="B66" s="1" t="s">
        <v>961</v>
      </c>
      <c r="C66" s="1" t="str">
        <f>IFERROR(__xludf.DUMMYFUNCTION("IFERROR(REGEXEXTRACT(A66, ""res(269|122)""), ""none"")"),"122")</f>
        <v>122</v>
      </c>
      <c r="D66" s="1">
        <v>-15.416224</v>
      </c>
      <c r="E66" s="1">
        <v>7.0</v>
      </c>
      <c r="F66" s="1">
        <v>4.0</v>
      </c>
      <c r="G66" s="1">
        <v>0.285714</v>
      </c>
      <c r="H66" s="1">
        <v>2.0</v>
      </c>
      <c r="I66" s="1">
        <v>-1.441148</v>
      </c>
      <c r="J66" s="1">
        <v>100.0</v>
      </c>
      <c r="K66" s="1">
        <v>0.0</v>
      </c>
      <c r="L66" s="1">
        <v>0.0</v>
      </c>
      <c r="M66" s="1">
        <v>96.428342</v>
      </c>
    </row>
    <row r="67">
      <c r="A67" s="1" t="s">
        <v>962</v>
      </c>
      <c r="B67" s="1" t="s">
        <v>963</v>
      </c>
      <c r="C67" s="1" t="str">
        <f>IFERROR(__xludf.DUMMYFUNCTION("IFERROR(REGEXEXTRACT(A67, ""res(269|122)""), ""none"")"),"122")</f>
        <v>122</v>
      </c>
      <c r="D67" s="1">
        <v>-15.514751</v>
      </c>
      <c r="E67" s="1">
        <v>9.0</v>
      </c>
      <c r="F67" s="1">
        <v>3.0</v>
      </c>
      <c r="G67" s="1">
        <v>0.444444</v>
      </c>
      <c r="H67" s="1">
        <v>2.0</v>
      </c>
      <c r="I67" s="1">
        <v>-1.020103</v>
      </c>
      <c r="J67" s="1">
        <v>100.0</v>
      </c>
      <c r="K67" s="1">
        <v>0.0</v>
      </c>
      <c r="L67" s="1">
        <v>0.0</v>
      </c>
      <c r="M67" s="1">
        <v>97.90959</v>
      </c>
    </row>
    <row r="68">
      <c r="A68" s="1" t="s">
        <v>964</v>
      </c>
      <c r="B68" s="1" t="s">
        <v>965</v>
      </c>
      <c r="C68" s="1" t="str">
        <f>IFERROR(__xludf.DUMMYFUNCTION("IFERROR(REGEXEXTRACT(A68, ""res(269|122)""), ""none"")"),"122")</f>
        <v>122</v>
      </c>
      <c r="D68" s="1">
        <v>-16.09571</v>
      </c>
      <c r="E68" s="1">
        <v>10.0</v>
      </c>
      <c r="F68" s="1">
        <v>4.0</v>
      </c>
      <c r="G68" s="1">
        <v>0.3</v>
      </c>
      <c r="H68" s="1">
        <v>2.0</v>
      </c>
      <c r="I68" s="1">
        <v>-1.536609</v>
      </c>
      <c r="J68" s="1">
        <v>100.0</v>
      </c>
      <c r="K68" s="1">
        <v>0.0</v>
      </c>
      <c r="L68" s="1">
        <v>0.0</v>
      </c>
      <c r="M68" s="1">
        <v>98.667681</v>
      </c>
    </row>
    <row r="69">
      <c r="A69" s="1" t="s">
        <v>229</v>
      </c>
      <c r="B69" s="1" t="s">
        <v>58</v>
      </c>
      <c r="C69" s="1" t="str">
        <f>IFERROR(__xludf.DUMMYFUNCTION("IFERROR(REGEXEXTRACT(A69, ""res(269|122)""), ""none"")"),"122")</f>
        <v>122</v>
      </c>
      <c r="D69" s="1">
        <v>-17.724274</v>
      </c>
      <c r="E69" s="1">
        <v>8.0</v>
      </c>
      <c r="F69" s="1">
        <v>3.0</v>
      </c>
      <c r="G69" s="1">
        <v>0.25</v>
      </c>
      <c r="H69" s="1">
        <v>2.0</v>
      </c>
      <c r="I69" s="1">
        <v>-1.29152999999999</v>
      </c>
      <c r="J69" s="1">
        <v>100.0</v>
      </c>
      <c r="K69" s="1">
        <v>0.0</v>
      </c>
      <c r="L69" s="1">
        <v>0.0</v>
      </c>
      <c r="M69" s="1">
        <v>94.234196</v>
      </c>
    </row>
    <row r="70">
      <c r="A70" s="1" t="s">
        <v>966</v>
      </c>
      <c r="B70" s="1" t="s">
        <v>967</v>
      </c>
      <c r="C70" s="1" t="str">
        <f>IFERROR(__xludf.DUMMYFUNCTION("IFERROR(REGEXEXTRACT(A70, ""res(269|122)""), ""none"")"),"122")</f>
        <v>122</v>
      </c>
      <c r="D70" s="1">
        <v>-15.555635</v>
      </c>
      <c r="E70" s="1">
        <v>8.0</v>
      </c>
      <c r="F70" s="1">
        <v>3.0</v>
      </c>
      <c r="G70" s="1">
        <v>0.375</v>
      </c>
      <c r="H70" s="1">
        <v>3.0</v>
      </c>
      <c r="I70" s="1">
        <v>-1.23752999999999</v>
      </c>
      <c r="J70" s="1">
        <v>100.0</v>
      </c>
      <c r="K70" s="1">
        <v>0.0</v>
      </c>
      <c r="L70" s="1">
        <v>0.0</v>
      </c>
      <c r="M70" s="1">
        <v>97.581835</v>
      </c>
    </row>
    <row r="71">
      <c r="A71" s="1" t="s">
        <v>968</v>
      </c>
      <c r="B71" s="1" t="s">
        <v>969</v>
      </c>
      <c r="C71" s="1" t="str">
        <f>IFERROR(__xludf.DUMMYFUNCTION("IFERROR(REGEXEXTRACT(A71, ""res(269|122)""), ""none"")"),"122")</f>
        <v>122</v>
      </c>
      <c r="D71" s="1">
        <v>-15.464987</v>
      </c>
      <c r="E71" s="1">
        <v>7.0</v>
      </c>
      <c r="F71" s="1">
        <v>4.0</v>
      </c>
      <c r="G71" s="1">
        <v>0.285714</v>
      </c>
      <c r="H71" s="1">
        <v>2.0</v>
      </c>
      <c r="I71" s="1">
        <v>-0.843909</v>
      </c>
      <c r="J71" s="1">
        <v>100.0</v>
      </c>
      <c r="K71" s="1">
        <v>0.0</v>
      </c>
      <c r="L71" s="1">
        <v>0.0</v>
      </c>
      <c r="M71" s="1">
        <v>96.976818</v>
      </c>
    </row>
    <row r="72">
      <c r="A72" s="1" t="s">
        <v>970</v>
      </c>
      <c r="B72" s="1" t="s">
        <v>971</v>
      </c>
      <c r="C72" s="1" t="str">
        <f>IFERROR(__xludf.DUMMYFUNCTION("IFERROR(REGEXEXTRACT(A72, ""res(269|122)""), ""none"")"),"122")</f>
        <v>122</v>
      </c>
      <c r="D72" s="1">
        <v>-15.230464</v>
      </c>
      <c r="E72" s="1">
        <v>9.0</v>
      </c>
      <c r="F72" s="1">
        <v>2.0</v>
      </c>
      <c r="G72" s="1">
        <v>0.333333</v>
      </c>
      <c r="H72" s="1">
        <v>2.0</v>
      </c>
      <c r="I72" s="1">
        <v>-0.81196</v>
      </c>
      <c r="J72" s="1">
        <v>100.0</v>
      </c>
      <c r="K72" s="1">
        <v>0.0</v>
      </c>
      <c r="L72" s="1">
        <v>0.0</v>
      </c>
      <c r="M72" s="1">
        <v>97.290909</v>
      </c>
    </row>
    <row r="73">
      <c r="A73" s="1" t="s">
        <v>972</v>
      </c>
      <c r="B73" s="1" t="s">
        <v>973</v>
      </c>
      <c r="C73" s="1" t="str">
        <f>IFERROR(__xludf.DUMMYFUNCTION("IFERROR(REGEXEXTRACT(A73, ""res(269|122)""), ""none"")"),"122")</f>
        <v>122</v>
      </c>
      <c r="D73" s="1">
        <v>-16.931881</v>
      </c>
      <c r="E73" s="1">
        <v>10.0</v>
      </c>
      <c r="F73" s="1">
        <v>4.0</v>
      </c>
      <c r="G73" s="1">
        <v>0.3</v>
      </c>
      <c r="H73" s="1">
        <v>2.0</v>
      </c>
      <c r="I73" s="1">
        <v>-0.442768999999999</v>
      </c>
      <c r="J73" s="1">
        <v>100.0</v>
      </c>
      <c r="K73" s="1">
        <v>0.0</v>
      </c>
      <c r="L73" s="1">
        <v>0.0</v>
      </c>
      <c r="M73" s="1">
        <v>98.92535</v>
      </c>
    </row>
    <row r="74">
      <c r="A74" s="1" t="s">
        <v>974</v>
      </c>
      <c r="B74" s="1" t="s">
        <v>975</v>
      </c>
      <c r="C74" s="1" t="str">
        <f>IFERROR(__xludf.DUMMYFUNCTION("IFERROR(REGEXEXTRACT(A74, ""res(269|122)""), ""none"")"),"122")</f>
        <v>122</v>
      </c>
      <c r="D74" s="1">
        <v>-17.518199</v>
      </c>
      <c r="E74" s="1">
        <v>11.0</v>
      </c>
      <c r="F74" s="1">
        <v>3.0</v>
      </c>
      <c r="G74" s="1">
        <v>0.272727</v>
      </c>
      <c r="H74" s="1">
        <v>2.0</v>
      </c>
      <c r="I74" s="1">
        <v>-1.13703</v>
      </c>
      <c r="J74" s="1">
        <v>100.0</v>
      </c>
      <c r="K74" s="1">
        <v>0.0</v>
      </c>
      <c r="L74" s="1">
        <v>0.0</v>
      </c>
      <c r="M74" s="1">
        <v>97.617498</v>
      </c>
    </row>
    <row r="75">
      <c r="A75" s="1" t="s">
        <v>976</v>
      </c>
      <c r="B75" s="1" t="s">
        <v>977</v>
      </c>
      <c r="C75" s="1" t="str">
        <f>IFERROR(__xludf.DUMMYFUNCTION("IFERROR(REGEXEXTRACT(A75, ""res(269|122)""), ""none"")"),"122")</f>
        <v>122</v>
      </c>
      <c r="D75" s="1">
        <v>-17.440245</v>
      </c>
      <c r="E75" s="1">
        <v>11.0</v>
      </c>
      <c r="F75" s="1">
        <v>4.0</v>
      </c>
      <c r="G75" s="1">
        <v>0.363636</v>
      </c>
      <c r="H75" s="1">
        <v>2.0</v>
      </c>
      <c r="I75" s="1">
        <v>-0.623826</v>
      </c>
      <c r="J75" s="1">
        <v>100.0</v>
      </c>
      <c r="K75" s="1">
        <v>0.0</v>
      </c>
      <c r="L75" s="1">
        <v>0.0</v>
      </c>
      <c r="M75" s="1">
        <v>99.299565</v>
      </c>
    </row>
    <row r="76">
      <c r="A76" s="1" t="s">
        <v>978</v>
      </c>
      <c r="B76" s="1" t="s">
        <v>979</v>
      </c>
      <c r="C76" s="1" t="str">
        <f>IFERROR(__xludf.DUMMYFUNCTION("IFERROR(REGEXEXTRACT(A76, ""res(269|122)""), ""none"")"),"122")</f>
        <v>122</v>
      </c>
      <c r="D76" s="1">
        <v>-15.049047</v>
      </c>
      <c r="E76" s="1">
        <v>10.0</v>
      </c>
      <c r="F76" s="1">
        <v>4.0</v>
      </c>
      <c r="G76" s="1">
        <v>0.4</v>
      </c>
      <c r="H76" s="1">
        <v>2.0</v>
      </c>
      <c r="I76" s="1">
        <v>-0.37732</v>
      </c>
      <c r="J76" s="1">
        <v>100.0</v>
      </c>
      <c r="K76" s="1">
        <v>0.0</v>
      </c>
      <c r="L76" s="1">
        <v>0.0</v>
      </c>
      <c r="M76" s="1">
        <v>100.973633</v>
      </c>
    </row>
    <row r="77">
      <c r="A77" s="1" t="s">
        <v>980</v>
      </c>
      <c r="B77" s="1" t="s">
        <v>981</v>
      </c>
      <c r="C77" s="1" t="str">
        <f>IFERROR(__xludf.DUMMYFUNCTION("IFERROR(REGEXEXTRACT(A77, ""res(269|122)""), ""none"")"),"122")</f>
        <v>122</v>
      </c>
      <c r="D77" s="1">
        <v>-15.403036</v>
      </c>
      <c r="E77" s="1">
        <v>7.0</v>
      </c>
      <c r="F77" s="1">
        <v>3.0</v>
      </c>
      <c r="G77" s="1">
        <v>0.285714</v>
      </c>
      <c r="H77" s="1">
        <v>2.0</v>
      </c>
      <c r="I77" s="1">
        <v>-1.077382</v>
      </c>
      <c r="J77" s="1">
        <v>100.0</v>
      </c>
      <c r="K77" s="1">
        <v>0.0</v>
      </c>
      <c r="L77" s="1">
        <v>0.0</v>
      </c>
      <c r="M77" s="1">
        <v>95.805296</v>
      </c>
    </row>
    <row r="78">
      <c r="A78" s="1" t="s">
        <v>982</v>
      </c>
      <c r="B78" s="1" t="s">
        <v>983</v>
      </c>
      <c r="C78" s="1" t="str">
        <f>IFERROR(__xludf.DUMMYFUNCTION("IFERROR(REGEXEXTRACT(A78, ""res(269|122)""), ""none"")"),"122")</f>
        <v>122</v>
      </c>
      <c r="D78" s="1">
        <v>-15.302094</v>
      </c>
      <c r="E78" s="1">
        <v>7.0</v>
      </c>
      <c r="F78" s="1">
        <v>3.0</v>
      </c>
      <c r="G78" s="1">
        <v>0.285714</v>
      </c>
      <c r="H78" s="1">
        <v>2.0</v>
      </c>
      <c r="I78" s="1">
        <v>-0.935695</v>
      </c>
      <c r="J78" s="1">
        <v>100.0</v>
      </c>
      <c r="K78" s="1">
        <v>0.0</v>
      </c>
      <c r="L78" s="1">
        <v>0.0</v>
      </c>
      <c r="M78" s="1">
        <v>96.047925</v>
      </c>
    </row>
    <row r="79">
      <c r="A79" s="1" t="s">
        <v>984</v>
      </c>
      <c r="B79" s="1" t="s">
        <v>985</v>
      </c>
      <c r="C79" s="1" t="str">
        <f>IFERROR(__xludf.DUMMYFUNCTION("IFERROR(REGEXEXTRACT(A79, ""res(269|122)""), ""none"")"),"122")</f>
        <v>122</v>
      </c>
      <c r="D79" s="1">
        <v>-18.022196</v>
      </c>
      <c r="E79" s="1">
        <v>7.0</v>
      </c>
      <c r="F79" s="1">
        <v>3.0</v>
      </c>
      <c r="G79" s="1">
        <v>0.285714</v>
      </c>
      <c r="H79" s="1">
        <v>2.0</v>
      </c>
      <c r="I79" s="1">
        <v>-0.903438</v>
      </c>
      <c r="J79" s="1">
        <v>100.0</v>
      </c>
      <c r="K79" s="1">
        <v>0.0</v>
      </c>
      <c r="L79" s="1">
        <v>0.0</v>
      </c>
      <c r="M79" s="1">
        <v>93.36008</v>
      </c>
    </row>
    <row r="80">
      <c r="A80" s="1" t="s">
        <v>986</v>
      </c>
      <c r="B80" s="1" t="s">
        <v>987</v>
      </c>
      <c r="C80" s="1" t="str">
        <f>IFERROR(__xludf.DUMMYFUNCTION("IFERROR(REGEXEXTRACT(A80, ""res(269|122)""), ""none"")"),"122")</f>
        <v>122</v>
      </c>
      <c r="D80" s="1">
        <v>-15.014055</v>
      </c>
      <c r="E80" s="1">
        <v>7.0</v>
      </c>
      <c r="F80" s="1">
        <v>3.0</v>
      </c>
      <c r="G80" s="1">
        <v>0.285714</v>
      </c>
      <c r="H80" s="1">
        <v>2.0</v>
      </c>
      <c r="I80" s="1">
        <v>-0.455789</v>
      </c>
      <c r="J80" s="1">
        <v>100.0</v>
      </c>
      <c r="K80" s="1">
        <v>0.0</v>
      </c>
      <c r="L80" s="1">
        <v>0.0</v>
      </c>
      <c r="M80" s="1">
        <v>96.81587</v>
      </c>
    </row>
    <row r="81">
      <c r="A81" s="1" t="s">
        <v>988</v>
      </c>
      <c r="B81" s="1" t="s">
        <v>989</v>
      </c>
      <c r="C81" s="1" t="str">
        <f>IFERROR(__xludf.DUMMYFUNCTION("IFERROR(REGEXEXTRACT(A81, ""res(269|122)""), ""none"")"),"122")</f>
        <v>122</v>
      </c>
      <c r="D81" s="1">
        <v>-15.699962</v>
      </c>
      <c r="E81" s="1">
        <v>11.0</v>
      </c>
      <c r="F81" s="1">
        <v>4.0</v>
      </c>
      <c r="G81" s="1">
        <v>0.363636</v>
      </c>
      <c r="H81" s="1">
        <v>2.0</v>
      </c>
      <c r="I81" s="1">
        <v>-0.60822</v>
      </c>
      <c r="J81" s="1">
        <v>100.0</v>
      </c>
      <c r="K81" s="1">
        <v>0.0</v>
      </c>
      <c r="L81" s="1">
        <v>0.0</v>
      </c>
      <c r="M81" s="1">
        <v>101.055454</v>
      </c>
    </row>
    <row r="82">
      <c r="A82" s="1" t="s">
        <v>990</v>
      </c>
      <c r="B82" s="1" t="s">
        <v>991</v>
      </c>
      <c r="C82" s="1" t="str">
        <f>IFERROR(__xludf.DUMMYFUNCTION("IFERROR(REGEXEXTRACT(A82, ""res(269|122)""), ""none"")"),"122")</f>
        <v>122</v>
      </c>
      <c r="D82" s="1">
        <v>-15.314253</v>
      </c>
      <c r="E82" s="1">
        <v>12.0</v>
      </c>
      <c r="F82" s="1">
        <v>4.0</v>
      </c>
      <c r="G82" s="1">
        <v>0.25</v>
      </c>
      <c r="H82" s="1">
        <v>2.0</v>
      </c>
      <c r="I82" s="1">
        <v>-0.675518</v>
      </c>
      <c r="J82" s="1">
        <v>100.0</v>
      </c>
      <c r="K82" s="1">
        <v>0.0</v>
      </c>
      <c r="L82" s="1">
        <v>0.0</v>
      </c>
      <c r="M82" s="1">
        <v>102.260229</v>
      </c>
    </row>
    <row r="83">
      <c r="A83" s="1" t="s">
        <v>992</v>
      </c>
      <c r="B83" s="1" t="s">
        <v>993</v>
      </c>
      <c r="C83" s="1" t="str">
        <f>IFERROR(__xludf.DUMMYFUNCTION("IFERROR(REGEXEXTRACT(A83, ""res(269|122)""), ""none"")"),"122")</f>
        <v>122</v>
      </c>
      <c r="D83" s="1">
        <v>-15.500702</v>
      </c>
      <c r="E83" s="1">
        <v>11.0</v>
      </c>
      <c r="F83" s="1">
        <v>4.0</v>
      </c>
      <c r="G83" s="1">
        <v>0.272727</v>
      </c>
      <c r="H83" s="1">
        <v>2.0</v>
      </c>
      <c r="I83" s="1">
        <v>-0.128303</v>
      </c>
      <c r="J83" s="1">
        <v>100.0</v>
      </c>
      <c r="K83" s="1">
        <v>0.0</v>
      </c>
      <c r="L83" s="1">
        <v>0.0</v>
      </c>
      <c r="M83" s="1">
        <v>101.643722</v>
      </c>
    </row>
    <row r="84">
      <c r="A84" s="1" t="s">
        <v>230</v>
      </c>
      <c r="B84" s="1" t="s">
        <v>231</v>
      </c>
      <c r="C84" s="1" t="str">
        <f>IFERROR(__xludf.DUMMYFUNCTION("IFERROR(REGEXEXTRACT(A84, ""res(269|122)""), ""none"")"),"122")</f>
        <v>122</v>
      </c>
      <c r="D84" s="1">
        <v>-16.569372</v>
      </c>
      <c r="E84" s="1">
        <v>8.0</v>
      </c>
      <c r="F84" s="1">
        <v>3.0</v>
      </c>
      <c r="G84" s="1">
        <v>0.5</v>
      </c>
      <c r="H84" s="1">
        <v>2.0</v>
      </c>
      <c r="I84" s="1">
        <v>-0.987431</v>
      </c>
      <c r="J84" s="1">
        <v>100.0</v>
      </c>
      <c r="K84" s="1">
        <v>0.0</v>
      </c>
      <c r="L84" s="1">
        <v>0.0</v>
      </c>
      <c r="M84" s="1">
        <v>95.943197</v>
      </c>
    </row>
    <row r="85">
      <c r="A85" s="1" t="s">
        <v>232</v>
      </c>
      <c r="B85" s="1" t="s">
        <v>62</v>
      </c>
      <c r="C85" s="1" t="str">
        <f>IFERROR(__xludf.DUMMYFUNCTION("IFERROR(REGEXEXTRACT(A85, ""res(269|122)""), ""none"")"),"122")</f>
        <v>122</v>
      </c>
      <c r="D85" s="1">
        <v>-16.448389</v>
      </c>
      <c r="E85" s="1">
        <v>9.0</v>
      </c>
      <c r="F85" s="1">
        <v>3.0</v>
      </c>
      <c r="G85" s="1">
        <v>0.333333</v>
      </c>
      <c r="H85" s="1">
        <v>2.0</v>
      </c>
      <c r="I85" s="1">
        <v>-1.562614</v>
      </c>
      <c r="J85" s="1">
        <v>100.0</v>
      </c>
      <c r="K85" s="1">
        <v>0.0</v>
      </c>
      <c r="L85" s="1">
        <v>0.0</v>
      </c>
      <c r="M85" s="1">
        <v>96.32233</v>
      </c>
    </row>
    <row r="86">
      <c r="A86" s="1" t="s">
        <v>233</v>
      </c>
      <c r="B86" s="1" t="s">
        <v>103</v>
      </c>
      <c r="C86" s="1" t="str">
        <f>IFERROR(__xludf.DUMMYFUNCTION("IFERROR(REGEXEXTRACT(A86, ""res(269|122)""), ""none"")"),"122")</f>
        <v>122</v>
      </c>
      <c r="D86" s="1">
        <v>-16.810235</v>
      </c>
      <c r="E86" s="1">
        <v>9.0</v>
      </c>
      <c r="F86" s="1">
        <v>3.0</v>
      </c>
      <c r="G86" s="1">
        <v>0.444444</v>
      </c>
      <c r="H86" s="1">
        <v>2.0</v>
      </c>
      <c r="I86" s="1">
        <v>-0.880047</v>
      </c>
      <c r="J86" s="1">
        <v>100.0</v>
      </c>
      <c r="K86" s="1">
        <v>0.0</v>
      </c>
      <c r="L86" s="1">
        <v>0.0</v>
      </c>
      <c r="M86" s="1">
        <v>96.754162</v>
      </c>
    </row>
    <row r="87">
      <c r="A87" s="1" t="s">
        <v>994</v>
      </c>
      <c r="B87" s="1" t="s">
        <v>995</v>
      </c>
      <c r="C87" s="1" t="str">
        <f>IFERROR(__xludf.DUMMYFUNCTION("IFERROR(REGEXEXTRACT(A87, ""res(269|122)""), ""none"")"),"122")</f>
        <v>122</v>
      </c>
      <c r="D87" s="1">
        <v>-15.20253</v>
      </c>
      <c r="E87" s="1">
        <v>8.0</v>
      </c>
      <c r="F87" s="1">
        <v>4.0</v>
      </c>
      <c r="G87" s="1">
        <v>0.25</v>
      </c>
      <c r="H87" s="1">
        <v>2.0</v>
      </c>
      <c r="I87" s="1">
        <v>-0.673079</v>
      </c>
      <c r="J87" s="1">
        <v>100.0</v>
      </c>
      <c r="K87" s="1">
        <v>0.0</v>
      </c>
      <c r="L87" s="1">
        <v>0.0</v>
      </c>
      <c r="M87" s="1">
        <v>98.374391</v>
      </c>
    </row>
    <row r="88">
      <c r="A88" s="1" t="s">
        <v>996</v>
      </c>
      <c r="B88" s="1" t="s">
        <v>997</v>
      </c>
      <c r="C88" s="1" t="str">
        <f>IFERROR(__xludf.DUMMYFUNCTION("IFERROR(REGEXEXTRACT(A88, ""res(269|122)""), ""none"")"),"122")</f>
        <v>122</v>
      </c>
      <c r="D88" s="1">
        <v>-16.387992</v>
      </c>
      <c r="E88" s="1">
        <v>8.0</v>
      </c>
      <c r="F88" s="1">
        <v>2.0</v>
      </c>
      <c r="G88" s="1">
        <v>0.25</v>
      </c>
      <c r="H88" s="1">
        <v>2.0</v>
      </c>
      <c r="I88" s="1">
        <v>-1.049027</v>
      </c>
      <c r="J88" s="1">
        <v>100.0</v>
      </c>
      <c r="K88" s="1">
        <v>0.0</v>
      </c>
      <c r="L88" s="1">
        <v>0.0</v>
      </c>
      <c r="M88" s="1">
        <v>94.812981</v>
      </c>
    </row>
    <row r="89">
      <c r="A89" s="1" t="s">
        <v>998</v>
      </c>
      <c r="B89" s="1" t="s">
        <v>999</v>
      </c>
      <c r="C89" s="1" t="str">
        <f>IFERROR(__xludf.DUMMYFUNCTION("IFERROR(REGEXEXTRACT(A89, ""res(269|122)""), ""none"")"),"122")</f>
        <v>122</v>
      </c>
      <c r="D89" s="1">
        <v>-15.790538</v>
      </c>
      <c r="E89" s="1">
        <v>8.0</v>
      </c>
      <c r="F89" s="1">
        <v>4.0</v>
      </c>
      <c r="G89" s="1">
        <v>0.25</v>
      </c>
      <c r="H89" s="1">
        <v>2.0</v>
      </c>
      <c r="I89" s="1">
        <v>-0.799056</v>
      </c>
      <c r="J89" s="1">
        <v>100.0</v>
      </c>
      <c r="K89" s="1">
        <v>0.0</v>
      </c>
      <c r="L89" s="1">
        <v>0.0</v>
      </c>
      <c r="M89" s="1">
        <v>97.660406</v>
      </c>
    </row>
    <row r="90">
      <c r="A90" s="1" t="s">
        <v>234</v>
      </c>
      <c r="B90" s="1" t="s">
        <v>235</v>
      </c>
      <c r="C90" s="1" t="str">
        <f>IFERROR(__xludf.DUMMYFUNCTION("IFERROR(REGEXEXTRACT(A90, ""res(269|122)""), ""none"")"),"122")</f>
        <v>122</v>
      </c>
      <c r="D90" s="1">
        <v>-15.466932</v>
      </c>
      <c r="E90" s="1">
        <v>7.0</v>
      </c>
      <c r="F90" s="1">
        <v>3.0</v>
      </c>
      <c r="G90" s="1">
        <v>0.285714</v>
      </c>
      <c r="H90" s="1">
        <v>2.0</v>
      </c>
      <c r="I90" s="1">
        <v>-1.068929</v>
      </c>
      <c r="J90" s="1">
        <v>100.0</v>
      </c>
      <c r="K90" s="1">
        <v>0.0</v>
      </c>
      <c r="L90" s="1">
        <v>0.0</v>
      </c>
      <c r="M90" s="1">
        <v>95.749853</v>
      </c>
    </row>
    <row r="91">
      <c r="A91" s="1" t="s">
        <v>1000</v>
      </c>
      <c r="B91" s="1" t="s">
        <v>1001</v>
      </c>
      <c r="C91" s="1" t="str">
        <f>IFERROR(__xludf.DUMMYFUNCTION("IFERROR(REGEXEXTRACT(A91, ""res(269|122)""), ""none"")"),"122")</f>
        <v>122</v>
      </c>
      <c r="D91" s="1">
        <v>-15.10018</v>
      </c>
      <c r="E91" s="1">
        <v>10.0</v>
      </c>
      <c r="F91" s="1">
        <v>4.0</v>
      </c>
      <c r="G91" s="1">
        <v>0.4</v>
      </c>
      <c r="H91" s="1">
        <v>2.0</v>
      </c>
      <c r="I91" s="1">
        <v>-1.324945</v>
      </c>
      <c r="J91" s="1">
        <v>100.0</v>
      </c>
      <c r="K91" s="1">
        <v>0.0</v>
      </c>
      <c r="L91" s="1">
        <v>0.0</v>
      </c>
      <c r="M91" s="1">
        <v>99.974875</v>
      </c>
    </row>
    <row r="92">
      <c r="A92" s="1" t="s">
        <v>1002</v>
      </c>
      <c r="B92" s="1" t="s">
        <v>1003</v>
      </c>
      <c r="C92" s="1" t="str">
        <f>IFERROR(__xludf.DUMMYFUNCTION("IFERROR(REGEXEXTRACT(A92, ""res(269|122)""), ""none"")"),"122")</f>
        <v>122</v>
      </c>
      <c r="D92" s="1">
        <v>-15.298524</v>
      </c>
      <c r="E92" s="1">
        <v>6.0</v>
      </c>
      <c r="F92" s="1">
        <v>3.0</v>
      </c>
      <c r="G92" s="1">
        <v>0.666667</v>
      </c>
      <c r="H92" s="1">
        <v>2.0</v>
      </c>
      <c r="I92" s="1">
        <v>-0.912719</v>
      </c>
      <c r="J92" s="1">
        <v>100.0</v>
      </c>
      <c r="K92" s="1">
        <v>0.0</v>
      </c>
      <c r="L92" s="1">
        <v>0.0</v>
      </c>
      <c r="M92" s="1">
        <v>95.455424</v>
      </c>
    </row>
    <row r="93">
      <c r="A93" s="1" t="s">
        <v>236</v>
      </c>
      <c r="B93" s="1" t="s">
        <v>107</v>
      </c>
      <c r="C93" s="1" t="str">
        <f>IFERROR(__xludf.DUMMYFUNCTION("IFERROR(REGEXEXTRACT(A93, ""res(269|122)""), ""none"")"),"122")</f>
        <v>122</v>
      </c>
      <c r="D93" s="1">
        <v>-15.035637</v>
      </c>
      <c r="E93" s="1">
        <v>8.0</v>
      </c>
      <c r="F93" s="1">
        <v>4.0</v>
      </c>
      <c r="G93" s="1">
        <v>0.25</v>
      </c>
      <c r="H93" s="1">
        <v>2.0</v>
      </c>
      <c r="I93" s="1">
        <v>-0.915905</v>
      </c>
      <c r="J93" s="1">
        <v>100.0</v>
      </c>
      <c r="K93" s="1">
        <v>0.0</v>
      </c>
      <c r="L93" s="1">
        <v>0.0</v>
      </c>
      <c r="M93" s="1">
        <v>98.298458</v>
      </c>
    </row>
    <row r="94">
      <c r="A94" s="1" t="s">
        <v>1004</v>
      </c>
      <c r="B94" s="1" t="s">
        <v>1005</v>
      </c>
      <c r="C94" s="1" t="str">
        <f>IFERROR(__xludf.DUMMYFUNCTION("IFERROR(REGEXEXTRACT(A94, ""res(269|122)""), ""none"")"),"122")</f>
        <v>122</v>
      </c>
      <c r="D94" s="1">
        <v>-15.449821</v>
      </c>
      <c r="E94" s="1">
        <v>8.0</v>
      </c>
      <c r="F94" s="1">
        <v>4.0</v>
      </c>
      <c r="G94" s="1">
        <v>0.25</v>
      </c>
      <c r="H94" s="1">
        <v>2.0</v>
      </c>
      <c r="I94" s="1">
        <v>-0.597896</v>
      </c>
      <c r="J94" s="1">
        <v>100.0</v>
      </c>
      <c r="K94" s="1">
        <v>0.0</v>
      </c>
      <c r="L94" s="1">
        <v>0.0</v>
      </c>
      <c r="M94" s="1">
        <v>98.202283</v>
      </c>
    </row>
    <row r="95">
      <c r="A95" s="1" t="s">
        <v>1006</v>
      </c>
      <c r="B95" s="1" t="s">
        <v>1007</v>
      </c>
      <c r="C95" s="1" t="str">
        <f>IFERROR(__xludf.DUMMYFUNCTION("IFERROR(REGEXEXTRACT(A95, ""res(269|122)""), ""none"")"),"122")</f>
        <v>122</v>
      </c>
      <c r="D95" s="1">
        <v>-15.287369</v>
      </c>
      <c r="E95" s="1">
        <v>8.0</v>
      </c>
      <c r="F95" s="1">
        <v>5.0</v>
      </c>
      <c r="G95" s="1">
        <v>0.375</v>
      </c>
      <c r="H95" s="1">
        <v>2.0</v>
      </c>
      <c r="I95" s="1">
        <v>-1.284821</v>
      </c>
      <c r="J95" s="1">
        <v>100.0</v>
      </c>
      <c r="K95" s="1">
        <v>0.0</v>
      </c>
      <c r="L95" s="1">
        <v>0.0</v>
      </c>
      <c r="M95" s="1">
        <v>98.80281</v>
      </c>
    </row>
    <row r="96">
      <c r="A96" s="1" t="s">
        <v>1008</v>
      </c>
      <c r="B96" s="1" t="s">
        <v>1009</v>
      </c>
      <c r="C96" s="1" t="str">
        <f>IFERROR(__xludf.DUMMYFUNCTION("IFERROR(REGEXEXTRACT(A96, ""res(269|122)""), ""none"")"),"122")</f>
        <v>122</v>
      </c>
      <c r="D96" s="1">
        <v>-15.020705</v>
      </c>
      <c r="E96" s="1">
        <v>8.0</v>
      </c>
      <c r="F96" s="1">
        <v>4.0</v>
      </c>
      <c r="G96" s="1">
        <v>0.375</v>
      </c>
      <c r="H96" s="1">
        <v>2.0</v>
      </c>
      <c r="I96" s="1">
        <v>-0.497393</v>
      </c>
      <c r="J96" s="1">
        <v>100.0</v>
      </c>
      <c r="K96" s="1">
        <v>0.0</v>
      </c>
      <c r="L96" s="1">
        <v>0.0</v>
      </c>
      <c r="M96" s="1">
        <v>98.856902</v>
      </c>
    </row>
    <row r="97">
      <c r="A97" s="1" t="s">
        <v>237</v>
      </c>
      <c r="B97" s="1" t="s">
        <v>238</v>
      </c>
      <c r="C97" s="1" t="str">
        <f>IFERROR(__xludf.DUMMYFUNCTION("IFERROR(REGEXEXTRACT(A97, ""res(269|122)""), ""none"")"),"122")</f>
        <v>122</v>
      </c>
      <c r="D97" s="1">
        <v>-16.448683</v>
      </c>
      <c r="E97" s="1">
        <v>7.0</v>
      </c>
      <c r="F97" s="1">
        <v>4.0</v>
      </c>
      <c r="G97" s="1">
        <v>0.428571</v>
      </c>
      <c r="H97" s="1">
        <v>2.0</v>
      </c>
      <c r="I97" s="1">
        <v>-1.118176</v>
      </c>
      <c r="J97" s="1">
        <v>100.0</v>
      </c>
      <c r="K97" s="1">
        <v>0.0</v>
      </c>
      <c r="L97" s="1">
        <v>0.0</v>
      </c>
      <c r="M97" s="1">
        <v>95.861712</v>
      </c>
    </row>
    <row r="98">
      <c r="A98" s="1" t="s">
        <v>239</v>
      </c>
      <c r="B98" s="1" t="s">
        <v>240</v>
      </c>
      <c r="C98" s="1" t="str">
        <f>IFERROR(__xludf.DUMMYFUNCTION("IFERROR(REGEXEXTRACT(A98, ""res(269|122)""), ""none"")"),"122")</f>
        <v>122</v>
      </c>
      <c r="D98" s="1">
        <v>-15.291041</v>
      </c>
      <c r="E98" s="1">
        <v>8.0</v>
      </c>
      <c r="F98" s="1">
        <v>3.0</v>
      </c>
      <c r="G98" s="1">
        <v>0.375</v>
      </c>
      <c r="H98" s="1">
        <v>2.0</v>
      </c>
      <c r="I98" s="1">
        <v>-0.739298999999999</v>
      </c>
      <c r="J98" s="1">
        <v>100.0</v>
      </c>
      <c r="K98" s="1">
        <v>0.0</v>
      </c>
      <c r="L98" s="1">
        <v>0.0</v>
      </c>
      <c r="M98" s="1">
        <v>97.34466</v>
      </c>
    </row>
    <row r="99">
      <c r="A99" s="1" t="s">
        <v>1010</v>
      </c>
      <c r="B99" s="1" t="s">
        <v>1011</v>
      </c>
      <c r="C99" s="1" t="str">
        <f>IFERROR(__xludf.DUMMYFUNCTION("IFERROR(REGEXEXTRACT(A99, ""res(269|122)""), ""none"")"),"122")</f>
        <v>122</v>
      </c>
      <c r="D99" s="1">
        <v>-17.523214</v>
      </c>
      <c r="E99" s="1">
        <v>11.0</v>
      </c>
      <c r="F99" s="1">
        <v>4.0</v>
      </c>
      <c r="G99" s="1">
        <v>0.363636</v>
      </c>
      <c r="H99" s="1">
        <v>2.0</v>
      </c>
      <c r="I99" s="1">
        <v>-1.221166</v>
      </c>
      <c r="J99" s="1">
        <v>100.0</v>
      </c>
      <c r="K99" s="1">
        <v>0.0</v>
      </c>
      <c r="L99" s="1">
        <v>0.0</v>
      </c>
      <c r="M99" s="1">
        <v>98.619256</v>
      </c>
    </row>
    <row r="100">
      <c r="A100" s="1" t="s">
        <v>1012</v>
      </c>
      <c r="B100" s="1" t="s">
        <v>1013</v>
      </c>
      <c r="C100" s="1" t="str">
        <f>IFERROR(__xludf.DUMMYFUNCTION("IFERROR(REGEXEXTRACT(A100, ""res(269|122)""), ""none"")"),"122")</f>
        <v>122</v>
      </c>
      <c r="D100" s="1">
        <v>-15.685805</v>
      </c>
      <c r="E100" s="1">
        <v>10.0</v>
      </c>
      <c r="F100" s="1">
        <v>3.0</v>
      </c>
      <c r="G100" s="1">
        <v>0.3</v>
      </c>
      <c r="H100" s="1">
        <v>2.0</v>
      </c>
      <c r="I100" s="1">
        <v>-0.997716</v>
      </c>
      <c r="J100" s="1">
        <v>100.0</v>
      </c>
      <c r="K100" s="1">
        <v>0.0</v>
      </c>
      <c r="L100" s="1">
        <v>0.0</v>
      </c>
      <c r="M100" s="1">
        <v>98.616479</v>
      </c>
    </row>
    <row r="101">
      <c r="A101" s="1" t="s">
        <v>1014</v>
      </c>
      <c r="B101" s="1" t="s">
        <v>1015</v>
      </c>
      <c r="C101" s="1" t="str">
        <f>IFERROR(__xludf.DUMMYFUNCTION("IFERROR(REGEXEXTRACT(A101, ""res(269|122)""), ""none"")"),"122")</f>
        <v>122</v>
      </c>
      <c r="D101" s="1">
        <v>-17.896335</v>
      </c>
      <c r="E101" s="1">
        <v>10.0</v>
      </c>
      <c r="F101" s="1">
        <v>4.0</v>
      </c>
      <c r="G101" s="1">
        <v>0.3</v>
      </c>
      <c r="H101" s="1">
        <v>2.0</v>
      </c>
      <c r="I101" s="1">
        <v>-0.787613</v>
      </c>
      <c r="J101" s="1">
        <v>100.0</v>
      </c>
      <c r="K101" s="1">
        <v>0.0</v>
      </c>
      <c r="L101" s="1">
        <v>0.0</v>
      </c>
      <c r="M101" s="1">
        <v>97.616052</v>
      </c>
    </row>
    <row r="102">
      <c r="A102" s="1" t="s">
        <v>1016</v>
      </c>
      <c r="B102" s="1" t="s">
        <v>1017</v>
      </c>
      <c r="C102" s="1" t="str">
        <f>IFERROR(__xludf.DUMMYFUNCTION("IFERROR(REGEXEXTRACT(A102, ""res(269|122)""), ""none"")"),"122")</f>
        <v>122</v>
      </c>
      <c r="D102" s="1">
        <v>-16.549445</v>
      </c>
      <c r="E102" s="1">
        <v>8.0</v>
      </c>
      <c r="F102" s="1">
        <v>3.0</v>
      </c>
      <c r="G102" s="1">
        <v>0.25</v>
      </c>
      <c r="H102" s="1">
        <v>3.0</v>
      </c>
      <c r="I102" s="1">
        <v>-0.9363</v>
      </c>
      <c r="J102" s="1">
        <v>100.0</v>
      </c>
      <c r="K102" s="1">
        <v>0.0</v>
      </c>
      <c r="L102" s="1">
        <v>0.0</v>
      </c>
      <c r="M102" s="1">
        <v>96.764255</v>
      </c>
    </row>
    <row r="103">
      <c r="A103" s="1" t="s">
        <v>1018</v>
      </c>
      <c r="B103" s="1" t="s">
        <v>1019</v>
      </c>
      <c r="C103" s="1" t="str">
        <f>IFERROR(__xludf.DUMMYFUNCTION("IFERROR(REGEXEXTRACT(A103, ""res(269|122)""), ""none"")"),"122")</f>
        <v>122</v>
      </c>
      <c r="D103" s="1">
        <v>-15.226468</v>
      </c>
      <c r="E103" s="1">
        <v>10.0</v>
      </c>
      <c r="F103" s="1">
        <v>4.0</v>
      </c>
      <c r="G103" s="1">
        <v>0.3</v>
      </c>
      <c r="H103" s="1">
        <v>2.0</v>
      </c>
      <c r="I103" s="1">
        <v>-1.532869</v>
      </c>
      <c r="J103" s="1">
        <v>100.0</v>
      </c>
      <c r="K103" s="1">
        <v>0.0</v>
      </c>
      <c r="L103" s="1">
        <v>0.0</v>
      </c>
      <c r="M103" s="1">
        <v>99.540663</v>
      </c>
    </row>
    <row r="104">
      <c r="A104" s="1" t="s">
        <v>1020</v>
      </c>
      <c r="B104" s="1" t="s">
        <v>1021</v>
      </c>
      <c r="C104" s="1" t="str">
        <f>IFERROR(__xludf.DUMMYFUNCTION("IFERROR(REGEXEXTRACT(A104, ""res(269|122)""), ""none"")"),"122")</f>
        <v>122</v>
      </c>
      <c r="D104" s="1">
        <v>-16.65836</v>
      </c>
      <c r="E104" s="1">
        <v>9.0</v>
      </c>
      <c r="F104" s="1">
        <v>4.0</v>
      </c>
      <c r="G104" s="1">
        <v>0.444444</v>
      </c>
      <c r="H104" s="1">
        <v>2.0</v>
      </c>
      <c r="I104" s="1">
        <v>-1.273656</v>
      </c>
      <c r="J104" s="1">
        <v>100.0</v>
      </c>
      <c r="K104" s="1">
        <v>0.0</v>
      </c>
      <c r="L104" s="1">
        <v>0.0</v>
      </c>
      <c r="M104" s="1">
        <v>97.512428</v>
      </c>
    </row>
    <row r="105">
      <c r="A105" s="1" t="s">
        <v>1022</v>
      </c>
      <c r="B105" s="1" t="s">
        <v>1023</v>
      </c>
      <c r="C105" s="1" t="str">
        <f>IFERROR(__xludf.DUMMYFUNCTION("IFERROR(REGEXEXTRACT(A105, ""res(269|122)""), ""none"")"),"122")</f>
        <v>122</v>
      </c>
      <c r="D105" s="1">
        <v>-15.06419</v>
      </c>
      <c r="E105" s="1">
        <v>7.0</v>
      </c>
      <c r="F105" s="1">
        <v>3.0</v>
      </c>
      <c r="G105" s="1">
        <v>0.428571</v>
      </c>
      <c r="H105" s="1">
        <v>2.0</v>
      </c>
      <c r="I105" s="1">
        <v>-1.570972</v>
      </c>
      <c r="J105" s="1">
        <v>100.0</v>
      </c>
      <c r="K105" s="1">
        <v>0.0</v>
      </c>
      <c r="L105" s="1">
        <v>0.0</v>
      </c>
      <c r="M105" s="1">
        <v>95.793409</v>
      </c>
    </row>
    <row r="106">
      <c r="A106" s="1" t="s">
        <v>241</v>
      </c>
      <c r="B106" s="1" t="s">
        <v>242</v>
      </c>
      <c r="C106" s="1" t="str">
        <f>IFERROR(__xludf.DUMMYFUNCTION("IFERROR(REGEXEXTRACT(A106, ""res(269|122)""), ""none"")"),"122")</f>
        <v>122</v>
      </c>
      <c r="D106" s="1">
        <v>-15.786774</v>
      </c>
      <c r="E106" s="1">
        <v>8.0</v>
      </c>
      <c r="F106" s="1">
        <v>4.0</v>
      </c>
      <c r="G106" s="1">
        <v>0.25</v>
      </c>
      <c r="H106" s="1">
        <v>3.0</v>
      </c>
      <c r="I106" s="1">
        <v>-1.312683</v>
      </c>
      <c r="J106" s="1">
        <v>100.0</v>
      </c>
      <c r="K106" s="1">
        <v>0.0</v>
      </c>
      <c r="L106" s="1">
        <v>0.0</v>
      </c>
      <c r="M106" s="1">
        <v>98.150543</v>
      </c>
    </row>
    <row r="107">
      <c r="A107" s="1" t="s">
        <v>1024</v>
      </c>
      <c r="B107" s="1" t="s">
        <v>1025</v>
      </c>
      <c r="C107" s="1" t="str">
        <f>IFERROR(__xludf.DUMMYFUNCTION("IFERROR(REGEXEXTRACT(A107, ""res(269|122)""), ""none"")"),"122")</f>
        <v>122</v>
      </c>
      <c r="D107" s="1">
        <v>-15.384902</v>
      </c>
      <c r="E107" s="1">
        <v>10.0</v>
      </c>
      <c r="F107" s="1">
        <v>3.0</v>
      </c>
      <c r="G107" s="1">
        <v>0.4</v>
      </c>
      <c r="H107" s="1">
        <v>2.0</v>
      </c>
      <c r="I107" s="1">
        <v>-0.667675999999999</v>
      </c>
      <c r="J107" s="1">
        <v>100.0</v>
      </c>
      <c r="K107" s="1">
        <v>0.0</v>
      </c>
      <c r="L107" s="1">
        <v>0.0</v>
      </c>
      <c r="M107" s="1">
        <v>99.347422</v>
      </c>
    </row>
    <row r="108">
      <c r="A108" s="1" t="s">
        <v>243</v>
      </c>
      <c r="B108" s="1" t="s">
        <v>244</v>
      </c>
      <c r="C108" s="1" t="str">
        <f>IFERROR(__xludf.DUMMYFUNCTION("IFERROR(REGEXEXTRACT(A108, ""res(269|122)""), ""none"")"),"122")</f>
        <v>122</v>
      </c>
      <c r="D108" s="1">
        <v>-15.074335</v>
      </c>
      <c r="E108" s="1">
        <v>8.0</v>
      </c>
      <c r="F108" s="1">
        <v>3.0</v>
      </c>
      <c r="G108" s="1">
        <v>0.25</v>
      </c>
      <c r="H108" s="1">
        <v>3.0</v>
      </c>
      <c r="I108" s="1">
        <v>-2.102802</v>
      </c>
      <c r="J108" s="1">
        <v>100.0</v>
      </c>
      <c r="K108" s="1">
        <v>0.0</v>
      </c>
      <c r="L108" s="1">
        <v>0.0</v>
      </c>
      <c r="M108" s="1">
        <v>97.072863</v>
      </c>
    </row>
    <row r="109">
      <c r="A109" s="1" t="s">
        <v>1026</v>
      </c>
      <c r="B109" s="1" t="s">
        <v>1027</v>
      </c>
      <c r="C109" s="1" t="str">
        <f>IFERROR(__xludf.DUMMYFUNCTION("IFERROR(REGEXEXTRACT(A109, ""res(269|122)""), ""none"")"),"122")</f>
        <v>122</v>
      </c>
      <c r="D109" s="1">
        <v>-15.996958</v>
      </c>
      <c r="E109" s="1">
        <v>8.0</v>
      </c>
      <c r="F109" s="1">
        <v>4.0</v>
      </c>
      <c r="G109" s="1">
        <v>0.375</v>
      </c>
      <c r="H109" s="1">
        <v>2.0</v>
      </c>
      <c r="I109" s="1">
        <v>-0.877178</v>
      </c>
      <c r="J109" s="1">
        <v>100.0</v>
      </c>
      <c r="K109" s="1">
        <v>0.0</v>
      </c>
      <c r="L109" s="1">
        <v>0.0</v>
      </c>
      <c r="M109" s="1">
        <v>97.500864</v>
      </c>
    </row>
    <row r="110">
      <c r="A110" s="1" t="s">
        <v>1028</v>
      </c>
      <c r="B110" s="1" t="s">
        <v>1029</v>
      </c>
      <c r="C110" s="1" t="str">
        <f>IFERROR(__xludf.DUMMYFUNCTION("IFERROR(REGEXEXTRACT(A110, ""res(269|122)""), ""none"")"),"122")</f>
        <v>122</v>
      </c>
      <c r="D110" s="1">
        <v>-18.757266</v>
      </c>
      <c r="E110" s="1">
        <v>8.0</v>
      </c>
      <c r="F110" s="1">
        <v>4.0</v>
      </c>
      <c r="G110" s="1">
        <v>0.25</v>
      </c>
      <c r="H110" s="1">
        <v>2.0</v>
      </c>
      <c r="I110" s="1">
        <v>-1.539235</v>
      </c>
      <c r="J110" s="1">
        <v>100.0</v>
      </c>
      <c r="K110" s="1">
        <v>0.0</v>
      </c>
      <c r="L110" s="1">
        <v>0.0</v>
      </c>
      <c r="M110" s="1">
        <v>93.953499</v>
      </c>
    </row>
    <row r="111">
      <c r="A111" s="1" t="s">
        <v>245</v>
      </c>
      <c r="B111" s="1" t="s">
        <v>246</v>
      </c>
      <c r="C111" s="1" t="str">
        <f>IFERROR(__xludf.DUMMYFUNCTION("IFERROR(REGEXEXTRACT(A111, ""res(269|122)""), ""none"")"),"122")</f>
        <v>122</v>
      </c>
      <c r="D111" s="1">
        <v>-16.056932</v>
      </c>
      <c r="E111" s="1">
        <v>7.0</v>
      </c>
      <c r="F111" s="1">
        <v>3.0</v>
      </c>
      <c r="G111" s="1">
        <v>0.571429</v>
      </c>
      <c r="H111" s="1">
        <v>2.0</v>
      </c>
      <c r="I111" s="1">
        <v>-0.884192</v>
      </c>
      <c r="J111" s="1">
        <v>100.0</v>
      </c>
      <c r="K111" s="1">
        <v>0.0</v>
      </c>
      <c r="L111" s="1">
        <v>0.0</v>
      </c>
      <c r="M111" s="1">
        <v>95.630305</v>
      </c>
    </row>
    <row r="112">
      <c r="A112" s="1" t="s">
        <v>1030</v>
      </c>
      <c r="B112" s="1" t="s">
        <v>1031</v>
      </c>
      <c r="C112" s="1" t="str">
        <f>IFERROR(__xludf.DUMMYFUNCTION("IFERROR(REGEXEXTRACT(A112, ""res(269|122)""), ""none"")"),"122")</f>
        <v>122</v>
      </c>
      <c r="D112" s="1">
        <v>-15.904397</v>
      </c>
      <c r="E112" s="1">
        <v>12.0</v>
      </c>
      <c r="F112" s="1">
        <v>4.0</v>
      </c>
      <c r="G112" s="1">
        <v>0.333333</v>
      </c>
      <c r="H112" s="1">
        <v>2.0</v>
      </c>
      <c r="I112" s="1">
        <v>-1.18016599999999</v>
      </c>
      <c r="J112" s="1">
        <v>100.0</v>
      </c>
      <c r="K112" s="1">
        <v>0.0</v>
      </c>
      <c r="L112" s="1">
        <v>0.0</v>
      </c>
      <c r="M112" s="1">
        <v>101.24877</v>
      </c>
    </row>
    <row r="113">
      <c r="A113" s="1" t="s">
        <v>1032</v>
      </c>
      <c r="B113" s="1" t="s">
        <v>1033</v>
      </c>
      <c r="C113" s="1" t="str">
        <f>IFERROR(__xludf.DUMMYFUNCTION("IFERROR(REGEXEXTRACT(A113, ""res(269|122)""), ""none"")"),"122")</f>
        <v>122</v>
      </c>
      <c r="D113" s="1">
        <v>-15.533497</v>
      </c>
      <c r="E113" s="1">
        <v>9.0</v>
      </c>
      <c r="F113" s="1">
        <v>4.0</v>
      </c>
      <c r="G113" s="1">
        <v>0.444444</v>
      </c>
      <c r="H113" s="1">
        <v>2.0</v>
      </c>
      <c r="I113" s="1">
        <v>-1.43683</v>
      </c>
      <c r="J113" s="1">
        <v>100.0</v>
      </c>
      <c r="K113" s="1">
        <v>0.0</v>
      </c>
      <c r="L113" s="1">
        <v>0.0</v>
      </c>
      <c r="M113" s="1">
        <v>98.474117</v>
      </c>
    </row>
    <row r="114">
      <c r="A114" s="1" t="s">
        <v>247</v>
      </c>
      <c r="B114" s="1" t="s">
        <v>110</v>
      </c>
      <c r="C114" s="1" t="str">
        <f>IFERROR(__xludf.DUMMYFUNCTION("IFERROR(REGEXEXTRACT(A114, ""res(269|122)""), ""none"")"),"122")</f>
        <v>122</v>
      </c>
      <c r="D114" s="1">
        <v>-17.375967</v>
      </c>
      <c r="E114" s="1">
        <v>8.0</v>
      </c>
      <c r="F114" s="1">
        <v>3.0</v>
      </c>
      <c r="G114" s="1">
        <v>0.25</v>
      </c>
      <c r="H114" s="1">
        <v>2.0</v>
      </c>
      <c r="I114" s="1">
        <v>-1.320226</v>
      </c>
      <c r="J114" s="1">
        <v>100.0</v>
      </c>
      <c r="K114" s="1">
        <v>0.0</v>
      </c>
      <c r="L114" s="1">
        <v>0.0</v>
      </c>
      <c r="M114" s="1">
        <v>94.553807</v>
      </c>
    </row>
    <row r="115">
      <c r="A115" s="1" t="s">
        <v>1034</v>
      </c>
      <c r="B115" s="1" t="s">
        <v>1035</v>
      </c>
      <c r="C115" s="1" t="str">
        <f>IFERROR(__xludf.DUMMYFUNCTION("IFERROR(REGEXEXTRACT(A115, ""res(269|122)""), ""none"")"),"122")</f>
        <v>122</v>
      </c>
      <c r="D115" s="1">
        <v>-15.652489</v>
      </c>
      <c r="E115" s="1">
        <v>7.0</v>
      </c>
      <c r="F115" s="1">
        <v>3.0</v>
      </c>
      <c r="G115" s="1">
        <v>0.285714</v>
      </c>
      <c r="H115" s="1">
        <v>2.0</v>
      </c>
      <c r="I115" s="1">
        <v>-1.224364</v>
      </c>
      <c r="J115" s="1">
        <v>100.0</v>
      </c>
      <c r="K115" s="1">
        <v>0.0</v>
      </c>
      <c r="L115" s="1">
        <v>0.0</v>
      </c>
      <c r="M115" s="1">
        <v>95.408861</v>
      </c>
    </row>
    <row r="116">
      <c r="A116" s="1" t="s">
        <v>1036</v>
      </c>
      <c r="B116" s="1" t="s">
        <v>1037</v>
      </c>
      <c r="C116" s="1" t="str">
        <f>IFERROR(__xludf.DUMMYFUNCTION("IFERROR(REGEXEXTRACT(A116, ""res(269|122)""), ""none"")"),"122")</f>
        <v>122</v>
      </c>
      <c r="D116" s="1">
        <v>-15.041809</v>
      </c>
      <c r="E116" s="1">
        <v>8.0</v>
      </c>
      <c r="F116" s="1">
        <v>3.0</v>
      </c>
      <c r="G116" s="1">
        <v>0.375</v>
      </c>
      <c r="H116" s="1">
        <v>2.0</v>
      </c>
      <c r="I116" s="1">
        <v>-1.245626</v>
      </c>
      <c r="J116" s="1">
        <v>100.0</v>
      </c>
      <c r="K116" s="1">
        <v>0.0</v>
      </c>
      <c r="L116" s="1">
        <v>0.0</v>
      </c>
      <c r="M116" s="1">
        <v>97.087565</v>
      </c>
    </row>
    <row r="117">
      <c r="A117" s="1" t="s">
        <v>1038</v>
      </c>
      <c r="B117" s="1" t="s">
        <v>1039</v>
      </c>
      <c r="C117" s="1" t="str">
        <f>IFERROR(__xludf.DUMMYFUNCTION("IFERROR(REGEXEXTRACT(A117, ""res(269|122)""), ""none"")"),"122")</f>
        <v>122</v>
      </c>
      <c r="D117" s="1">
        <v>-19.051158</v>
      </c>
      <c r="E117" s="1">
        <v>12.0</v>
      </c>
      <c r="F117" s="1">
        <v>3.0</v>
      </c>
      <c r="G117" s="1">
        <v>0.416667</v>
      </c>
      <c r="H117" s="1">
        <v>2.0</v>
      </c>
      <c r="I117" s="1">
        <v>-1.48236</v>
      </c>
      <c r="J117" s="1">
        <v>100.0</v>
      </c>
      <c r="K117" s="1">
        <v>0.0</v>
      </c>
      <c r="L117" s="1">
        <v>0.0</v>
      </c>
      <c r="M117" s="1">
        <v>96.883149</v>
      </c>
    </row>
    <row r="118">
      <c r="A118" s="1" t="s">
        <v>1040</v>
      </c>
      <c r="B118" s="1" t="s">
        <v>1041</v>
      </c>
      <c r="C118" s="1" t="str">
        <f>IFERROR(__xludf.DUMMYFUNCTION("IFERROR(REGEXEXTRACT(A118, ""res(269|122)""), ""none"")"),"122")</f>
        <v>122</v>
      </c>
      <c r="D118" s="1">
        <v>-15.417922</v>
      </c>
      <c r="E118" s="1">
        <v>10.0</v>
      </c>
      <c r="F118" s="1">
        <v>4.0</v>
      </c>
      <c r="G118" s="1">
        <v>0.3</v>
      </c>
      <c r="H118" s="1">
        <v>2.0</v>
      </c>
      <c r="I118" s="1">
        <v>-1.29702</v>
      </c>
      <c r="J118" s="1">
        <v>100.0</v>
      </c>
      <c r="K118" s="1">
        <v>0.0</v>
      </c>
      <c r="L118" s="1">
        <v>0.0</v>
      </c>
      <c r="M118" s="1">
        <v>99.585058</v>
      </c>
    </row>
    <row r="119">
      <c r="A119" s="1" t="s">
        <v>248</v>
      </c>
      <c r="B119" s="1" t="s">
        <v>249</v>
      </c>
      <c r="C119" s="1" t="str">
        <f>IFERROR(__xludf.DUMMYFUNCTION("IFERROR(REGEXEXTRACT(A119, ""res(269|122)""), ""none"")"),"122")</f>
        <v>122</v>
      </c>
      <c r="D119" s="1">
        <v>-17.093997</v>
      </c>
      <c r="E119" s="1">
        <v>10.0</v>
      </c>
      <c r="F119" s="1">
        <v>3.0</v>
      </c>
      <c r="G119" s="1">
        <v>0.3</v>
      </c>
      <c r="H119" s="1">
        <v>2.0</v>
      </c>
      <c r="I119" s="1">
        <v>-0.77841</v>
      </c>
      <c r="J119" s="1">
        <v>100.0</v>
      </c>
      <c r="K119" s="1">
        <v>0.0</v>
      </c>
      <c r="L119" s="1">
        <v>0.0</v>
      </c>
      <c r="M119" s="1">
        <v>97.427593</v>
      </c>
    </row>
    <row r="120">
      <c r="A120" s="1" t="s">
        <v>1042</v>
      </c>
      <c r="B120" s="1" t="s">
        <v>1043</v>
      </c>
      <c r="C120" s="1" t="str">
        <f>IFERROR(__xludf.DUMMYFUNCTION("IFERROR(REGEXEXTRACT(A120, ""res(269|122)""), ""none"")"),"122")</f>
        <v>122</v>
      </c>
      <c r="D120" s="1">
        <v>-15.379389</v>
      </c>
      <c r="E120" s="1">
        <v>8.0</v>
      </c>
      <c r="F120" s="1">
        <v>3.0</v>
      </c>
      <c r="G120" s="1">
        <v>0.375</v>
      </c>
      <c r="H120" s="1">
        <v>2.0</v>
      </c>
      <c r="I120" s="1">
        <v>-1.234147</v>
      </c>
      <c r="J120" s="1">
        <v>100.0</v>
      </c>
      <c r="K120" s="1">
        <v>0.0</v>
      </c>
      <c r="L120" s="1">
        <v>0.0</v>
      </c>
      <c r="M120" s="1">
        <v>96.761464</v>
      </c>
    </row>
    <row r="121">
      <c r="A121" s="1" t="s">
        <v>250</v>
      </c>
      <c r="B121" s="1" t="s">
        <v>65</v>
      </c>
      <c r="C121" s="1" t="str">
        <f>IFERROR(__xludf.DUMMYFUNCTION("IFERROR(REGEXEXTRACT(A121, ""res(269|122)""), ""none"")"),"122")</f>
        <v>122</v>
      </c>
      <c r="D121" s="1">
        <v>-17.086206</v>
      </c>
      <c r="E121" s="1">
        <v>7.0</v>
      </c>
      <c r="F121" s="1">
        <v>4.0</v>
      </c>
      <c r="G121" s="1">
        <v>0.285714</v>
      </c>
      <c r="H121" s="1">
        <v>3.0</v>
      </c>
      <c r="I121" s="1">
        <v>-1.038701</v>
      </c>
      <c r="J121" s="1">
        <v>100.0</v>
      </c>
      <c r="K121" s="1">
        <v>0.0</v>
      </c>
      <c r="L121" s="1">
        <v>0.0</v>
      </c>
      <c r="M121" s="1">
        <v>96.160807</v>
      </c>
    </row>
    <row r="122">
      <c r="A122" s="1" t="s">
        <v>251</v>
      </c>
      <c r="B122" s="1" t="s">
        <v>69</v>
      </c>
      <c r="C122" s="1" t="str">
        <f>IFERROR(__xludf.DUMMYFUNCTION("IFERROR(REGEXEXTRACT(A122, ""res(269|122)""), ""none"")"),"122")</f>
        <v>122</v>
      </c>
      <c r="D122" s="1">
        <v>-15.386234</v>
      </c>
      <c r="E122" s="1">
        <v>11.0</v>
      </c>
      <c r="F122" s="1">
        <v>4.0</v>
      </c>
      <c r="G122" s="1">
        <v>0.454545</v>
      </c>
      <c r="H122" s="1">
        <v>2.0</v>
      </c>
      <c r="I122" s="1">
        <v>-0.508212</v>
      </c>
      <c r="J122" s="1">
        <v>100.0</v>
      </c>
      <c r="K122" s="1">
        <v>0.0</v>
      </c>
      <c r="L122" s="1">
        <v>0.0</v>
      </c>
      <c r="M122" s="1">
        <v>101.560099</v>
      </c>
    </row>
    <row r="123">
      <c r="A123" s="1" t="s">
        <v>252</v>
      </c>
      <c r="B123" s="1" t="s">
        <v>114</v>
      </c>
      <c r="C123" s="1" t="str">
        <f>IFERROR(__xludf.DUMMYFUNCTION("IFERROR(REGEXEXTRACT(A123, ""res(269|122)""), ""none"")"),"122")</f>
        <v>122</v>
      </c>
      <c r="D123" s="1">
        <v>-16.231911</v>
      </c>
      <c r="E123" s="1">
        <v>12.0</v>
      </c>
      <c r="F123" s="1">
        <v>2.0</v>
      </c>
      <c r="G123" s="1">
        <v>0.25</v>
      </c>
      <c r="H123" s="1">
        <v>2.0</v>
      </c>
      <c r="I123" s="1">
        <v>-0.38947</v>
      </c>
      <c r="J123" s="1">
        <v>100.0</v>
      </c>
      <c r="K123" s="1">
        <v>0.0</v>
      </c>
      <c r="L123" s="1">
        <v>0.0</v>
      </c>
      <c r="M123" s="1">
        <v>99.628619</v>
      </c>
    </row>
    <row r="124">
      <c r="A124" s="1" t="s">
        <v>253</v>
      </c>
      <c r="B124" s="1" t="s">
        <v>254</v>
      </c>
      <c r="C124" s="1" t="str">
        <f>IFERROR(__xludf.DUMMYFUNCTION("IFERROR(REGEXEXTRACT(A124, ""res(269|122)""), ""none"")"),"122")</f>
        <v>122</v>
      </c>
      <c r="D124" s="1">
        <v>-15.527357</v>
      </c>
      <c r="E124" s="1">
        <v>8.0</v>
      </c>
      <c r="F124" s="1">
        <v>3.0</v>
      </c>
      <c r="G124" s="1">
        <v>0.25</v>
      </c>
      <c r="H124" s="1">
        <v>2.0</v>
      </c>
      <c r="I124" s="1">
        <v>-0.966032</v>
      </c>
      <c r="J124" s="1">
        <v>100.0</v>
      </c>
      <c r="K124" s="1">
        <v>0.0</v>
      </c>
      <c r="L124" s="1">
        <v>0.0</v>
      </c>
      <c r="M124" s="1">
        <v>96.756611</v>
      </c>
    </row>
    <row r="125">
      <c r="A125" s="1" t="s">
        <v>1044</v>
      </c>
      <c r="B125" s="1" t="s">
        <v>1045</v>
      </c>
      <c r="C125" s="1" t="str">
        <f>IFERROR(__xludf.DUMMYFUNCTION("IFERROR(REGEXEXTRACT(A125, ""res(269|122)""), ""none"")"),"122")</f>
        <v>122</v>
      </c>
      <c r="D125" s="1">
        <v>-15.952925</v>
      </c>
      <c r="E125" s="1">
        <v>11.0</v>
      </c>
      <c r="F125" s="1">
        <v>4.0</v>
      </c>
      <c r="G125" s="1">
        <v>0.272727</v>
      </c>
      <c r="H125" s="1">
        <v>3.0</v>
      </c>
      <c r="I125" s="1">
        <v>-1.559703</v>
      </c>
      <c r="J125" s="1">
        <v>100.0</v>
      </c>
      <c r="K125" s="1">
        <v>0.0</v>
      </c>
      <c r="L125" s="1">
        <v>0.0</v>
      </c>
      <c r="M125" s="1">
        <v>100.760099</v>
      </c>
    </row>
    <row r="126">
      <c r="A126" s="1" t="s">
        <v>1046</v>
      </c>
      <c r="B126" s="1" t="s">
        <v>1047</v>
      </c>
      <c r="C126" s="1" t="str">
        <f>IFERROR(__xludf.DUMMYFUNCTION("IFERROR(REGEXEXTRACT(A126, ""res(269|122)""), ""none"")"),"122")</f>
        <v>122</v>
      </c>
      <c r="D126" s="1">
        <v>-16.345306</v>
      </c>
      <c r="E126" s="1">
        <v>6.0</v>
      </c>
      <c r="F126" s="1">
        <v>2.0</v>
      </c>
      <c r="G126" s="1">
        <v>0.333333</v>
      </c>
      <c r="H126" s="1">
        <v>2.0</v>
      </c>
      <c r="I126" s="1">
        <v>-1.398216</v>
      </c>
      <c r="J126" s="1">
        <v>100.0</v>
      </c>
      <c r="K126" s="1">
        <v>0.0</v>
      </c>
      <c r="L126" s="1">
        <v>0.0</v>
      </c>
      <c r="M126" s="1">
        <v>92.589811</v>
      </c>
    </row>
    <row r="127">
      <c r="A127" s="1" t="s">
        <v>1048</v>
      </c>
      <c r="B127" s="1" t="s">
        <v>1049</v>
      </c>
      <c r="C127" s="1" t="str">
        <f>IFERROR(__xludf.DUMMYFUNCTION("IFERROR(REGEXEXTRACT(A127, ""res(269|122)""), ""none"")"),"122")</f>
        <v>122</v>
      </c>
      <c r="D127" s="1">
        <v>-15.497532</v>
      </c>
      <c r="E127" s="1">
        <v>11.0</v>
      </c>
      <c r="F127" s="1">
        <v>4.0</v>
      </c>
      <c r="G127" s="1">
        <v>0.363636</v>
      </c>
      <c r="H127" s="1">
        <v>2.0</v>
      </c>
      <c r="I127" s="1">
        <v>-1.243276</v>
      </c>
      <c r="J127" s="1">
        <v>100.0</v>
      </c>
      <c r="K127" s="1">
        <v>0.0</v>
      </c>
      <c r="L127" s="1">
        <v>0.0</v>
      </c>
      <c r="M127" s="1">
        <v>100.622828</v>
      </c>
    </row>
    <row r="128">
      <c r="A128" s="1" t="s">
        <v>255</v>
      </c>
      <c r="B128" s="1" t="s">
        <v>256</v>
      </c>
      <c r="C128" s="1" t="str">
        <f>IFERROR(__xludf.DUMMYFUNCTION("IFERROR(REGEXEXTRACT(A128, ""res(269|122)""), ""none"")"),"122")</f>
        <v>122</v>
      </c>
      <c r="D128" s="1">
        <v>-15.777823</v>
      </c>
      <c r="E128" s="1">
        <v>9.0</v>
      </c>
      <c r="F128" s="1">
        <v>4.0</v>
      </c>
      <c r="G128" s="1">
        <v>0.333333</v>
      </c>
      <c r="H128" s="1">
        <v>2.0</v>
      </c>
      <c r="I128" s="1">
        <v>-1.671146</v>
      </c>
      <c r="J128" s="1">
        <v>100.0</v>
      </c>
      <c r="K128" s="1">
        <v>0.0</v>
      </c>
      <c r="L128" s="1">
        <v>0.0</v>
      </c>
      <c r="M128" s="1">
        <v>97.884364</v>
      </c>
    </row>
    <row r="129">
      <c r="A129" s="1" t="s">
        <v>1050</v>
      </c>
      <c r="B129" s="1" t="s">
        <v>1051</v>
      </c>
      <c r="C129" s="1" t="str">
        <f>IFERROR(__xludf.DUMMYFUNCTION("IFERROR(REGEXEXTRACT(A129, ""res(269|122)""), ""none"")"),"122")</f>
        <v>122</v>
      </c>
      <c r="D129" s="1">
        <v>-15.111201</v>
      </c>
      <c r="E129" s="1">
        <v>9.0</v>
      </c>
      <c r="F129" s="1">
        <v>4.0</v>
      </c>
      <c r="G129" s="1">
        <v>0.444444</v>
      </c>
      <c r="H129" s="1">
        <v>2.0</v>
      </c>
      <c r="I129" s="1">
        <v>-0.653188999999999</v>
      </c>
      <c r="J129" s="1">
        <v>100.0</v>
      </c>
      <c r="K129" s="1">
        <v>0.0</v>
      </c>
      <c r="L129" s="1">
        <v>0.0</v>
      </c>
      <c r="M129" s="1">
        <v>99.680054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25"/>
  </cols>
  <sheetData>
    <row r="1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</row>
    <row r="2">
      <c r="A2" s="1" t="s">
        <v>430</v>
      </c>
      <c r="B2" s="1" t="s">
        <v>431</v>
      </c>
      <c r="C2" s="1" t="str">
        <f>IFERROR(__xludf.DUMMYFUNCTION("IFERROR(REGEXEXTRACT(A2, ""res(269|122)""), ""none"")"),"269")</f>
        <v>269</v>
      </c>
      <c r="D2" s="1">
        <v>-15.73021</v>
      </c>
      <c r="E2" s="1">
        <v>8.0</v>
      </c>
      <c r="F2" s="1">
        <v>2.0</v>
      </c>
      <c r="G2" s="1">
        <v>0.25</v>
      </c>
      <c r="H2" s="1">
        <v>2.0</v>
      </c>
      <c r="I2" s="1">
        <v>-0.653344</v>
      </c>
      <c r="J2" s="1">
        <v>100.0</v>
      </c>
      <c r="K2" s="1">
        <v>0.0</v>
      </c>
      <c r="L2" s="1">
        <v>0.0</v>
      </c>
      <c r="M2" s="1">
        <v>95.866446</v>
      </c>
    </row>
    <row r="3">
      <c r="A3" s="1" t="s">
        <v>257</v>
      </c>
      <c r="B3" s="1" t="s">
        <v>117</v>
      </c>
      <c r="C3" s="1" t="str">
        <f>IFERROR(__xludf.DUMMYFUNCTION("IFERROR(REGEXEXTRACT(A3, ""res(269|122)""), ""none"")"),"269")</f>
        <v>269</v>
      </c>
      <c r="D3" s="1">
        <v>-16.620105</v>
      </c>
      <c r="E3" s="1">
        <v>12.0</v>
      </c>
      <c r="F3" s="1">
        <v>3.0</v>
      </c>
      <c r="G3" s="1">
        <v>0.416667</v>
      </c>
      <c r="H3" s="1">
        <v>2.0</v>
      </c>
      <c r="I3" s="1">
        <v>-0.664324</v>
      </c>
      <c r="J3" s="1">
        <v>100.0</v>
      </c>
      <c r="K3" s="1">
        <v>0.0</v>
      </c>
      <c r="L3" s="1">
        <v>0.0</v>
      </c>
      <c r="M3" s="1">
        <v>100.132238</v>
      </c>
    </row>
    <row r="4">
      <c r="A4" s="1" t="s">
        <v>258</v>
      </c>
      <c r="B4" s="1" t="s">
        <v>259</v>
      </c>
      <c r="C4" s="1" t="str">
        <f>IFERROR(__xludf.DUMMYFUNCTION("IFERROR(REGEXEXTRACT(A4, ""res(269|122)""), ""none"")"),"269")</f>
        <v>269</v>
      </c>
      <c r="D4" s="1">
        <v>-16.020646</v>
      </c>
      <c r="E4" s="1">
        <v>9.0</v>
      </c>
      <c r="F4" s="1">
        <v>1.0</v>
      </c>
      <c r="G4" s="1">
        <v>0.333333</v>
      </c>
      <c r="H4" s="1">
        <v>3.0</v>
      </c>
      <c r="I4" s="1">
        <v>-2.057194</v>
      </c>
      <c r="J4" s="1">
        <v>100.0</v>
      </c>
      <c r="K4" s="1">
        <v>0.0</v>
      </c>
      <c r="L4" s="1">
        <v>0.0</v>
      </c>
      <c r="M4" s="1">
        <v>95.255493</v>
      </c>
    </row>
    <row r="5">
      <c r="A5" s="1" t="s">
        <v>260</v>
      </c>
      <c r="B5" s="1" t="s">
        <v>261</v>
      </c>
      <c r="C5" s="1" t="str">
        <f>IFERROR(__xludf.DUMMYFUNCTION("IFERROR(REGEXEXTRACT(A5, ""res(269|122)""), ""none"")"),"269")</f>
        <v>269</v>
      </c>
      <c r="D5" s="1">
        <v>-16.416697</v>
      </c>
      <c r="E5" s="1">
        <v>9.0</v>
      </c>
      <c r="F5" s="1">
        <v>1.0</v>
      </c>
      <c r="G5" s="1">
        <v>0.333333</v>
      </c>
      <c r="H5" s="1">
        <v>3.0</v>
      </c>
      <c r="I5" s="1">
        <v>-2.107731</v>
      </c>
      <c r="J5" s="1">
        <v>100.0</v>
      </c>
      <c r="K5" s="1">
        <v>0.0</v>
      </c>
      <c r="L5" s="1">
        <v>0.0</v>
      </c>
      <c r="M5" s="1">
        <v>94.808905</v>
      </c>
    </row>
    <row r="6">
      <c r="A6" s="1" t="s">
        <v>432</v>
      </c>
      <c r="B6" s="1" t="s">
        <v>433</v>
      </c>
      <c r="C6" s="1" t="str">
        <f>IFERROR(__xludf.DUMMYFUNCTION("IFERROR(REGEXEXTRACT(A6, ""res(269|122)""), ""none"")"),"269")</f>
        <v>269</v>
      </c>
      <c r="D6" s="1">
        <v>-15.147452</v>
      </c>
      <c r="E6" s="1">
        <v>8.0</v>
      </c>
      <c r="F6" s="1">
        <v>1.0</v>
      </c>
      <c r="G6" s="1">
        <v>0.25</v>
      </c>
      <c r="H6" s="1">
        <v>2.0</v>
      </c>
      <c r="I6" s="1">
        <v>-0.294954999999999</v>
      </c>
      <c r="J6" s="1">
        <v>100.0</v>
      </c>
      <c r="K6" s="1">
        <v>0.0</v>
      </c>
      <c r="L6" s="1">
        <v>0.0</v>
      </c>
      <c r="M6" s="1">
        <v>95.807593</v>
      </c>
    </row>
    <row r="7">
      <c r="A7" s="1" t="s">
        <v>434</v>
      </c>
      <c r="B7" s="1" t="s">
        <v>435</v>
      </c>
      <c r="C7" s="1" t="str">
        <f>IFERROR(__xludf.DUMMYFUNCTION("IFERROR(REGEXEXTRACT(A7, ""res(269|122)""), ""none"")"),"269")</f>
        <v>269</v>
      </c>
      <c r="D7" s="1">
        <v>-15.389501</v>
      </c>
      <c r="E7" s="1">
        <v>6.0</v>
      </c>
      <c r="F7" s="1">
        <v>2.0</v>
      </c>
      <c r="G7" s="1">
        <v>0.333333</v>
      </c>
      <c r="H7" s="1">
        <v>2.0</v>
      </c>
      <c r="I7" s="1">
        <v>-0.471907</v>
      </c>
      <c r="J7" s="1">
        <v>100.0</v>
      </c>
      <c r="K7" s="1">
        <v>0.0</v>
      </c>
      <c r="L7" s="1">
        <v>0.0</v>
      </c>
      <c r="M7" s="1">
        <v>94.471925</v>
      </c>
    </row>
    <row r="8">
      <c r="A8" s="1" t="s">
        <v>262</v>
      </c>
      <c r="B8" s="1" t="s">
        <v>74</v>
      </c>
      <c r="C8" s="1" t="str">
        <f>IFERROR(__xludf.DUMMYFUNCTION("IFERROR(REGEXEXTRACT(A8, ""res(269|122)""), ""none"")"),"269")</f>
        <v>269</v>
      </c>
      <c r="D8" s="1">
        <v>-15.124595</v>
      </c>
      <c r="E8" s="1">
        <v>8.0</v>
      </c>
      <c r="F8" s="1">
        <v>5.0</v>
      </c>
      <c r="G8" s="1">
        <v>0.375</v>
      </c>
      <c r="H8" s="1">
        <v>2.0</v>
      </c>
      <c r="I8" s="1">
        <v>-0.84012</v>
      </c>
      <c r="J8" s="1">
        <v>100.0</v>
      </c>
      <c r="K8" s="1">
        <v>0.0</v>
      </c>
      <c r="L8" s="1">
        <v>0.0</v>
      </c>
      <c r="M8" s="1">
        <v>99.410285</v>
      </c>
    </row>
    <row r="9">
      <c r="A9" s="1" t="s">
        <v>436</v>
      </c>
      <c r="B9" s="1" t="s">
        <v>437</v>
      </c>
      <c r="C9" s="1" t="str">
        <f>IFERROR(__xludf.DUMMYFUNCTION("IFERROR(REGEXEXTRACT(A9, ""res(269|122)""), ""none"")"),"269")</f>
        <v>269</v>
      </c>
      <c r="D9" s="1">
        <v>-15.107329</v>
      </c>
      <c r="E9" s="1">
        <v>8.0</v>
      </c>
      <c r="F9" s="1">
        <v>3.0</v>
      </c>
      <c r="G9" s="1">
        <v>0.25</v>
      </c>
      <c r="H9" s="1">
        <v>2.0</v>
      </c>
      <c r="I9" s="1">
        <v>-0.715002</v>
      </c>
      <c r="J9" s="1">
        <v>100.0</v>
      </c>
      <c r="K9" s="1">
        <v>0.0</v>
      </c>
      <c r="L9" s="1">
        <v>0.0</v>
      </c>
      <c r="M9" s="1">
        <v>97.427669</v>
      </c>
    </row>
    <row r="10">
      <c r="A10" s="1" t="s">
        <v>438</v>
      </c>
      <c r="B10" s="1" t="s">
        <v>439</v>
      </c>
      <c r="C10" s="1" t="str">
        <f>IFERROR(__xludf.DUMMYFUNCTION("IFERROR(REGEXEXTRACT(A10, ""res(269|122)""), ""none"")"),"269")</f>
        <v>269</v>
      </c>
      <c r="D10" s="1">
        <v>-16.347377</v>
      </c>
      <c r="E10" s="1">
        <v>7.0</v>
      </c>
      <c r="F10" s="1">
        <v>3.0</v>
      </c>
      <c r="G10" s="1">
        <v>0.428571</v>
      </c>
      <c r="H10" s="1">
        <v>2.0</v>
      </c>
      <c r="I10" s="1">
        <v>-1.047751</v>
      </c>
      <c r="J10" s="1">
        <v>100.0</v>
      </c>
      <c r="K10" s="1">
        <v>0.0</v>
      </c>
      <c r="L10" s="1">
        <v>0.0</v>
      </c>
      <c r="M10" s="1">
        <v>95.033443</v>
      </c>
    </row>
    <row r="11">
      <c r="A11" s="1" t="s">
        <v>440</v>
      </c>
      <c r="B11" s="1" t="s">
        <v>441</v>
      </c>
      <c r="C11" s="1" t="str">
        <f>IFERROR(__xludf.DUMMYFUNCTION("IFERROR(REGEXEXTRACT(A11, ""res(269|122)""), ""none"")"),"269")</f>
        <v>269</v>
      </c>
      <c r="D11" s="1">
        <v>-15.526661</v>
      </c>
      <c r="E11" s="1">
        <v>6.0</v>
      </c>
      <c r="F11" s="1">
        <v>4.0</v>
      </c>
      <c r="G11" s="1">
        <v>0.333333</v>
      </c>
      <c r="H11" s="1">
        <v>2.0</v>
      </c>
      <c r="I11" s="1">
        <v>-0.878894</v>
      </c>
      <c r="J11" s="1">
        <v>100.0</v>
      </c>
      <c r="K11" s="1">
        <v>0.0</v>
      </c>
      <c r="L11" s="1">
        <v>0.0</v>
      </c>
      <c r="M11" s="1">
        <v>95.927778</v>
      </c>
    </row>
    <row r="12">
      <c r="A12" s="1" t="s">
        <v>263</v>
      </c>
      <c r="B12" s="1" t="s">
        <v>264</v>
      </c>
      <c r="C12" s="1" t="str">
        <f>IFERROR(__xludf.DUMMYFUNCTION("IFERROR(REGEXEXTRACT(A12, ""res(269|122)""), ""none"")"),"269")</f>
        <v>269</v>
      </c>
      <c r="D12" s="1">
        <v>-15.247766</v>
      </c>
      <c r="E12" s="1">
        <v>6.0</v>
      </c>
      <c r="F12" s="1">
        <v>2.0</v>
      </c>
      <c r="G12" s="1">
        <v>0.333333</v>
      </c>
      <c r="H12" s="1">
        <v>3.0</v>
      </c>
      <c r="I12" s="1">
        <v>-1.003179</v>
      </c>
      <c r="J12" s="1">
        <v>100.0</v>
      </c>
      <c r="K12" s="1">
        <v>0.0</v>
      </c>
      <c r="L12" s="1">
        <v>0.0</v>
      </c>
      <c r="M12" s="1">
        <v>95.082388</v>
      </c>
    </row>
    <row r="13">
      <c r="A13" s="1" t="s">
        <v>265</v>
      </c>
      <c r="B13" s="1" t="s">
        <v>120</v>
      </c>
      <c r="C13" s="1" t="str">
        <f>IFERROR(__xludf.DUMMYFUNCTION("IFERROR(REGEXEXTRACT(A13, ""res(269|122)""), ""none"")"),"269")</f>
        <v>269</v>
      </c>
      <c r="D13" s="1">
        <v>-15.234041</v>
      </c>
      <c r="E13" s="1">
        <v>8.0</v>
      </c>
      <c r="F13" s="1">
        <v>3.0</v>
      </c>
      <c r="G13" s="1">
        <v>0.25</v>
      </c>
      <c r="H13" s="1">
        <v>3.0</v>
      </c>
      <c r="I13" s="1">
        <v>-0.552818</v>
      </c>
      <c r="J13" s="1">
        <v>100.0</v>
      </c>
      <c r="K13" s="1">
        <v>0.0</v>
      </c>
      <c r="L13" s="1">
        <v>0.0</v>
      </c>
      <c r="M13" s="1">
        <v>98.463141</v>
      </c>
    </row>
    <row r="14">
      <c r="A14" s="1" t="s">
        <v>266</v>
      </c>
      <c r="B14" s="1" t="s">
        <v>77</v>
      </c>
      <c r="C14" s="1" t="str">
        <f>IFERROR(__xludf.DUMMYFUNCTION("IFERROR(REGEXEXTRACT(A14, ""res(269|122)""), ""none"")"),"269")</f>
        <v>269</v>
      </c>
      <c r="D14" s="1">
        <v>-15.196061</v>
      </c>
      <c r="E14" s="1">
        <v>7.0</v>
      </c>
      <c r="F14" s="1">
        <v>2.0</v>
      </c>
      <c r="G14" s="1">
        <v>0.285714</v>
      </c>
      <c r="H14" s="1">
        <v>2.0</v>
      </c>
      <c r="I14" s="1">
        <v>-1.471521</v>
      </c>
      <c r="J14" s="1">
        <v>100.0</v>
      </c>
      <c r="K14" s="1">
        <v>0.0</v>
      </c>
      <c r="L14" s="1">
        <v>0.0</v>
      </c>
      <c r="M14" s="1">
        <v>94.618132</v>
      </c>
    </row>
    <row r="15">
      <c r="A15" s="1" t="s">
        <v>442</v>
      </c>
      <c r="B15" s="1" t="s">
        <v>443</v>
      </c>
      <c r="C15" s="1" t="str">
        <f>IFERROR(__xludf.DUMMYFUNCTION("IFERROR(REGEXEXTRACT(A15, ""res(269|122)""), ""none"")"),"269")</f>
        <v>269</v>
      </c>
      <c r="D15" s="1">
        <v>-15.140799</v>
      </c>
      <c r="E15" s="1">
        <v>6.0</v>
      </c>
      <c r="F15" s="1">
        <v>2.0</v>
      </c>
      <c r="G15" s="1">
        <v>0.333333</v>
      </c>
      <c r="H15" s="1">
        <v>2.0</v>
      </c>
      <c r="I15" s="1">
        <v>-0.893388</v>
      </c>
      <c r="J15" s="1">
        <v>100.0</v>
      </c>
      <c r="K15" s="1">
        <v>0.0</v>
      </c>
      <c r="L15" s="1">
        <v>0.0</v>
      </c>
      <c r="M15" s="1">
        <v>94.299146</v>
      </c>
    </row>
    <row r="16">
      <c r="A16" s="1" t="s">
        <v>444</v>
      </c>
      <c r="B16" s="1" t="s">
        <v>445</v>
      </c>
      <c r="C16" s="1" t="str">
        <f>IFERROR(__xludf.DUMMYFUNCTION("IFERROR(REGEXEXTRACT(A16, ""res(269|122)""), ""none"")"),"269")</f>
        <v>269</v>
      </c>
      <c r="D16" s="1">
        <v>-15.673892</v>
      </c>
      <c r="E16" s="1">
        <v>6.0</v>
      </c>
      <c r="F16" s="1">
        <v>4.0</v>
      </c>
      <c r="G16" s="1">
        <v>0.5</v>
      </c>
      <c r="H16" s="1">
        <v>2.0</v>
      </c>
      <c r="I16" s="1">
        <v>-0.675629</v>
      </c>
      <c r="J16" s="1">
        <v>100.0</v>
      </c>
      <c r="K16" s="1">
        <v>0.0</v>
      </c>
      <c r="L16" s="1">
        <v>0.0</v>
      </c>
      <c r="M16" s="1">
        <v>96.150479</v>
      </c>
    </row>
    <row r="17">
      <c r="A17" s="1" t="s">
        <v>267</v>
      </c>
      <c r="B17" s="1" t="s">
        <v>268</v>
      </c>
      <c r="C17" s="1" t="str">
        <f>IFERROR(__xludf.DUMMYFUNCTION("IFERROR(REGEXEXTRACT(A17, ""res(269|122)""), ""none"")"),"269")</f>
        <v>269</v>
      </c>
      <c r="D17" s="1">
        <v>-15.475748</v>
      </c>
      <c r="E17" s="1">
        <v>11.0</v>
      </c>
      <c r="F17" s="1">
        <v>1.0</v>
      </c>
      <c r="G17" s="1">
        <v>0.272727</v>
      </c>
      <c r="H17" s="1">
        <v>2.0</v>
      </c>
      <c r="I17" s="1">
        <v>-0.318571</v>
      </c>
      <c r="J17" s="1">
        <v>100.0</v>
      </c>
      <c r="K17" s="1">
        <v>0.0</v>
      </c>
      <c r="L17" s="1">
        <v>0.0</v>
      </c>
      <c r="M17" s="1">
        <v>98.478408</v>
      </c>
    </row>
    <row r="18">
      <c r="A18" s="1" t="s">
        <v>446</v>
      </c>
      <c r="B18" s="1" t="s">
        <v>447</v>
      </c>
      <c r="C18" s="1" t="str">
        <f>IFERROR(__xludf.DUMMYFUNCTION("IFERROR(REGEXEXTRACT(A18, ""res(269|122)""), ""none"")"),"269")</f>
        <v>269</v>
      </c>
      <c r="D18" s="1">
        <v>-15.850201</v>
      </c>
      <c r="E18" s="1">
        <v>7.0</v>
      </c>
      <c r="F18" s="1">
        <v>2.0</v>
      </c>
      <c r="G18" s="1">
        <v>0.285714</v>
      </c>
      <c r="H18" s="1">
        <v>2.0</v>
      </c>
      <c r="I18" s="1">
        <v>-0.774898</v>
      </c>
      <c r="J18" s="1">
        <v>100.0</v>
      </c>
      <c r="K18" s="1">
        <v>0.0</v>
      </c>
      <c r="L18" s="1">
        <v>0.0</v>
      </c>
      <c r="M18" s="1">
        <v>94.660615</v>
      </c>
    </row>
    <row r="19">
      <c r="A19" s="1" t="s">
        <v>269</v>
      </c>
      <c r="B19" s="1" t="s">
        <v>270</v>
      </c>
      <c r="C19" s="1" t="str">
        <f>IFERROR(__xludf.DUMMYFUNCTION("IFERROR(REGEXEXTRACT(A19, ""res(269|122)""), ""none"")"),"269")</f>
        <v>269</v>
      </c>
      <c r="D19" s="1">
        <v>-15.217109</v>
      </c>
      <c r="E19" s="1">
        <v>8.0</v>
      </c>
      <c r="F19" s="1">
        <v>2.0</v>
      </c>
      <c r="G19" s="1">
        <v>0.25</v>
      </c>
      <c r="H19" s="1">
        <v>3.0</v>
      </c>
      <c r="I19" s="1">
        <v>-1.096035</v>
      </c>
      <c r="J19" s="1">
        <v>100.0</v>
      </c>
      <c r="K19" s="1">
        <v>0.0</v>
      </c>
      <c r="L19" s="1">
        <v>0.0</v>
      </c>
      <c r="M19" s="1">
        <v>96.936856</v>
      </c>
    </row>
    <row r="20">
      <c r="A20" s="1" t="s">
        <v>448</v>
      </c>
      <c r="B20" s="1" t="s">
        <v>449</v>
      </c>
      <c r="C20" s="1" t="str">
        <f>IFERROR(__xludf.DUMMYFUNCTION("IFERROR(REGEXEXTRACT(A20, ""res(269|122)""), ""none"")"),"269")</f>
        <v>269</v>
      </c>
      <c r="D20" s="1">
        <v>-18.627045</v>
      </c>
      <c r="E20" s="1">
        <v>9.0</v>
      </c>
      <c r="F20" s="1">
        <v>2.0</v>
      </c>
      <c r="G20" s="1">
        <v>0.333333</v>
      </c>
      <c r="H20" s="1">
        <v>2.0</v>
      </c>
      <c r="I20" s="1">
        <v>-1.464442</v>
      </c>
      <c r="J20" s="1">
        <v>100.0</v>
      </c>
      <c r="K20" s="1">
        <v>0.0</v>
      </c>
      <c r="L20" s="1">
        <v>0.0</v>
      </c>
      <c r="M20" s="1">
        <v>93.241846</v>
      </c>
    </row>
    <row r="21">
      <c r="A21" s="1" t="s">
        <v>450</v>
      </c>
      <c r="B21" s="1" t="s">
        <v>451</v>
      </c>
      <c r="C21" s="1" t="str">
        <f>IFERROR(__xludf.DUMMYFUNCTION("IFERROR(REGEXEXTRACT(A21, ""res(269|122)""), ""none"")"),"269")</f>
        <v>269</v>
      </c>
      <c r="D21" s="1">
        <v>-18.627045</v>
      </c>
      <c r="E21" s="1">
        <v>9.0</v>
      </c>
      <c r="F21" s="1">
        <v>2.0</v>
      </c>
      <c r="G21" s="1">
        <v>0.333333</v>
      </c>
      <c r="H21" s="1">
        <v>2.0</v>
      </c>
      <c r="I21" s="1">
        <v>-1.464442</v>
      </c>
      <c r="J21" s="1">
        <v>100.0</v>
      </c>
      <c r="K21" s="1">
        <v>0.0</v>
      </c>
      <c r="L21" s="1">
        <v>0.0</v>
      </c>
      <c r="M21" s="1">
        <v>93.241846</v>
      </c>
    </row>
    <row r="22">
      <c r="A22" s="1" t="s">
        <v>452</v>
      </c>
      <c r="B22" s="1" t="s">
        <v>453</v>
      </c>
      <c r="C22" s="1" t="str">
        <f>IFERROR(__xludf.DUMMYFUNCTION("IFERROR(REGEXEXTRACT(A22, ""res(269|122)""), ""none"")"),"269")</f>
        <v>269</v>
      </c>
      <c r="D22" s="1">
        <v>-15.471061</v>
      </c>
      <c r="E22" s="1">
        <v>11.0</v>
      </c>
      <c r="F22" s="1">
        <v>5.0</v>
      </c>
      <c r="G22" s="1">
        <v>0.272727</v>
      </c>
      <c r="H22" s="1">
        <v>3.0</v>
      </c>
      <c r="I22" s="1">
        <v>-1.955025</v>
      </c>
      <c r="J22" s="1">
        <v>100.0</v>
      </c>
      <c r="K22" s="1">
        <v>0.0</v>
      </c>
      <c r="L22" s="1">
        <v>0.0</v>
      </c>
      <c r="M22" s="1">
        <v>101.846641</v>
      </c>
    </row>
    <row r="23">
      <c r="A23" s="1" t="s">
        <v>271</v>
      </c>
      <c r="B23" s="1" t="s">
        <v>272</v>
      </c>
      <c r="C23" s="1" t="str">
        <f>IFERROR(__xludf.DUMMYFUNCTION("IFERROR(REGEXEXTRACT(A23, ""res(269|122)""), ""none"")"),"269")</f>
        <v>269</v>
      </c>
      <c r="D23" s="1">
        <v>-16.067978</v>
      </c>
      <c r="E23" s="1">
        <v>10.0</v>
      </c>
      <c r="F23" s="1">
        <v>3.0</v>
      </c>
      <c r="G23" s="1">
        <v>0.4</v>
      </c>
      <c r="H23" s="1">
        <v>4.0</v>
      </c>
      <c r="I23" s="1">
        <v>-1.686262</v>
      </c>
      <c r="J23" s="1">
        <v>100.0</v>
      </c>
      <c r="K23" s="1">
        <v>0.0</v>
      </c>
      <c r="L23" s="1">
        <v>0.0</v>
      </c>
      <c r="M23" s="1">
        <v>99.64576</v>
      </c>
    </row>
    <row r="24">
      <c r="A24" s="1" t="s">
        <v>273</v>
      </c>
      <c r="B24" s="1" t="s">
        <v>274</v>
      </c>
      <c r="C24" s="1" t="str">
        <f>IFERROR(__xludf.DUMMYFUNCTION("IFERROR(REGEXEXTRACT(A24, ""res(269|122)""), ""none"")"),"269")</f>
        <v>269</v>
      </c>
      <c r="D24" s="1">
        <v>-16.067978</v>
      </c>
      <c r="E24" s="1">
        <v>10.0</v>
      </c>
      <c r="F24" s="1">
        <v>3.0</v>
      </c>
      <c r="G24" s="1">
        <v>0.4</v>
      </c>
      <c r="H24" s="1">
        <v>4.0</v>
      </c>
      <c r="I24" s="1">
        <v>-1.686262</v>
      </c>
      <c r="J24" s="1">
        <v>100.0</v>
      </c>
      <c r="K24" s="1">
        <v>0.0</v>
      </c>
      <c r="L24" s="1">
        <v>0.0</v>
      </c>
      <c r="M24" s="1">
        <v>99.64576</v>
      </c>
    </row>
    <row r="25">
      <c r="A25" s="1" t="s">
        <v>275</v>
      </c>
      <c r="B25" s="1" t="s">
        <v>276</v>
      </c>
      <c r="C25" s="1" t="str">
        <f>IFERROR(__xludf.DUMMYFUNCTION("IFERROR(REGEXEXTRACT(A25, ""res(269|122)""), ""none"")"),"269")</f>
        <v>269</v>
      </c>
      <c r="D25" s="1">
        <v>-15.296307</v>
      </c>
      <c r="E25" s="1">
        <v>7.0</v>
      </c>
      <c r="F25" s="1">
        <v>3.0</v>
      </c>
      <c r="G25" s="1">
        <v>0.285714</v>
      </c>
      <c r="H25" s="1">
        <v>2.0</v>
      </c>
      <c r="I25" s="1">
        <v>-1.992376</v>
      </c>
      <c r="J25" s="1">
        <v>100.0</v>
      </c>
      <c r="K25" s="1">
        <v>0.0</v>
      </c>
      <c r="L25" s="1">
        <v>0.0</v>
      </c>
      <c r="M25" s="1">
        <v>94.997031</v>
      </c>
    </row>
    <row r="26">
      <c r="A26" s="1" t="s">
        <v>454</v>
      </c>
      <c r="B26" s="1" t="s">
        <v>455</v>
      </c>
      <c r="C26" s="1" t="str">
        <f>IFERROR(__xludf.DUMMYFUNCTION("IFERROR(REGEXEXTRACT(A26, ""res(269|122)""), ""none"")"),"269")</f>
        <v>269</v>
      </c>
      <c r="D26" s="1">
        <v>-16.253596</v>
      </c>
      <c r="E26" s="1">
        <v>10.0</v>
      </c>
      <c r="F26" s="1">
        <v>3.0</v>
      </c>
      <c r="G26" s="1">
        <v>0.3</v>
      </c>
      <c r="H26" s="1">
        <v>2.0</v>
      </c>
      <c r="I26" s="1">
        <v>-0.741444</v>
      </c>
      <c r="J26" s="1">
        <v>100.0</v>
      </c>
      <c r="K26" s="1">
        <v>0.0</v>
      </c>
      <c r="L26" s="1">
        <v>0.0</v>
      </c>
      <c r="M26" s="1">
        <v>98.30496</v>
      </c>
    </row>
    <row r="27">
      <c r="A27" s="1" t="s">
        <v>456</v>
      </c>
      <c r="B27" s="1" t="s">
        <v>457</v>
      </c>
      <c r="C27" s="1" t="str">
        <f>IFERROR(__xludf.DUMMYFUNCTION("IFERROR(REGEXEXTRACT(A27, ""res(269|122)""), ""none"")"),"269")</f>
        <v>269</v>
      </c>
      <c r="D27" s="1">
        <v>-15.009468</v>
      </c>
      <c r="E27" s="1">
        <v>12.0</v>
      </c>
      <c r="F27" s="1">
        <v>3.0</v>
      </c>
      <c r="G27" s="1">
        <v>0.25</v>
      </c>
      <c r="H27" s="1">
        <v>2.0</v>
      </c>
      <c r="I27" s="1">
        <v>-0.890163</v>
      </c>
      <c r="J27" s="1">
        <v>100.0</v>
      </c>
      <c r="K27" s="1">
        <v>0.0</v>
      </c>
      <c r="L27" s="1">
        <v>0.0</v>
      </c>
      <c r="M27" s="1">
        <v>101.350369</v>
      </c>
    </row>
    <row r="28">
      <c r="A28" s="1" t="s">
        <v>277</v>
      </c>
      <c r="B28" s="1" t="s">
        <v>278</v>
      </c>
      <c r="C28" s="1" t="str">
        <f>IFERROR(__xludf.DUMMYFUNCTION("IFERROR(REGEXEXTRACT(A28, ""res(269|122)""), ""none"")"),"269")</f>
        <v>269</v>
      </c>
      <c r="D28" s="1">
        <v>-15.325992</v>
      </c>
      <c r="E28" s="1">
        <v>8.0</v>
      </c>
      <c r="F28" s="1">
        <v>2.0</v>
      </c>
      <c r="G28" s="1">
        <v>0.25</v>
      </c>
      <c r="H28" s="1">
        <v>2.0</v>
      </c>
      <c r="I28" s="1">
        <v>-0.597145</v>
      </c>
      <c r="J28" s="1">
        <v>100.0</v>
      </c>
      <c r="K28" s="1">
        <v>0.0</v>
      </c>
      <c r="L28" s="1">
        <v>0.0</v>
      </c>
      <c r="M28" s="1">
        <v>96.326863</v>
      </c>
    </row>
    <row r="29">
      <c r="A29" s="1" t="s">
        <v>458</v>
      </c>
      <c r="B29" s="1" t="s">
        <v>459</v>
      </c>
      <c r="C29" s="1" t="str">
        <f>IFERROR(__xludf.DUMMYFUNCTION("IFERROR(REGEXEXTRACT(A29, ""res(269|122)""), ""none"")"),"269")</f>
        <v>269</v>
      </c>
      <c r="D29" s="1">
        <v>-15.102863</v>
      </c>
      <c r="E29" s="1">
        <v>7.0</v>
      </c>
      <c r="F29" s="1">
        <v>4.0</v>
      </c>
      <c r="G29" s="1">
        <v>0.285714</v>
      </c>
      <c r="H29" s="1">
        <v>2.0</v>
      </c>
      <c r="I29" s="1">
        <v>-0.739385</v>
      </c>
      <c r="J29" s="1">
        <v>100.0</v>
      </c>
      <c r="K29" s="1">
        <v>0.0</v>
      </c>
      <c r="L29" s="1">
        <v>0.0</v>
      </c>
      <c r="M29" s="1">
        <v>97.443466</v>
      </c>
    </row>
    <row r="30">
      <c r="A30" s="1" t="s">
        <v>460</v>
      </c>
      <c r="B30" s="1" t="s">
        <v>461</v>
      </c>
      <c r="C30" s="1" t="str">
        <f>IFERROR(__xludf.DUMMYFUNCTION("IFERROR(REGEXEXTRACT(A30, ""res(269|122)""), ""none"")"),"269")</f>
        <v>269</v>
      </c>
      <c r="D30" s="1">
        <v>-16.336018</v>
      </c>
      <c r="E30" s="1">
        <v>7.0</v>
      </c>
      <c r="F30" s="1">
        <v>2.0</v>
      </c>
      <c r="G30" s="1">
        <v>0.428571</v>
      </c>
      <c r="H30" s="1">
        <v>2.0</v>
      </c>
      <c r="I30" s="1">
        <v>-1.549677</v>
      </c>
      <c r="J30" s="1">
        <v>100.0</v>
      </c>
      <c r="K30" s="1">
        <v>0.0</v>
      </c>
      <c r="L30" s="1">
        <v>0.0</v>
      </c>
      <c r="M30" s="1">
        <v>93.542876</v>
      </c>
    </row>
    <row r="31">
      <c r="A31" s="1" t="s">
        <v>279</v>
      </c>
      <c r="B31" s="1" t="s">
        <v>123</v>
      </c>
      <c r="C31" s="1" t="str">
        <f>IFERROR(__xludf.DUMMYFUNCTION("IFERROR(REGEXEXTRACT(A31, ""res(269|122)""), ""none"")"),"269")</f>
        <v>269</v>
      </c>
      <c r="D31" s="1">
        <v>-15.778424</v>
      </c>
      <c r="E31" s="1">
        <v>10.0</v>
      </c>
      <c r="F31" s="1">
        <v>4.0</v>
      </c>
      <c r="G31" s="1">
        <v>0.3</v>
      </c>
      <c r="H31" s="1">
        <v>2.0</v>
      </c>
      <c r="I31" s="1">
        <v>-0.444144</v>
      </c>
      <c r="J31" s="1">
        <v>100.0</v>
      </c>
      <c r="K31" s="1">
        <v>0.0</v>
      </c>
      <c r="L31" s="1">
        <v>0.0</v>
      </c>
      <c r="M31" s="1">
        <v>100.077432</v>
      </c>
    </row>
    <row r="32">
      <c r="A32" s="1" t="s">
        <v>462</v>
      </c>
      <c r="B32" s="1" t="s">
        <v>463</v>
      </c>
      <c r="C32" s="1" t="str">
        <f>IFERROR(__xludf.DUMMYFUNCTION("IFERROR(REGEXEXTRACT(A32, ""res(269|122)""), ""none"")"),"269")</f>
        <v>269</v>
      </c>
      <c r="D32" s="1">
        <v>-15.125422</v>
      </c>
      <c r="E32" s="1">
        <v>8.0</v>
      </c>
      <c r="F32" s="1">
        <v>2.0</v>
      </c>
      <c r="G32" s="1">
        <v>0.25</v>
      </c>
      <c r="H32" s="1">
        <v>2.0</v>
      </c>
      <c r="I32" s="1">
        <v>-0.988743</v>
      </c>
      <c r="J32" s="1">
        <v>100.0</v>
      </c>
      <c r="K32" s="1">
        <v>0.0</v>
      </c>
      <c r="L32" s="1">
        <v>0.0</v>
      </c>
      <c r="M32" s="1">
        <v>96.135835</v>
      </c>
    </row>
    <row r="33">
      <c r="A33" s="1" t="s">
        <v>464</v>
      </c>
      <c r="B33" s="1" t="s">
        <v>465</v>
      </c>
      <c r="C33" s="1" t="str">
        <f>IFERROR(__xludf.DUMMYFUNCTION("IFERROR(REGEXEXTRACT(A33, ""res(269|122)""), ""none"")"),"269")</f>
        <v>269</v>
      </c>
      <c r="D33" s="1">
        <v>-16.19124</v>
      </c>
      <c r="E33" s="1">
        <v>11.0</v>
      </c>
      <c r="F33" s="1">
        <v>2.0</v>
      </c>
      <c r="G33" s="1">
        <v>0.272727</v>
      </c>
      <c r="H33" s="1">
        <v>2.0</v>
      </c>
      <c r="I33" s="1">
        <v>-0.467883</v>
      </c>
      <c r="J33" s="1">
        <v>100.0</v>
      </c>
      <c r="K33" s="1">
        <v>0.0</v>
      </c>
      <c r="L33" s="1">
        <v>0.0</v>
      </c>
      <c r="M33" s="1">
        <v>98.613604</v>
      </c>
    </row>
    <row r="34">
      <c r="A34" s="1" t="s">
        <v>466</v>
      </c>
      <c r="B34" s="1" t="s">
        <v>467</v>
      </c>
      <c r="C34" s="1" t="str">
        <f>IFERROR(__xludf.DUMMYFUNCTION("IFERROR(REGEXEXTRACT(A34, ""res(269|122)""), ""none"")"),"269")</f>
        <v>269</v>
      </c>
      <c r="D34" s="1">
        <v>-16.072605</v>
      </c>
      <c r="E34" s="1">
        <v>7.0</v>
      </c>
      <c r="F34" s="1">
        <v>3.0</v>
      </c>
      <c r="G34" s="1">
        <v>0.285714</v>
      </c>
      <c r="H34" s="1">
        <v>3.0</v>
      </c>
      <c r="I34" s="1">
        <v>-1.341939</v>
      </c>
      <c r="J34" s="1">
        <v>100.0</v>
      </c>
      <c r="K34" s="1">
        <v>0.0</v>
      </c>
      <c r="L34" s="1">
        <v>0.0</v>
      </c>
      <c r="M34" s="1">
        <v>95.87117</v>
      </c>
    </row>
    <row r="35">
      <c r="A35" s="1" t="s">
        <v>468</v>
      </c>
      <c r="B35" s="1" t="s">
        <v>469</v>
      </c>
      <c r="C35" s="1" t="str">
        <f>IFERROR(__xludf.DUMMYFUNCTION("IFERROR(REGEXEXTRACT(A35, ""res(269|122)""), ""none"")"),"269")</f>
        <v>269</v>
      </c>
      <c r="D35" s="1">
        <v>-15.019141</v>
      </c>
      <c r="E35" s="1">
        <v>7.0</v>
      </c>
      <c r="F35" s="1">
        <v>2.0</v>
      </c>
      <c r="G35" s="1">
        <v>0.285714</v>
      </c>
      <c r="H35" s="1">
        <v>2.0</v>
      </c>
      <c r="I35" s="1">
        <v>-1.307925</v>
      </c>
      <c r="J35" s="1">
        <v>100.0</v>
      </c>
      <c r="K35" s="1">
        <v>0.0</v>
      </c>
      <c r="L35" s="1">
        <v>0.0</v>
      </c>
      <c r="M35" s="1">
        <v>94.958648</v>
      </c>
    </row>
    <row r="36">
      <c r="A36" s="1" t="s">
        <v>470</v>
      </c>
      <c r="B36" s="1" t="s">
        <v>471</v>
      </c>
      <c r="C36" s="1" t="str">
        <f>IFERROR(__xludf.DUMMYFUNCTION("IFERROR(REGEXEXTRACT(A36, ""res(269|122)""), ""none"")"),"269")</f>
        <v>269</v>
      </c>
      <c r="D36" s="1">
        <v>-15.694478</v>
      </c>
      <c r="E36" s="1">
        <v>9.0</v>
      </c>
      <c r="F36" s="1">
        <v>2.0</v>
      </c>
      <c r="G36" s="1">
        <v>0.333333</v>
      </c>
      <c r="H36" s="1">
        <v>3.0</v>
      </c>
      <c r="I36" s="1">
        <v>-0.857403999999999</v>
      </c>
      <c r="J36" s="1">
        <v>100.0</v>
      </c>
      <c r="K36" s="1">
        <v>0.0</v>
      </c>
      <c r="L36" s="1">
        <v>0.0</v>
      </c>
      <c r="M36" s="1">
        <v>97.781451</v>
      </c>
    </row>
    <row r="37">
      <c r="A37" s="1" t="s">
        <v>280</v>
      </c>
      <c r="B37" s="1" t="s">
        <v>126</v>
      </c>
      <c r="C37" s="1" t="str">
        <f>IFERROR(__xludf.DUMMYFUNCTION("IFERROR(REGEXEXTRACT(A37, ""res(269|122)""), ""none"")"),"269")</f>
        <v>269</v>
      </c>
      <c r="D37" s="1">
        <v>-16.377062</v>
      </c>
      <c r="E37" s="1">
        <v>9.0</v>
      </c>
      <c r="F37" s="1">
        <v>1.0</v>
      </c>
      <c r="G37" s="1">
        <v>0.333333</v>
      </c>
      <c r="H37" s="1">
        <v>2.0</v>
      </c>
      <c r="I37" s="1">
        <v>-1.84415</v>
      </c>
      <c r="J37" s="1">
        <v>100.0</v>
      </c>
      <c r="K37" s="1">
        <v>0.0</v>
      </c>
      <c r="L37" s="1">
        <v>0.0</v>
      </c>
      <c r="M37" s="1">
        <v>94.112121</v>
      </c>
    </row>
    <row r="38">
      <c r="A38" s="1" t="s">
        <v>472</v>
      </c>
      <c r="B38" s="1" t="s">
        <v>473</v>
      </c>
      <c r="C38" s="1" t="str">
        <f>IFERROR(__xludf.DUMMYFUNCTION("IFERROR(REGEXEXTRACT(A38, ""res(269|122)""), ""none"")"),"269")</f>
        <v>269</v>
      </c>
      <c r="D38" s="1">
        <v>-15.903081</v>
      </c>
      <c r="E38" s="1">
        <v>7.0</v>
      </c>
      <c r="F38" s="1">
        <v>3.0</v>
      </c>
      <c r="G38" s="1">
        <v>0.285714</v>
      </c>
      <c r="H38" s="1">
        <v>2.0</v>
      </c>
      <c r="I38" s="1">
        <v>-0.636751</v>
      </c>
      <c r="J38" s="1">
        <v>100.0</v>
      </c>
      <c r="K38" s="1">
        <v>0.0</v>
      </c>
      <c r="L38" s="1">
        <v>0.0</v>
      </c>
      <c r="M38" s="1">
        <v>95.745882</v>
      </c>
    </row>
    <row r="39">
      <c r="A39" s="1" t="s">
        <v>474</v>
      </c>
      <c r="B39" s="1" t="s">
        <v>475</v>
      </c>
      <c r="C39" s="1" t="str">
        <f>IFERROR(__xludf.DUMMYFUNCTION("IFERROR(REGEXEXTRACT(A39, ""res(269|122)""), ""none"")"),"269")</f>
        <v>269</v>
      </c>
      <c r="D39" s="1">
        <v>-15.522765</v>
      </c>
      <c r="E39" s="1">
        <v>7.0</v>
      </c>
      <c r="F39" s="1">
        <v>3.0</v>
      </c>
      <c r="G39" s="1">
        <v>0.285714</v>
      </c>
      <c r="H39" s="1">
        <v>2.0</v>
      </c>
      <c r="I39" s="1">
        <v>-0.647722999999999</v>
      </c>
      <c r="J39" s="1">
        <v>100.0</v>
      </c>
      <c r="K39" s="1">
        <v>0.0</v>
      </c>
      <c r="L39" s="1">
        <v>0.0</v>
      </c>
      <c r="M39" s="1">
        <v>96.115226</v>
      </c>
    </row>
    <row r="40">
      <c r="A40" s="1" t="s">
        <v>281</v>
      </c>
      <c r="B40" s="1" t="s">
        <v>282</v>
      </c>
      <c r="C40" s="1" t="str">
        <f>IFERROR(__xludf.DUMMYFUNCTION("IFERROR(REGEXEXTRACT(A40, ""res(269|122)""), ""none"")"),"269")</f>
        <v>269</v>
      </c>
      <c r="D40" s="1">
        <v>-15.737774</v>
      </c>
      <c r="E40" s="1">
        <v>8.0</v>
      </c>
      <c r="F40" s="1">
        <v>4.0</v>
      </c>
      <c r="G40" s="1">
        <v>0.375</v>
      </c>
      <c r="H40" s="1">
        <v>2.0</v>
      </c>
      <c r="I40" s="1">
        <v>-0.922352</v>
      </c>
      <c r="J40" s="1">
        <v>100.0</v>
      </c>
      <c r="K40" s="1">
        <v>0.0</v>
      </c>
      <c r="L40" s="1">
        <v>0.0</v>
      </c>
      <c r="M40" s="1">
        <v>97.714874</v>
      </c>
    </row>
    <row r="41">
      <c r="A41" s="1" t="s">
        <v>283</v>
      </c>
      <c r="B41" s="1" t="s">
        <v>129</v>
      </c>
      <c r="C41" s="1" t="str">
        <f>IFERROR(__xludf.DUMMYFUNCTION("IFERROR(REGEXEXTRACT(A41, ""res(269|122)""), ""none"")"),"269")</f>
        <v>269</v>
      </c>
      <c r="D41" s="1">
        <v>-16.004339</v>
      </c>
      <c r="E41" s="1">
        <v>7.0</v>
      </c>
      <c r="F41" s="1">
        <v>1.0</v>
      </c>
      <c r="G41" s="1">
        <v>0.285714</v>
      </c>
      <c r="H41" s="1">
        <v>2.0</v>
      </c>
      <c r="I41" s="1">
        <v>-0.643672</v>
      </c>
      <c r="J41" s="1">
        <v>100.0</v>
      </c>
      <c r="K41" s="1">
        <v>0.0</v>
      </c>
      <c r="L41" s="1">
        <v>0.0</v>
      </c>
      <c r="M41" s="1">
        <v>93.637703</v>
      </c>
    </row>
    <row r="42">
      <c r="A42" s="1" t="s">
        <v>476</v>
      </c>
      <c r="B42" s="1" t="s">
        <v>477</v>
      </c>
      <c r="C42" s="1" t="str">
        <f>IFERROR(__xludf.DUMMYFUNCTION("IFERROR(REGEXEXTRACT(A42, ""res(269|122)""), ""none"")"),"269")</f>
        <v>269</v>
      </c>
      <c r="D42" s="1">
        <v>-15.728531</v>
      </c>
      <c r="E42" s="1">
        <v>8.0</v>
      </c>
      <c r="F42" s="1">
        <v>3.0</v>
      </c>
      <c r="G42" s="1">
        <v>0.25</v>
      </c>
      <c r="H42" s="1">
        <v>2.0</v>
      </c>
      <c r="I42" s="1">
        <v>-1.51629</v>
      </c>
      <c r="J42" s="1">
        <v>100.0</v>
      </c>
      <c r="K42" s="1">
        <v>0.0</v>
      </c>
      <c r="L42" s="1">
        <v>0.0</v>
      </c>
      <c r="M42" s="1">
        <v>96.005179</v>
      </c>
    </row>
    <row r="43">
      <c r="A43" s="1" t="s">
        <v>478</v>
      </c>
      <c r="B43" s="1" t="s">
        <v>479</v>
      </c>
      <c r="C43" s="1" t="str">
        <f>IFERROR(__xludf.DUMMYFUNCTION("IFERROR(REGEXEXTRACT(A43, ""res(269|122)""), ""none"")"),"269")</f>
        <v>269</v>
      </c>
      <c r="D43" s="1">
        <v>-15.352353</v>
      </c>
      <c r="E43" s="1">
        <v>8.0</v>
      </c>
      <c r="F43" s="1">
        <v>1.0</v>
      </c>
      <c r="G43" s="1">
        <v>0.25</v>
      </c>
      <c r="H43" s="1">
        <v>2.0</v>
      </c>
      <c r="I43" s="1">
        <v>-0.518455</v>
      </c>
      <c r="J43" s="1">
        <v>100.0</v>
      </c>
      <c r="K43" s="1">
        <v>0.0</v>
      </c>
      <c r="L43" s="1">
        <v>0.0</v>
      </c>
      <c r="M43" s="1">
        <v>95.379192</v>
      </c>
    </row>
    <row r="44">
      <c r="A44" s="1" t="s">
        <v>480</v>
      </c>
      <c r="B44" s="1" t="s">
        <v>481</v>
      </c>
      <c r="C44" s="1" t="str">
        <f>IFERROR(__xludf.DUMMYFUNCTION("IFERROR(REGEXEXTRACT(A44, ""res(269|122)""), ""none"")"),"269")</f>
        <v>269</v>
      </c>
      <c r="D44" s="1">
        <v>-15.596951</v>
      </c>
      <c r="E44" s="1">
        <v>10.0</v>
      </c>
      <c r="F44" s="1">
        <v>3.0</v>
      </c>
      <c r="G44" s="1">
        <v>0.3</v>
      </c>
      <c r="H44" s="1">
        <v>2.0</v>
      </c>
      <c r="I44" s="1">
        <v>-0.973844</v>
      </c>
      <c r="J44" s="1">
        <v>100.0</v>
      </c>
      <c r="K44" s="1">
        <v>0.0</v>
      </c>
      <c r="L44" s="1">
        <v>0.0</v>
      </c>
      <c r="M44" s="1">
        <v>98.729205</v>
      </c>
    </row>
    <row r="45">
      <c r="A45" s="1" t="s">
        <v>284</v>
      </c>
      <c r="B45" s="1" t="s">
        <v>285</v>
      </c>
      <c r="C45" s="1" t="str">
        <f>IFERROR(__xludf.DUMMYFUNCTION("IFERROR(REGEXEXTRACT(A45, ""res(269|122)""), ""none"")"),"269")</f>
        <v>269</v>
      </c>
      <c r="D45" s="1">
        <v>-15.399039</v>
      </c>
      <c r="E45" s="1">
        <v>6.0</v>
      </c>
      <c r="F45" s="1">
        <v>3.0</v>
      </c>
      <c r="G45" s="1">
        <v>0.333333</v>
      </c>
      <c r="H45" s="1">
        <v>2.0</v>
      </c>
      <c r="I45" s="1">
        <v>-0.254448</v>
      </c>
      <c r="J45" s="1">
        <v>100.0</v>
      </c>
      <c r="K45" s="1">
        <v>0.0</v>
      </c>
      <c r="L45" s="1">
        <v>0.0</v>
      </c>
      <c r="M45" s="1">
        <v>95.679846</v>
      </c>
    </row>
    <row r="46">
      <c r="A46" s="1" t="s">
        <v>286</v>
      </c>
      <c r="B46" s="1" t="s">
        <v>287</v>
      </c>
      <c r="C46" s="1" t="str">
        <f>IFERROR(__xludf.DUMMYFUNCTION("IFERROR(REGEXEXTRACT(A46, ""res(269|122)""), ""none"")"),"269")</f>
        <v>269</v>
      </c>
      <c r="D46" s="1">
        <v>-15.848908</v>
      </c>
      <c r="E46" s="1">
        <v>8.0</v>
      </c>
      <c r="F46" s="1">
        <v>3.0</v>
      </c>
      <c r="G46" s="1">
        <v>0.375</v>
      </c>
      <c r="H46" s="1">
        <v>2.0</v>
      </c>
      <c r="I46" s="1">
        <v>-0.923644</v>
      </c>
      <c r="J46" s="1">
        <v>100.0</v>
      </c>
      <c r="K46" s="1">
        <v>0.0</v>
      </c>
      <c r="L46" s="1">
        <v>0.0</v>
      </c>
      <c r="M46" s="1">
        <v>96.602448</v>
      </c>
    </row>
    <row r="47">
      <c r="A47" s="1" t="s">
        <v>482</v>
      </c>
      <c r="B47" s="1" t="s">
        <v>483</v>
      </c>
      <c r="C47" s="1" t="str">
        <f>IFERROR(__xludf.DUMMYFUNCTION("IFERROR(REGEXEXTRACT(A47, ""res(269|122)""), ""none"")"),"269")</f>
        <v>269</v>
      </c>
      <c r="D47" s="1">
        <v>-15.495405</v>
      </c>
      <c r="E47" s="1">
        <v>9.0</v>
      </c>
      <c r="F47" s="1">
        <v>4.0</v>
      </c>
      <c r="G47" s="1">
        <v>0.333333</v>
      </c>
      <c r="H47" s="1">
        <v>2.0</v>
      </c>
      <c r="I47" s="1">
        <v>-0.620458</v>
      </c>
      <c r="J47" s="1">
        <v>100.0</v>
      </c>
      <c r="K47" s="1">
        <v>0.0</v>
      </c>
      <c r="L47" s="1">
        <v>0.0</v>
      </c>
      <c r="M47" s="1">
        <v>99.21747</v>
      </c>
    </row>
    <row r="48">
      <c r="A48" s="1" t="s">
        <v>484</v>
      </c>
      <c r="B48" s="1" t="s">
        <v>485</v>
      </c>
      <c r="C48" s="1" t="str">
        <f>IFERROR(__xludf.DUMMYFUNCTION("IFERROR(REGEXEXTRACT(A48, ""res(269|122)""), ""none"")"),"269")</f>
        <v>269</v>
      </c>
      <c r="D48" s="1">
        <v>-15.100581</v>
      </c>
      <c r="E48" s="1">
        <v>10.0</v>
      </c>
      <c r="F48" s="1">
        <v>3.0</v>
      </c>
      <c r="G48" s="1">
        <v>0.3</v>
      </c>
      <c r="H48" s="1">
        <v>2.0</v>
      </c>
      <c r="I48" s="1">
        <v>-0.870712</v>
      </c>
      <c r="J48" s="1">
        <v>100.0</v>
      </c>
      <c r="K48" s="1">
        <v>0.0</v>
      </c>
      <c r="L48" s="1">
        <v>0.0</v>
      </c>
      <c r="M48" s="1">
        <v>99.328707</v>
      </c>
    </row>
    <row r="49">
      <c r="A49" s="1" t="s">
        <v>486</v>
      </c>
      <c r="B49" s="1" t="s">
        <v>487</v>
      </c>
      <c r="C49" s="1" t="str">
        <f>IFERROR(__xludf.DUMMYFUNCTION("IFERROR(REGEXEXTRACT(A49, ""res(269|122)""), ""none"")"),"269")</f>
        <v>269</v>
      </c>
      <c r="D49" s="1">
        <v>-15.478127</v>
      </c>
      <c r="E49" s="1">
        <v>8.0</v>
      </c>
      <c r="F49" s="1">
        <v>3.0</v>
      </c>
      <c r="G49" s="1">
        <v>0.25</v>
      </c>
      <c r="H49" s="1">
        <v>3.0</v>
      </c>
      <c r="I49" s="1">
        <v>-1.86879</v>
      </c>
      <c r="J49" s="1">
        <v>100.0</v>
      </c>
      <c r="K49" s="1">
        <v>0.0</v>
      </c>
      <c r="L49" s="1">
        <v>0.0</v>
      </c>
      <c r="M49" s="1">
        <v>96.903083</v>
      </c>
    </row>
    <row r="50">
      <c r="A50" s="1" t="s">
        <v>488</v>
      </c>
      <c r="B50" s="1" t="s">
        <v>489</v>
      </c>
      <c r="C50" s="1" t="str">
        <f>IFERROR(__xludf.DUMMYFUNCTION("IFERROR(REGEXEXTRACT(A50, ""res(269|122)""), ""none"")"),"269")</f>
        <v>269</v>
      </c>
      <c r="D50" s="1">
        <v>-15.530742</v>
      </c>
      <c r="E50" s="1">
        <v>9.0</v>
      </c>
      <c r="F50" s="1">
        <v>2.0</v>
      </c>
      <c r="G50" s="1">
        <v>0.333333</v>
      </c>
      <c r="H50" s="1">
        <v>2.0</v>
      </c>
      <c r="I50" s="1">
        <v>-1.463579</v>
      </c>
      <c r="J50" s="1">
        <v>100.0</v>
      </c>
      <c r="K50" s="1">
        <v>0.0</v>
      </c>
      <c r="L50" s="1">
        <v>0.0</v>
      </c>
      <c r="M50" s="1">
        <v>96.339012</v>
      </c>
    </row>
    <row r="51">
      <c r="A51" s="1" t="s">
        <v>490</v>
      </c>
      <c r="B51" s="1" t="s">
        <v>491</v>
      </c>
      <c r="C51" s="1" t="str">
        <f>IFERROR(__xludf.DUMMYFUNCTION("IFERROR(REGEXEXTRACT(A51, ""res(269|122)""), ""none"")"),"269")</f>
        <v>269</v>
      </c>
      <c r="D51" s="1">
        <v>-15.026162</v>
      </c>
      <c r="E51" s="1">
        <v>8.0</v>
      </c>
      <c r="F51" s="1">
        <v>2.0</v>
      </c>
      <c r="G51" s="1">
        <v>0.5</v>
      </c>
      <c r="H51" s="1">
        <v>2.0</v>
      </c>
      <c r="I51" s="1">
        <v>-1.219584</v>
      </c>
      <c r="J51" s="1">
        <v>100.0</v>
      </c>
      <c r="K51" s="1">
        <v>0.0</v>
      </c>
      <c r="L51" s="1">
        <v>0.0</v>
      </c>
      <c r="M51" s="1">
        <v>96.254254</v>
      </c>
    </row>
    <row r="52">
      <c r="A52" s="1" t="s">
        <v>492</v>
      </c>
      <c r="B52" s="1" t="s">
        <v>493</v>
      </c>
      <c r="C52" s="1" t="str">
        <f>IFERROR(__xludf.DUMMYFUNCTION("IFERROR(REGEXEXTRACT(A52, ""res(269|122)""), ""none"")"),"269")</f>
        <v>269</v>
      </c>
      <c r="D52" s="1">
        <v>-15.026162</v>
      </c>
      <c r="E52" s="1">
        <v>8.0</v>
      </c>
      <c r="F52" s="1">
        <v>2.0</v>
      </c>
      <c r="G52" s="1">
        <v>0.5</v>
      </c>
      <c r="H52" s="1">
        <v>2.0</v>
      </c>
      <c r="I52" s="1">
        <v>-1.219584</v>
      </c>
      <c r="J52" s="1">
        <v>100.0</v>
      </c>
      <c r="K52" s="1">
        <v>0.0</v>
      </c>
      <c r="L52" s="1">
        <v>0.0</v>
      </c>
      <c r="M52" s="1">
        <v>96.254254</v>
      </c>
    </row>
    <row r="53">
      <c r="A53" s="1" t="s">
        <v>494</v>
      </c>
      <c r="B53" s="1" t="s">
        <v>495</v>
      </c>
      <c r="C53" s="1" t="str">
        <f>IFERROR(__xludf.DUMMYFUNCTION("IFERROR(REGEXEXTRACT(A53, ""res(269|122)""), ""none"")"),"269")</f>
        <v>269</v>
      </c>
      <c r="D53" s="1">
        <v>-15.558252</v>
      </c>
      <c r="E53" s="1">
        <v>8.0</v>
      </c>
      <c r="F53" s="1">
        <v>5.0</v>
      </c>
      <c r="G53" s="1">
        <v>0.25</v>
      </c>
      <c r="H53" s="1">
        <v>2.0</v>
      </c>
      <c r="I53" s="1">
        <v>-0.605641</v>
      </c>
      <c r="J53" s="1">
        <v>100.0</v>
      </c>
      <c r="K53" s="1">
        <v>0.0</v>
      </c>
      <c r="L53" s="1">
        <v>0.0</v>
      </c>
      <c r="M53" s="1">
        <v>99.086107</v>
      </c>
    </row>
    <row r="54">
      <c r="A54" s="1" t="s">
        <v>496</v>
      </c>
      <c r="B54" s="1" t="s">
        <v>497</v>
      </c>
      <c r="C54" s="1" t="str">
        <f>IFERROR(__xludf.DUMMYFUNCTION("IFERROR(REGEXEXTRACT(A54, ""res(269|122)""), ""none"")"),"269")</f>
        <v>269</v>
      </c>
      <c r="D54" s="1">
        <v>-15.806081</v>
      </c>
      <c r="E54" s="1">
        <v>8.0</v>
      </c>
      <c r="F54" s="1">
        <v>2.0</v>
      </c>
      <c r="G54" s="1">
        <v>0.25</v>
      </c>
      <c r="H54" s="1">
        <v>2.0</v>
      </c>
      <c r="I54" s="1">
        <v>-1.085431</v>
      </c>
      <c r="J54" s="1">
        <v>100.0</v>
      </c>
      <c r="K54" s="1">
        <v>0.0</v>
      </c>
      <c r="L54" s="1">
        <v>0.0</v>
      </c>
      <c r="M54" s="1">
        <v>95.358488</v>
      </c>
    </row>
    <row r="55">
      <c r="A55" s="1" t="s">
        <v>288</v>
      </c>
      <c r="B55" s="1" t="s">
        <v>80</v>
      </c>
      <c r="C55" s="1" t="str">
        <f>IFERROR(__xludf.DUMMYFUNCTION("IFERROR(REGEXEXTRACT(A55, ""res(269|122)""), ""none"")"),"269")</f>
        <v>269</v>
      </c>
      <c r="D55" s="1">
        <v>-15.111049</v>
      </c>
      <c r="E55" s="1">
        <v>8.0</v>
      </c>
      <c r="F55" s="1">
        <v>4.0</v>
      </c>
      <c r="G55" s="1">
        <v>0.5</v>
      </c>
      <c r="H55" s="1">
        <v>3.0</v>
      </c>
      <c r="I55" s="1">
        <v>-1.48802099999999</v>
      </c>
      <c r="J55" s="1">
        <v>100.0</v>
      </c>
      <c r="K55" s="1">
        <v>0.0</v>
      </c>
      <c r="L55" s="1">
        <v>0.0</v>
      </c>
      <c r="M55" s="1">
        <v>98.90093</v>
      </c>
    </row>
    <row r="56">
      <c r="A56" s="1" t="s">
        <v>498</v>
      </c>
      <c r="B56" s="1" t="s">
        <v>499</v>
      </c>
      <c r="C56" s="1" t="str">
        <f>IFERROR(__xludf.DUMMYFUNCTION("IFERROR(REGEXEXTRACT(A56, ""res(269|122)""), ""none"")"),"269")</f>
        <v>269</v>
      </c>
      <c r="D56" s="1">
        <v>-15.229256</v>
      </c>
      <c r="E56" s="1">
        <v>7.0</v>
      </c>
      <c r="F56" s="1">
        <v>3.0</v>
      </c>
      <c r="G56" s="1">
        <v>0.428571</v>
      </c>
      <c r="H56" s="1">
        <v>2.0</v>
      </c>
      <c r="I56" s="1">
        <v>-0.96092</v>
      </c>
      <c r="J56" s="1">
        <v>100.0</v>
      </c>
      <c r="K56" s="1">
        <v>0.0</v>
      </c>
      <c r="L56" s="1">
        <v>0.0</v>
      </c>
      <c r="M56" s="1">
        <v>96.238395</v>
      </c>
    </row>
    <row r="57">
      <c r="A57" s="1" t="s">
        <v>500</v>
      </c>
      <c r="B57" s="1" t="s">
        <v>501</v>
      </c>
      <c r="C57" s="1" t="str">
        <f>IFERROR(__xludf.DUMMYFUNCTION("IFERROR(REGEXEXTRACT(A57, ""res(269|122)""), ""none"")"),"269")</f>
        <v>269</v>
      </c>
      <c r="D57" s="1">
        <v>-16.557156</v>
      </c>
      <c r="E57" s="1">
        <v>8.0</v>
      </c>
      <c r="F57" s="1">
        <v>2.0</v>
      </c>
      <c r="G57" s="1">
        <v>0.25</v>
      </c>
      <c r="H57" s="1">
        <v>2.0</v>
      </c>
      <c r="I57" s="1">
        <v>-0.52554</v>
      </c>
      <c r="J57" s="1">
        <v>100.0</v>
      </c>
      <c r="K57" s="1">
        <v>0.0</v>
      </c>
      <c r="L57" s="1">
        <v>0.0</v>
      </c>
      <c r="M57" s="1">
        <v>95.167304</v>
      </c>
    </row>
    <row r="58">
      <c r="A58" s="1" t="s">
        <v>289</v>
      </c>
      <c r="B58" s="1" t="s">
        <v>290</v>
      </c>
      <c r="C58" s="1" t="str">
        <f>IFERROR(__xludf.DUMMYFUNCTION("IFERROR(REGEXEXTRACT(A58, ""res(269|122)""), ""none"")"),"269")</f>
        <v>269</v>
      </c>
      <c r="D58" s="1">
        <v>-15.62437</v>
      </c>
      <c r="E58" s="1">
        <v>8.0</v>
      </c>
      <c r="F58" s="1">
        <v>3.0</v>
      </c>
      <c r="G58" s="1">
        <v>0.25</v>
      </c>
      <c r="H58" s="1">
        <v>2.0</v>
      </c>
      <c r="I58" s="1">
        <v>-0.578782</v>
      </c>
      <c r="J58" s="1">
        <v>100.0</v>
      </c>
      <c r="K58" s="1">
        <v>0.0</v>
      </c>
      <c r="L58" s="1">
        <v>0.0</v>
      </c>
      <c r="M58" s="1">
        <v>97.046848</v>
      </c>
    </row>
    <row r="59">
      <c r="A59" s="1" t="s">
        <v>502</v>
      </c>
      <c r="B59" s="1" t="s">
        <v>503</v>
      </c>
      <c r="C59" s="1" t="str">
        <f>IFERROR(__xludf.DUMMYFUNCTION("IFERROR(REGEXEXTRACT(A59, ""res(269|122)""), ""none"")"),"269")</f>
        <v>269</v>
      </c>
      <c r="D59" s="1">
        <v>-15.732571</v>
      </c>
      <c r="E59" s="1">
        <v>7.0</v>
      </c>
      <c r="F59" s="1">
        <v>2.0</v>
      </c>
      <c r="G59" s="1">
        <v>0.428571</v>
      </c>
      <c r="H59" s="1">
        <v>2.0</v>
      </c>
      <c r="I59" s="1">
        <v>-0.385637</v>
      </c>
      <c r="J59" s="1">
        <v>100.0</v>
      </c>
      <c r="K59" s="1">
        <v>0.0</v>
      </c>
      <c r="L59" s="1">
        <v>0.0</v>
      </c>
      <c r="M59" s="1">
        <v>95.310363</v>
      </c>
    </row>
    <row r="60">
      <c r="A60" s="1" t="s">
        <v>504</v>
      </c>
      <c r="B60" s="1" t="s">
        <v>505</v>
      </c>
      <c r="C60" s="1" t="str">
        <f>IFERROR(__xludf.DUMMYFUNCTION("IFERROR(REGEXEXTRACT(A60, ""res(269|122)""), ""none"")"),"269")</f>
        <v>269</v>
      </c>
      <c r="D60" s="1">
        <v>-17.047287</v>
      </c>
      <c r="E60" s="1">
        <v>8.0</v>
      </c>
      <c r="F60" s="1">
        <v>2.0</v>
      </c>
      <c r="G60" s="1">
        <v>0.25</v>
      </c>
      <c r="H60" s="1">
        <v>2.0</v>
      </c>
      <c r="I60" s="1">
        <v>-1.214723</v>
      </c>
      <c r="J60" s="1">
        <v>100.0</v>
      </c>
      <c r="K60" s="1">
        <v>0.0</v>
      </c>
      <c r="L60" s="1">
        <v>0.0</v>
      </c>
      <c r="M60" s="1">
        <v>93.98799</v>
      </c>
    </row>
    <row r="61">
      <c r="A61" s="1" t="s">
        <v>291</v>
      </c>
      <c r="B61" s="1" t="s">
        <v>292</v>
      </c>
      <c r="C61" s="1" t="str">
        <f>IFERROR(__xludf.DUMMYFUNCTION("IFERROR(REGEXEXTRACT(A61, ""res(269|122)""), ""none"")"),"269")</f>
        <v>269</v>
      </c>
      <c r="D61" s="1">
        <v>-16.657537</v>
      </c>
      <c r="E61" s="1">
        <v>10.0</v>
      </c>
      <c r="F61" s="1">
        <v>3.0</v>
      </c>
      <c r="G61" s="1">
        <v>0.3</v>
      </c>
      <c r="H61" s="1">
        <v>2.0</v>
      </c>
      <c r="I61" s="1">
        <v>-1.135125</v>
      </c>
      <c r="J61" s="1">
        <v>100.0</v>
      </c>
      <c r="K61" s="1">
        <v>0.0</v>
      </c>
      <c r="L61" s="1">
        <v>0.0</v>
      </c>
      <c r="M61" s="1">
        <v>97.507338</v>
      </c>
    </row>
    <row r="62">
      <c r="A62" s="1" t="s">
        <v>293</v>
      </c>
      <c r="B62" s="1" t="s">
        <v>294</v>
      </c>
      <c r="C62" s="1" t="str">
        <f>IFERROR(__xludf.DUMMYFUNCTION("IFERROR(REGEXEXTRACT(A62, ""res(269|122)""), ""none"")"),"269")</f>
        <v>269</v>
      </c>
      <c r="D62" s="1">
        <v>-15.0051</v>
      </c>
      <c r="E62" s="1">
        <v>8.0</v>
      </c>
      <c r="F62" s="1">
        <v>1.0</v>
      </c>
      <c r="G62" s="1">
        <v>0.25</v>
      </c>
      <c r="H62" s="1">
        <v>3.0</v>
      </c>
      <c r="I62" s="1">
        <v>-2.024033</v>
      </c>
      <c r="J62" s="1">
        <v>100.0</v>
      </c>
      <c r="K62" s="1">
        <v>0.0</v>
      </c>
      <c r="L62" s="1">
        <v>0.0</v>
      </c>
      <c r="M62" s="1">
        <v>95.220867</v>
      </c>
    </row>
    <row r="63">
      <c r="A63" s="1" t="s">
        <v>295</v>
      </c>
      <c r="B63" s="1" t="s">
        <v>132</v>
      </c>
      <c r="C63" s="1" t="str">
        <f>IFERROR(__xludf.DUMMYFUNCTION("IFERROR(REGEXEXTRACT(A63, ""res(269|122)""), ""none"")"),"269")</f>
        <v>269</v>
      </c>
      <c r="D63" s="1">
        <v>-15.787491</v>
      </c>
      <c r="E63" s="1">
        <v>6.0</v>
      </c>
      <c r="F63" s="1">
        <v>2.0</v>
      </c>
      <c r="G63" s="1">
        <v>0.333333</v>
      </c>
      <c r="H63" s="1">
        <v>3.0</v>
      </c>
      <c r="I63" s="1">
        <v>-1.153959</v>
      </c>
      <c r="J63" s="1">
        <v>100.0</v>
      </c>
      <c r="K63" s="1">
        <v>0.0</v>
      </c>
      <c r="L63" s="1">
        <v>0.0</v>
      </c>
      <c r="M63" s="1">
        <v>94.391883</v>
      </c>
    </row>
    <row r="64">
      <c r="A64" s="1" t="s">
        <v>296</v>
      </c>
      <c r="B64" s="1" t="s">
        <v>135</v>
      </c>
      <c r="C64" s="1" t="str">
        <f>IFERROR(__xludf.DUMMYFUNCTION("IFERROR(REGEXEXTRACT(A64, ""res(269|122)""), ""none"")"),"269")</f>
        <v>269</v>
      </c>
      <c r="D64" s="1">
        <v>-16.526444</v>
      </c>
      <c r="E64" s="1">
        <v>7.0</v>
      </c>
      <c r="F64" s="1">
        <v>3.0</v>
      </c>
      <c r="G64" s="1">
        <v>0.428571</v>
      </c>
      <c r="H64" s="1">
        <v>3.0</v>
      </c>
      <c r="I64" s="1">
        <v>-1.370961</v>
      </c>
      <c r="J64" s="1">
        <v>100.0</v>
      </c>
      <c r="K64" s="1">
        <v>0.0</v>
      </c>
      <c r="L64" s="1">
        <v>0.0</v>
      </c>
      <c r="M64" s="1">
        <v>95.531166</v>
      </c>
    </row>
    <row r="65">
      <c r="A65" s="1" t="s">
        <v>506</v>
      </c>
      <c r="B65" s="1" t="s">
        <v>507</v>
      </c>
      <c r="C65" s="1" t="str">
        <f>IFERROR(__xludf.DUMMYFUNCTION("IFERROR(REGEXEXTRACT(A65, ""res(269|122)""), ""none"")"),"269")</f>
        <v>269</v>
      </c>
      <c r="D65" s="1">
        <v>-15.26509</v>
      </c>
      <c r="E65" s="1">
        <v>12.0</v>
      </c>
      <c r="F65" s="1">
        <v>4.0</v>
      </c>
      <c r="G65" s="1">
        <v>0.25</v>
      </c>
      <c r="H65" s="1">
        <v>3.0</v>
      </c>
      <c r="I65" s="1">
        <v>-1.724141</v>
      </c>
      <c r="J65" s="1">
        <v>100.0</v>
      </c>
      <c r="K65" s="1">
        <v>0.0</v>
      </c>
      <c r="L65" s="1">
        <v>0.0</v>
      </c>
      <c r="M65" s="1">
        <v>102.260769</v>
      </c>
    </row>
    <row r="66">
      <c r="A66" s="1" t="s">
        <v>508</v>
      </c>
      <c r="B66" s="1" t="s">
        <v>509</v>
      </c>
      <c r="C66" s="1" t="str">
        <f>IFERROR(__xludf.DUMMYFUNCTION("IFERROR(REGEXEXTRACT(A66, ""res(269|122)""), ""none"")"),"269")</f>
        <v>269</v>
      </c>
      <c r="D66" s="1">
        <v>-15.34782</v>
      </c>
      <c r="E66" s="1">
        <v>10.0</v>
      </c>
      <c r="F66" s="1">
        <v>2.0</v>
      </c>
      <c r="G66" s="1">
        <v>0.3</v>
      </c>
      <c r="H66" s="1">
        <v>2.0</v>
      </c>
      <c r="I66" s="1">
        <v>-0.762442</v>
      </c>
      <c r="J66" s="1">
        <v>100.0</v>
      </c>
      <c r="K66" s="1">
        <v>0.0</v>
      </c>
      <c r="L66" s="1">
        <v>0.0</v>
      </c>
      <c r="M66" s="1">
        <v>98.189738</v>
      </c>
    </row>
    <row r="67">
      <c r="A67" s="1" t="s">
        <v>297</v>
      </c>
      <c r="B67" s="1" t="s">
        <v>138</v>
      </c>
      <c r="C67" s="1" t="str">
        <f>IFERROR(__xludf.DUMMYFUNCTION("IFERROR(REGEXEXTRACT(A67, ""res(269|122)""), ""none"")"),"269")</f>
        <v>269</v>
      </c>
      <c r="D67" s="1">
        <v>-15.442965</v>
      </c>
      <c r="E67" s="1">
        <v>7.0</v>
      </c>
      <c r="F67" s="1">
        <v>3.0</v>
      </c>
      <c r="G67" s="1">
        <v>0.285714</v>
      </c>
      <c r="H67" s="1">
        <v>2.0</v>
      </c>
      <c r="I67" s="1">
        <v>-0.995888</v>
      </c>
      <c r="J67" s="1">
        <v>100.0</v>
      </c>
      <c r="K67" s="1">
        <v>0.0</v>
      </c>
      <c r="L67" s="1">
        <v>0.0</v>
      </c>
      <c r="M67" s="1">
        <v>95.846861</v>
      </c>
    </row>
    <row r="68">
      <c r="A68" s="1" t="s">
        <v>298</v>
      </c>
      <c r="B68" s="1" t="s">
        <v>299</v>
      </c>
      <c r="C68" s="1" t="str">
        <f>IFERROR(__xludf.DUMMYFUNCTION("IFERROR(REGEXEXTRACT(A68, ""res(269|122)""), ""none"")"),"269")</f>
        <v>269</v>
      </c>
      <c r="D68" s="1">
        <v>-15.442965</v>
      </c>
      <c r="E68" s="1">
        <v>7.0</v>
      </c>
      <c r="F68" s="1">
        <v>3.0</v>
      </c>
      <c r="G68" s="1">
        <v>0.285714</v>
      </c>
      <c r="H68" s="1">
        <v>2.0</v>
      </c>
      <c r="I68" s="1">
        <v>-0.995888</v>
      </c>
      <c r="J68" s="1">
        <v>100.0</v>
      </c>
      <c r="K68" s="1">
        <v>0.0</v>
      </c>
      <c r="L68" s="1">
        <v>0.0</v>
      </c>
      <c r="M68" s="1">
        <v>95.846861</v>
      </c>
    </row>
    <row r="69">
      <c r="A69" s="1" t="s">
        <v>300</v>
      </c>
      <c r="B69" s="1" t="s">
        <v>301</v>
      </c>
      <c r="C69" s="1" t="str">
        <f>IFERROR(__xludf.DUMMYFUNCTION("IFERROR(REGEXEXTRACT(A69, ""res(269|122)""), ""none"")"),"269")</f>
        <v>269</v>
      </c>
      <c r="D69" s="1">
        <v>-16.187871</v>
      </c>
      <c r="E69" s="1">
        <v>8.0</v>
      </c>
      <c r="F69" s="1">
        <v>2.0</v>
      </c>
      <c r="G69" s="1">
        <v>0.25</v>
      </c>
      <c r="H69" s="1">
        <v>2.0</v>
      </c>
      <c r="I69" s="1">
        <v>-1.664296</v>
      </c>
      <c r="J69" s="1">
        <v>100.0</v>
      </c>
      <c r="K69" s="1">
        <v>0.0</v>
      </c>
      <c r="L69" s="1">
        <v>0.0</v>
      </c>
      <c r="M69" s="1">
        <v>94.397833</v>
      </c>
    </row>
    <row r="70">
      <c r="A70" s="1" t="s">
        <v>302</v>
      </c>
      <c r="B70" s="1" t="s">
        <v>303</v>
      </c>
      <c r="C70" s="1" t="str">
        <f>IFERROR(__xludf.DUMMYFUNCTION("IFERROR(REGEXEXTRACT(A70, ""res(269|122)""), ""none"")"),"269")</f>
        <v>269</v>
      </c>
      <c r="D70" s="1">
        <v>-15.122502</v>
      </c>
      <c r="E70" s="1">
        <v>9.0</v>
      </c>
      <c r="F70" s="1">
        <v>1.0</v>
      </c>
      <c r="G70" s="1">
        <v>0.333333</v>
      </c>
      <c r="H70" s="1">
        <v>2.0</v>
      </c>
      <c r="I70" s="1">
        <v>-1.2518</v>
      </c>
      <c r="J70" s="1">
        <v>100.0</v>
      </c>
      <c r="K70" s="1">
        <v>0.0</v>
      </c>
      <c r="L70" s="1">
        <v>0.0</v>
      </c>
      <c r="M70" s="1">
        <v>95.959031</v>
      </c>
    </row>
    <row r="71">
      <c r="A71" s="1" t="s">
        <v>510</v>
      </c>
      <c r="B71" s="1" t="s">
        <v>511</v>
      </c>
      <c r="C71" s="1" t="str">
        <f>IFERROR(__xludf.DUMMYFUNCTION("IFERROR(REGEXEXTRACT(A71, ""res(269|122)""), ""none"")"),"269")</f>
        <v>269</v>
      </c>
      <c r="D71" s="1">
        <v>-15.348449</v>
      </c>
      <c r="E71" s="1">
        <v>9.0</v>
      </c>
      <c r="F71" s="1">
        <v>2.0</v>
      </c>
      <c r="G71" s="1">
        <v>0.333333</v>
      </c>
      <c r="H71" s="1">
        <v>3.0</v>
      </c>
      <c r="I71" s="1">
        <v>-0.898482</v>
      </c>
      <c r="J71" s="1">
        <v>100.0</v>
      </c>
      <c r="K71" s="1">
        <v>0.0</v>
      </c>
      <c r="L71" s="1">
        <v>0.0</v>
      </c>
      <c r="M71" s="1">
        <v>98.086402</v>
      </c>
    </row>
    <row r="72">
      <c r="A72" s="1" t="s">
        <v>512</v>
      </c>
      <c r="B72" s="1" t="s">
        <v>513</v>
      </c>
      <c r="C72" s="1" t="str">
        <f>IFERROR(__xludf.DUMMYFUNCTION("IFERROR(REGEXEXTRACT(A72, ""res(269|122)""), ""none"")"),"269")</f>
        <v>269</v>
      </c>
      <c r="D72" s="1">
        <v>-15.025488</v>
      </c>
      <c r="E72" s="1">
        <v>7.0</v>
      </c>
      <c r="F72" s="1">
        <v>2.0</v>
      </c>
      <c r="G72" s="1">
        <v>0.285714</v>
      </c>
      <c r="H72" s="1">
        <v>2.0</v>
      </c>
      <c r="I72" s="1">
        <v>-0.824596</v>
      </c>
      <c r="J72" s="1">
        <v>100.0</v>
      </c>
      <c r="K72" s="1">
        <v>0.0</v>
      </c>
      <c r="L72" s="1">
        <v>0.0</v>
      </c>
      <c r="M72" s="1">
        <v>95.43563</v>
      </c>
    </row>
    <row r="73">
      <c r="A73" s="1" t="s">
        <v>514</v>
      </c>
      <c r="B73" s="1" t="s">
        <v>515</v>
      </c>
      <c r="C73" s="1" t="str">
        <f>IFERROR(__xludf.DUMMYFUNCTION("IFERROR(REGEXEXTRACT(A73, ""res(269|122)""), ""none"")"),"269")</f>
        <v>269</v>
      </c>
      <c r="D73" s="1">
        <v>-15.791781</v>
      </c>
      <c r="E73" s="1">
        <v>8.0</v>
      </c>
      <c r="F73" s="1">
        <v>3.0</v>
      </c>
      <c r="G73" s="1">
        <v>0.25</v>
      </c>
      <c r="H73" s="1">
        <v>2.0</v>
      </c>
      <c r="I73" s="1">
        <v>-0.755884</v>
      </c>
      <c r="J73" s="1">
        <v>100.0</v>
      </c>
      <c r="K73" s="1">
        <v>0.0</v>
      </c>
      <c r="L73" s="1">
        <v>0.0</v>
      </c>
      <c r="M73" s="1">
        <v>96.702335</v>
      </c>
    </row>
    <row r="74">
      <c r="A74" s="1" t="s">
        <v>516</v>
      </c>
      <c r="B74" s="1" t="s">
        <v>517</v>
      </c>
      <c r="C74" s="1" t="str">
        <f>IFERROR(__xludf.DUMMYFUNCTION("IFERROR(REGEXEXTRACT(A74, ""res(269|122)""), ""none"")"),"269")</f>
        <v>269</v>
      </c>
      <c r="D74" s="1">
        <v>-15.031921</v>
      </c>
      <c r="E74" s="1">
        <v>8.0</v>
      </c>
      <c r="F74" s="1">
        <v>2.0</v>
      </c>
      <c r="G74" s="1">
        <v>0.25</v>
      </c>
      <c r="H74" s="1">
        <v>2.0</v>
      </c>
      <c r="I74" s="1">
        <v>-1.229831</v>
      </c>
      <c r="J74" s="1">
        <v>100.0</v>
      </c>
      <c r="K74" s="1">
        <v>0.0</v>
      </c>
      <c r="L74" s="1">
        <v>0.0</v>
      </c>
      <c r="M74" s="1">
        <v>95.988248</v>
      </c>
    </row>
    <row r="75">
      <c r="A75" s="1" t="s">
        <v>518</v>
      </c>
      <c r="B75" s="1" t="s">
        <v>519</v>
      </c>
      <c r="C75" s="1" t="str">
        <f>IFERROR(__xludf.DUMMYFUNCTION("IFERROR(REGEXEXTRACT(A75, ""res(269|122)""), ""none"")"),"269")</f>
        <v>269</v>
      </c>
      <c r="D75" s="1">
        <v>-15.408612</v>
      </c>
      <c r="E75" s="1">
        <v>7.0</v>
      </c>
      <c r="F75" s="1">
        <v>2.0</v>
      </c>
      <c r="G75" s="1">
        <v>0.285714</v>
      </c>
      <c r="H75" s="1">
        <v>2.0</v>
      </c>
      <c r="I75" s="1">
        <v>-0.850939</v>
      </c>
      <c r="J75" s="1">
        <v>100.0</v>
      </c>
      <c r="K75" s="1">
        <v>0.0</v>
      </c>
      <c r="L75" s="1">
        <v>0.0</v>
      </c>
      <c r="M75" s="1">
        <v>95.026163</v>
      </c>
    </row>
    <row r="76">
      <c r="A76" s="1" t="s">
        <v>304</v>
      </c>
      <c r="B76" s="1" t="s">
        <v>305</v>
      </c>
      <c r="C76" s="1" t="str">
        <f>IFERROR(__xludf.DUMMYFUNCTION("IFERROR(REGEXEXTRACT(A76, ""res(269|122)""), ""none"")"),"269")</f>
        <v>269</v>
      </c>
      <c r="D76" s="1">
        <v>-16.909101</v>
      </c>
      <c r="E76" s="1">
        <v>8.0</v>
      </c>
      <c r="F76" s="1">
        <v>3.0</v>
      </c>
      <c r="G76" s="1">
        <v>0.5</v>
      </c>
      <c r="H76" s="1">
        <v>2.0</v>
      </c>
      <c r="I76" s="1">
        <v>-1.107364</v>
      </c>
      <c r="J76" s="1">
        <v>100.0</v>
      </c>
      <c r="K76" s="1">
        <v>0.0</v>
      </c>
      <c r="L76" s="1">
        <v>0.0</v>
      </c>
      <c r="M76" s="1">
        <v>95.483535</v>
      </c>
    </row>
    <row r="77">
      <c r="A77" s="1" t="s">
        <v>520</v>
      </c>
      <c r="B77" s="1" t="s">
        <v>521</v>
      </c>
      <c r="C77" s="1" t="str">
        <f>IFERROR(__xludf.DUMMYFUNCTION("IFERROR(REGEXEXTRACT(A77, ""res(269|122)""), ""none"")"),"269")</f>
        <v>269</v>
      </c>
      <c r="D77" s="1">
        <v>-15.175735</v>
      </c>
      <c r="E77" s="1">
        <v>9.0</v>
      </c>
      <c r="F77" s="1">
        <v>4.0</v>
      </c>
      <c r="G77" s="1">
        <v>0.333333</v>
      </c>
      <c r="H77" s="1">
        <v>2.0</v>
      </c>
      <c r="I77" s="1">
        <v>-1.041475</v>
      </c>
      <c r="J77" s="1">
        <v>100.0</v>
      </c>
      <c r="K77" s="1">
        <v>0.0</v>
      </c>
      <c r="L77" s="1">
        <v>0.0</v>
      </c>
      <c r="M77" s="1">
        <v>99.116123</v>
      </c>
    </row>
    <row r="78">
      <c r="A78" s="1" t="s">
        <v>306</v>
      </c>
      <c r="B78" s="1" t="s">
        <v>307</v>
      </c>
      <c r="C78" s="1" t="str">
        <f>IFERROR(__xludf.DUMMYFUNCTION("IFERROR(REGEXEXTRACT(A78, ""res(269|122)""), ""none"")"),"269")</f>
        <v>269</v>
      </c>
      <c r="D78" s="1">
        <v>-15.785852</v>
      </c>
      <c r="E78" s="1">
        <v>7.0</v>
      </c>
      <c r="F78" s="1">
        <v>5.0</v>
      </c>
      <c r="G78" s="1">
        <v>0.285714</v>
      </c>
      <c r="H78" s="1">
        <v>2.0</v>
      </c>
      <c r="I78" s="1">
        <v>-0.799353999999999</v>
      </c>
      <c r="J78" s="1">
        <v>100.0</v>
      </c>
      <c r="K78" s="1">
        <v>0.0</v>
      </c>
      <c r="L78" s="1">
        <v>0.0</v>
      </c>
      <c r="M78" s="1">
        <v>97.700508</v>
      </c>
    </row>
    <row r="79">
      <c r="A79" s="1" t="s">
        <v>308</v>
      </c>
      <c r="B79" s="1" t="s">
        <v>141</v>
      </c>
      <c r="C79" s="1" t="str">
        <f>IFERROR(__xludf.DUMMYFUNCTION("IFERROR(REGEXEXTRACT(A79, ""res(269|122)""), ""none"")"),"269")</f>
        <v>269</v>
      </c>
      <c r="D79" s="1">
        <v>-15.155078</v>
      </c>
      <c r="E79" s="1">
        <v>8.0</v>
      </c>
      <c r="F79" s="1">
        <v>2.0</v>
      </c>
      <c r="G79" s="1">
        <v>0.25</v>
      </c>
      <c r="H79" s="1">
        <v>2.0</v>
      </c>
      <c r="I79" s="1">
        <v>-0.394031</v>
      </c>
      <c r="J79" s="1">
        <v>100.0</v>
      </c>
      <c r="K79" s="1">
        <v>0.0</v>
      </c>
      <c r="L79" s="1">
        <v>0.0</v>
      </c>
      <c r="M79" s="1">
        <v>96.700891</v>
      </c>
    </row>
    <row r="80">
      <c r="A80" s="1" t="s">
        <v>309</v>
      </c>
      <c r="B80" s="1" t="s">
        <v>144</v>
      </c>
      <c r="C80" s="1" t="str">
        <f>IFERROR(__xludf.DUMMYFUNCTION("IFERROR(REGEXEXTRACT(A80, ""res(269|122)""), ""none"")"),"269")</f>
        <v>269</v>
      </c>
      <c r="D80" s="1">
        <v>-15.473368</v>
      </c>
      <c r="E80" s="1">
        <v>8.0</v>
      </c>
      <c r="F80" s="1">
        <v>2.0</v>
      </c>
      <c r="G80" s="1">
        <v>0.375</v>
      </c>
      <c r="H80" s="1">
        <v>2.0</v>
      </c>
      <c r="I80" s="1">
        <v>-0.972362</v>
      </c>
      <c r="J80" s="1">
        <v>100.0</v>
      </c>
      <c r="K80" s="1">
        <v>0.0</v>
      </c>
      <c r="L80" s="1">
        <v>0.0</v>
      </c>
      <c r="M80" s="1">
        <v>95.92927</v>
      </c>
    </row>
    <row r="81">
      <c r="A81" s="1" t="s">
        <v>522</v>
      </c>
      <c r="B81" s="1" t="s">
        <v>523</v>
      </c>
      <c r="C81" s="1" t="str">
        <f>IFERROR(__xludf.DUMMYFUNCTION("IFERROR(REGEXEXTRACT(A81, ""res(269|122)""), ""none"")"),"269")</f>
        <v>269</v>
      </c>
      <c r="D81" s="1">
        <v>-16.989951</v>
      </c>
      <c r="E81" s="1">
        <v>11.0</v>
      </c>
      <c r="F81" s="1">
        <v>2.0</v>
      </c>
      <c r="G81" s="1">
        <v>0.363636</v>
      </c>
      <c r="H81" s="1">
        <v>3.0</v>
      </c>
      <c r="I81" s="1">
        <v>-1.466325</v>
      </c>
      <c r="J81" s="1">
        <v>100.0</v>
      </c>
      <c r="K81" s="1">
        <v>0.0</v>
      </c>
      <c r="L81" s="1">
        <v>0.0</v>
      </c>
      <c r="M81" s="1">
        <v>97.90736</v>
      </c>
    </row>
    <row r="82">
      <c r="A82" s="1" t="s">
        <v>524</v>
      </c>
      <c r="B82" s="1" t="s">
        <v>525</v>
      </c>
      <c r="C82" s="1" t="str">
        <f>IFERROR(__xludf.DUMMYFUNCTION("IFERROR(REGEXEXTRACT(A82, ""res(269|122)""), ""none"")"),"269")</f>
        <v>269</v>
      </c>
      <c r="D82" s="1">
        <v>-16.839472</v>
      </c>
      <c r="E82" s="1">
        <v>8.0</v>
      </c>
      <c r="F82" s="1">
        <v>3.0</v>
      </c>
      <c r="G82" s="1">
        <v>0.25</v>
      </c>
      <c r="H82" s="1">
        <v>2.0</v>
      </c>
      <c r="I82" s="1">
        <v>-0.470774</v>
      </c>
      <c r="J82" s="1">
        <v>100.0</v>
      </c>
      <c r="K82" s="1">
        <v>0.0</v>
      </c>
      <c r="L82" s="1">
        <v>0.0</v>
      </c>
      <c r="M82" s="1">
        <v>95.939754</v>
      </c>
    </row>
    <row r="83">
      <c r="A83" s="1" t="s">
        <v>526</v>
      </c>
      <c r="B83" s="1" t="s">
        <v>527</v>
      </c>
      <c r="C83" s="1" t="str">
        <f>IFERROR(__xludf.DUMMYFUNCTION("IFERROR(REGEXEXTRACT(A83, ""res(269|122)""), ""none"")"),"269")</f>
        <v>269</v>
      </c>
      <c r="D83" s="1">
        <v>-15.204053</v>
      </c>
      <c r="E83" s="1">
        <v>9.0</v>
      </c>
      <c r="F83" s="1">
        <v>3.0</v>
      </c>
      <c r="G83" s="1">
        <v>0.444444</v>
      </c>
      <c r="H83" s="1">
        <v>2.0</v>
      </c>
      <c r="I83" s="1">
        <v>-1.136467</v>
      </c>
      <c r="J83" s="1">
        <v>100.0</v>
      </c>
      <c r="K83" s="1">
        <v>0.0</v>
      </c>
      <c r="L83" s="1">
        <v>0.0</v>
      </c>
      <c r="M83" s="1">
        <v>98.103924</v>
      </c>
    </row>
    <row r="84">
      <c r="A84" s="1" t="s">
        <v>528</v>
      </c>
      <c r="B84" s="1" t="s">
        <v>529</v>
      </c>
      <c r="C84" s="1" t="str">
        <f>IFERROR(__xludf.DUMMYFUNCTION("IFERROR(REGEXEXTRACT(A84, ""res(269|122)""), ""none"")"),"269")</f>
        <v>269</v>
      </c>
      <c r="D84" s="1">
        <v>-15.204053</v>
      </c>
      <c r="E84" s="1">
        <v>9.0</v>
      </c>
      <c r="F84" s="1">
        <v>3.0</v>
      </c>
      <c r="G84" s="1">
        <v>0.444444</v>
      </c>
      <c r="H84" s="1">
        <v>2.0</v>
      </c>
      <c r="I84" s="1">
        <v>-1.136467</v>
      </c>
      <c r="J84" s="1">
        <v>100.0</v>
      </c>
      <c r="K84" s="1">
        <v>0.0</v>
      </c>
      <c r="L84" s="1">
        <v>0.0</v>
      </c>
      <c r="M84" s="1">
        <v>98.103924</v>
      </c>
    </row>
    <row r="85">
      <c r="A85" s="1" t="s">
        <v>530</v>
      </c>
      <c r="B85" s="1" t="s">
        <v>531</v>
      </c>
      <c r="C85" s="1" t="str">
        <f>IFERROR(__xludf.DUMMYFUNCTION("IFERROR(REGEXEXTRACT(A85, ""res(269|122)""), ""none"")"),"269")</f>
        <v>269</v>
      </c>
      <c r="D85" s="1">
        <v>-15.460704</v>
      </c>
      <c r="E85" s="1">
        <v>7.0</v>
      </c>
      <c r="F85" s="1">
        <v>2.0</v>
      </c>
      <c r="G85" s="1">
        <v>0.428571</v>
      </c>
      <c r="H85" s="1">
        <v>2.0</v>
      </c>
      <c r="I85" s="1">
        <v>-0.528978</v>
      </c>
      <c r="J85" s="1">
        <v>100.0</v>
      </c>
      <c r="K85" s="1">
        <v>0.0</v>
      </c>
      <c r="L85" s="1">
        <v>0.0</v>
      </c>
      <c r="M85" s="1">
        <v>95.438889</v>
      </c>
    </row>
    <row r="86">
      <c r="A86" s="1" t="s">
        <v>310</v>
      </c>
      <c r="B86" s="1" t="s">
        <v>147</v>
      </c>
      <c r="C86" s="1" t="str">
        <f>IFERROR(__xludf.DUMMYFUNCTION("IFERROR(REGEXEXTRACT(A86, ""res(269|122)""), ""none"")"),"269")</f>
        <v>269</v>
      </c>
      <c r="D86" s="1">
        <v>-15.32929</v>
      </c>
      <c r="E86" s="1">
        <v>9.0</v>
      </c>
      <c r="F86" s="1">
        <v>2.0</v>
      </c>
      <c r="G86" s="1">
        <v>0.444444</v>
      </c>
      <c r="H86" s="1">
        <v>3.0</v>
      </c>
      <c r="I86" s="1">
        <v>-1.169854</v>
      </c>
      <c r="J86" s="1">
        <v>100.0</v>
      </c>
      <c r="K86" s="1">
        <v>0.0</v>
      </c>
      <c r="L86" s="1">
        <v>0.0</v>
      </c>
      <c r="M86" s="1">
        <v>97.9453</v>
      </c>
    </row>
    <row r="87">
      <c r="A87" s="1" t="s">
        <v>311</v>
      </c>
      <c r="B87" s="1" t="s">
        <v>312</v>
      </c>
      <c r="C87" s="1" t="str">
        <f>IFERROR(__xludf.DUMMYFUNCTION("IFERROR(REGEXEXTRACT(A87, ""res(269|122)""), ""none"")"),"269")</f>
        <v>269</v>
      </c>
      <c r="D87" s="1">
        <v>-17.46746</v>
      </c>
      <c r="E87" s="1">
        <v>9.0</v>
      </c>
      <c r="F87" s="1">
        <v>2.0</v>
      </c>
      <c r="G87" s="1">
        <v>0.333333</v>
      </c>
      <c r="H87" s="1">
        <v>2.0</v>
      </c>
      <c r="I87" s="1">
        <v>-0.960204</v>
      </c>
      <c r="J87" s="1">
        <v>100.0</v>
      </c>
      <c r="K87" s="1">
        <v>0.0</v>
      </c>
      <c r="L87" s="1">
        <v>0.0</v>
      </c>
      <c r="M87" s="1">
        <v>94.905669</v>
      </c>
    </row>
    <row r="88">
      <c r="A88" s="1" t="s">
        <v>313</v>
      </c>
      <c r="B88" s="1" t="s">
        <v>314</v>
      </c>
      <c r="C88" s="1" t="str">
        <f>IFERROR(__xludf.DUMMYFUNCTION("IFERROR(REGEXEXTRACT(A88, ""res(269|122)""), ""none"")"),"269")</f>
        <v>269</v>
      </c>
      <c r="D88" s="1">
        <v>-15.769609</v>
      </c>
      <c r="E88" s="1">
        <v>8.0</v>
      </c>
      <c r="F88" s="1">
        <v>2.0</v>
      </c>
      <c r="G88" s="1">
        <v>0.25</v>
      </c>
      <c r="H88" s="1">
        <v>2.0</v>
      </c>
      <c r="I88" s="1">
        <v>-1.998276</v>
      </c>
      <c r="J88" s="1">
        <v>100.0</v>
      </c>
      <c r="K88" s="1">
        <v>0.0</v>
      </c>
      <c r="L88" s="1">
        <v>0.0</v>
      </c>
      <c r="M88" s="1">
        <v>94.482115</v>
      </c>
    </row>
    <row r="89">
      <c r="A89" s="1" t="s">
        <v>532</v>
      </c>
      <c r="B89" s="1" t="s">
        <v>533</v>
      </c>
      <c r="C89" s="1" t="str">
        <f>IFERROR(__xludf.DUMMYFUNCTION("IFERROR(REGEXEXTRACT(A89, ""res(269|122)""), ""none"")"),"269")</f>
        <v>269</v>
      </c>
      <c r="D89" s="1">
        <v>-16.236242</v>
      </c>
      <c r="E89" s="1">
        <v>7.0</v>
      </c>
      <c r="F89" s="1">
        <v>2.0</v>
      </c>
      <c r="G89" s="1">
        <v>0.428571</v>
      </c>
      <c r="H89" s="1">
        <v>2.0</v>
      </c>
      <c r="I89" s="1">
        <v>-0.505698</v>
      </c>
      <c r="J89" s="1">
        <v>100.0</v>
      </c>
      <c r="K89" s="1">
        <v>0.0</v>
      </c>
      <c r="L89" s="1">
        <v>0.0</v>
      </c>
      <c r="M89" s="1">
        <v>94.686631</v>
      </c>
    </row>
    <row r="90">
      <c r="A90" s="1" t="s">
        <v>315</v>
      </c>
      <c r="B90" s="1" t="s">
        <v>316</v>
      </c>
      <c r="C90" s="1" t="str">
        <f>IFERROR(__xludf.DUMMYFUNCTION("IFERROR(REGEXEXTRACT(A90, ""res(269|122)""), ""none"")"),"269")</f>
        <v>269</v>
      </c>
      <c r="D90" s="1">
        <v>-16.531836</v>
      </c>
      <c r="E90" s="1">
        <v>10.0</v>
      </c>
      <c r="F90" s="1">
        <v>2.0</v>
      </c>
      <c r="G90" s="1">
        <v>0.3</v>
      </c>
      <c r="H90" s="1">
        <v>2.0</v>
      </c>
      <c r="I90" s="1">
        <v>-0.888794</v>
      </c>
      <c r="J90" s="1">
        <v>100.0</v>
      </c>
      <c r="K90" s="1">
        <v>0.0</v>
      </c>
      <c r="L90" s="1">
        <v>0.0</v>
      </c>
      <c r="M90" s="1">
        <v>96.87937</v>
      </c>
    </row>
    <row r="91">
      <c r="A91" s="1" t="s">
        <v>534</v>
      </c>
      <c r="B91" s="1" t="s">
        <v>535</v>
      </c>
      <c r="C91" s="1" t="str">
        <f>IFERROR(__xludf.DUMMYFUNCTION("IFERROR(REGEXEXTRACT(A91, ""res(269|122)""), ""none"")"),"269")</f>
        <v>269</v>
      </c>
      <c r="D91" s="1">
        <v>-17.325922</v>
      </c>
      <c r="E91" s="1">
        <v>8.0</v>
      </c>
      <c r="F91" s="1">
        <v>2.0</v>
      </c>
      <c r="G91" s="1">
        <v>0.25</v>
      </c>
      <c r="H91" s="1">
        <v>2.0</v>
      </c>
      <c r="I91" s="1">
        <v>-0.547214</v>
      </c>
      <c r="J91" s="1">
        <v>100.0</v>
      </c>
      <c r="K91" s="1">
        <v>0.0</v>
      </c>
      <c r="L91" s="1">
        <v>0.0</v>
      </c>
      <c r="M91" s="1">
        <v>94.376864</v>
      </c>
    </row>
    <row r="92">
      <c r="A92" s="1" t="s">
        <v>536</v>
      </c>
      <c r="B92" s="1" t="s">
        <v>537</v>
      </c>
      <c r="C92" s="1" t="str">
        <f>IFERROR(__xludf.DUMMYFUNCTION("IFERROR(REGEXEXTRACT(A92, ""res(269|122)""), ""none"")"),"269")</f>
        <v>269</v>
      </c>
      <c r="D92" s="1">
        <v>-15.253563</v>
      </c>
      <c r="E92" s="1">
        <v>8.0</v>
      </c>
      <c r="F92" s="1">
        <v>2.0</v>
      </c>
      <c r="G92" s="1">
        <v>0.375</v>
      </c>
      <c r="H92" s="1">
        <v>2.0</v>
      </c>
      <c r="I92" s="1">
        <v>-0.551176999999999</v>
      </c>
      <c r="J92" s="1">
        <v>100.0</v>
      </c>
      <c r="K92" s="1">
        <v>0.0</v>
      </c>
      <c r="L92" s="1">
        <v>0.0</v>
      </c>
      <c r="M92" s="1">
        <v>96.57026</v>
      </c>
    </row>
    <row r="93">
      <c r="A93" s="1" t="s">
        <v>317</v>
      </c>
      <c r="B93" s="1" t="s">
        <v>318</v>
      </c>
      <c r="C93" s="1" t="str">
        <f>IFERROR(__xludf.DUMMYFUNCTION("IFERROR(REGEXEXTRACT(A93, ""res(269|122)""), ""none"")"),"269")</f>
        <v>269</v>
      </c>
      <c r="D93" s="1">
        <v>-15.695983</v>
      </c>
      <c r="E93" s="1">
        <v>8.0</v>
      </c>
      <c r="F93" s="1">
        <v>3.0</v>
      </c>
      <c r="G93" s="1">
        <v>0.375</v>
      </c>
      <c r="H93" s="1">
        <v>2.0</v>
      </c>
      <c r="I93" s="1">
        <v>-0.764023</v>
      </c>
      <c r="J93" s="1">
        <v>100.0</v>
      </c>
      <c r="K93" s="1">
        <v>0.0</v>
      </c>
      <c r="L93" s="1">
        <v>0.0</v>
      </c>
      <c r="M93" s="1">
        <v>96.914994</v>
      </c>
    </row>
    <row r="94">
      <c r="A94" s="1" t="s">
        <v>538</v>
      </c>
      <c r="B94" s="1" t="s">
        <v>539</v>
      </c>
      <c r="C94" s="1" t="str">
        <f>IFERROR(__xludf.DUMMYFUNCTION("IFERROR(REGEXEXTRACT(A94, ""res(269|122)""), ""none"")"),"269")</f>
        <v>269</v>
      </c>
      <c r="D94" s="1">
        <v>-15.251704</v>
      </c>
      <c r="E94" s="1">
        <v>7.0</v>
      </c>
      <c r="F94" s="1">
        <v>4.0</v>
      </c>
      <c r="G94" s="1">
        <v>0.428571</v>
      </c>
      <c r="H94" s="1">
        <v>2.0</v>
      </c>
      <c r="I94" s="1">
        <v>-1.266081</v>
      </c>
      <c r="J94" s="1">
        <v>100.0</v>
      </c>
      <c r="K94" s="1">
        <v>0.0</v>
      </c>
      <c r="L94" s="1">
        <v>0.0</v>
      </c>
      <c r="M94" s="1">
        <v>96.910786</v>
      </c>
    </row>
    <row r="95">
      <c r="A95" s="1" t="s">
        <v>319</v>
      </c>
      <c r="B95" s="1" t="s">
        <v>150</v>
      </c>
      <c r="C95" s="1" t="str">
        <f>IFERROR(__xludf.DUMMYFUNCTION("IFERROR(REGEXEXTRACT(A95, ""res(269|122)""), ""none"")"),"269")</f>
        <v>269</v>
      </c>
      <c r="D95" s="1">
        <v>-16.574584</v>
      </c>
      <c r="E95" s="1">
        <v>6.0</v>
      </c>
      <c r="F95" s="1">
        <v>1.0</v>
      </c>
      <c r="G95" s="1">
        <v>0.333333</v>
      </c>
      <c r="H95" s="1">
        <v>2.0</v>
      </c>
      <c r="I95" s="1">
        <v>-0.53138</v>
      </c>
      <c r="J95" s="1">
        <v>100.0</v>
      </c>
      <c r="K95" s="1">
        <v>0.0</v>
      </c>
      <c r="L95" s="1">
        <v>0.0</v>
      </c>
      <c r="M95" s="1">
        <v>92.227369</v>
      </c>
    </row>
    <row r="96">
      <c r="A96" s="1" t="s">
        <v>540</v>
      </c>
      <c r="B96" s="1" t="s">
        <v>541</v>
      </c>
      <c r="C96" s="1" t="str">
        <f>IFERROR(__xludf.DUMMYFUNCTION("IFERROR(REGEXEXTRACT(A96, ""res(269|122)""), ""none"")"),"269")</f>
        <v>269</v>
      </c>
      <c r="D96" s="1">
        <v>-15.023619</v>
      </c>
      <c r="E96" s="1">
        <v>9.0</v>
      </c>
      <c r="F96" s="1">
        <v>5.0</v>
      </c>
      <c r="G96" s="1">
        <v>0.333333</v>
      </c>
      <c r="H96" s="1">
        <v>2.0</v>
      </c>
      <c r="I96" s="1">
        <v>-0.778283</v>
      </c>
      <c r="J96" s="1">
        <v>100.0</v>
      </c>
      <c r="K96" s="1">
        <v>0.0</v>
      </c>
      <c r="L96" s="1">
        <v>0.0</v>
      </c>
      <c r="M96" s="1">
        <v>100.531431</v>
      </c>
    </row>
    <row r="97">
      <c r="A97" s="1" t="s">
        <v>542</v>
      </c>
      <c r="B97" s="1" t="s">
        <v>543</v>
      </c>
      <c r="C97" s="1" t="str">
        <f>IFERROR(__xludf.DUMMYFUNCTION("IFERROR(REGEXEXTRACT(A97, ""res(269|122)""), ""none"")"),"269")</f>
        <v>269</v>
      </c>
      <c r="D97" s="1">
        <v>-16.079465</v>
      </c>
      <c r="E97" s="1">
        <v>9.0</v>
      </c>
      <c r="F97" s="1">
        <v>2.0</v>
      </c>
      <c r="G97" s="1">
        <v>0.444444</v>
      </c>
      <c r="H97" s="1">
        <v>2.0</v>
      </c>
      <c r="I97" s="1">
        <v>-0.993186</v>
      </c>
      <c r="J97" s="1">
        <v>100.0</v>
      </c>
      <c r="K97" s="1">
        <v>0.0</v>
      </c>
      <c r="L97" s="1">
        <v>0.0</v>
      </c>
      <c r="M97" s="1">
        <v>96.371793</v>
      </c>
    </row>
    <row r="98">
      <c r="A98" s="1" t="s">
        <v>544</v>
      </c>
      <c r="B98" s="1" t="s">
        <v>545</v>
      </c>
      <c r="C98" s="1" t="str">
        <f>IFERROR(__xludf.DUMMYFUNCTION("IFERROR(REGEXEXTRACT(A98, ""res(269|122)""), ""none"")"),"269")</f>
        <v>269</v>
      </c>
      <c r="D98" s="1">
        <v>-16.487107</v>
      </c>
      <c r="E98" s="1">
        <v>8.0</v>
      </c>
      <c r="F98" s="1">
        <v>5.0</v>
      </c>
      <c r="G98" s="1">
        <v>0.25</v>
      </c>
      <c r="H98" s="1">
        <v>2.0</v>
      </c>
      <c r="I98" s="1">
        <v>-0.272644</v>
      </c>
      <c r="J98" s="1">
        <v>100.0</v>
      </c>
      <c r="K98" s="1">
        <v>0.0</v>
      </c>
      <c r="L98" s="1">
        <v>0.0</v>
      </c>
      <c r="M98" s="1">
        <v>98.490249</v>
      </c>
    </row>
    <row r="99">
      <c r="A99" s="1" t="s">
        <v>320</v>
      </c>
      <c r="B99" s="1" t="s">
        <v>153</v>
      </c>
      <c r="C99" s="1" t="str">
        <f>IFERROR(__xludf.DUMMYFUNCTION("IFERROR(REGEXEXTRACT(A99, ""res(269|122)""), ""none"")"),"269")</f>
        <v>269</v>
      </c>
      <c r="D99" s="1">
        <v>-16.381515</v>
      </c>
      <c r="E99" s="1">
        <v>6.0</v>
      </c>
      <c r="F99" s="1">
        <v>3.0</v>
      </c>
      <c r="G99" s="1">
        <v>0.5</v>
      </c>
      <c r="H99" s="1">
        <v>2.0</v>
      </c>
      <c r="I99" s="1">
        <v>-0.391175999999999</v>
      </c>
      <c r="J99" s="1">
        <v>100.0</v>
      </c>
      <c r="K99" s="1">
        <v>0.0</v>
      </c>
      <c r="L99" s="1">
        <v>0.0</v>
      </c>
      <c r="M99" s="1">
        <v>94.727309</v>
      </c>
    </row>
    <row r="100">
      <c r="A100" s="1" t="s">
        <v>321</v>
      </c>
      <c r="B100" s="1" t="s">
        <v>322</v>
      </c>
      <c r="C100" s="1" t="str">
        <f>IFERROR(__xludf.DUMMYFUNCTION("IFERROR(REGEXEXTRACT(A100, ""res(269|122)""), ""none"")"),"269")</f>
        <v>269</v>
      </c>
      <c r="D100" s="1">
        <v>-16.381515</v>
      </c>
      <c r="E100" s="1">
        <v>6.0</v>
      </c>
      <c r="F100" s="1">
        <v>3.0</v>
      </c>
      <c r="G100" s="1">
        <v>0.5</v>
      </c>
      <c r="H100" s="1">
        <v>2.0</v>
      </c>
      <c r="I100" s="1">
        <v>-0.391175999999999</v>
      </c>
      <c r="J100" s="1">
        <v>100.0</v>
      </c>
      <c r="K100" s="1">
        <v>0.0</v>
      </c>
      <c r="L100" s="1">
        <v>0.0</v>
      </c>
      <c r="M100" s="1">
        <v>94.727309</v>
      </c>
    </row>
    <row r="101">
      <c r="A101" s="1" t="s">
        <v>323</v>
      </c>
      <c r="B101" s="1" t="s">
        <v>324</v>
      </c>
      <c r="C101" s="1" t="str">
        <f>IFERROR(__xludf.DUMMYFUNCTION("IFERROR(REGEXEXTRACT(A101, ""res(269|122)""), ""none"")"),"269")</f>
        <v>269</v>
      </c>
      <c r="D101" s="1">
        <v>-16.381515</v>
      </c>
      <c r="E101" s="1">
        <v>6.0</v>
      </c>
      <c r="F101" s="1">
        <v>3.0</v>
      </c>
      <c r="G101" s="1">
        <v>0.5</v>
      </c>
      <c r="H101" s="1">
        <v>2.0</v>
      </c>
      <c r="I101" s="1">
        <v>-0.391175999999999</v>
      </c>
      <c r="J101" s="1">
        <v>100.0</v>
      </c>
      <c r="K101" s="1">
        <v>0.0</v>
      </c>
      <c r="L101" s="1">
        <v>0.0</v>
      </c>
      <c r="M101" s="1">
        <v>94.727309</v>
      </c>
    </row>
    <row r="102">
      <c r="A102" s="1" t="s">
        <v>325</v>
      </c>
      <c r="B102" s="1" t="s">
        <v>326</v>
      </c>
      <c r="C102" s="1" t="str">
        <f>IFERROR(__xludf.DUMMYFUNCTION("IFERROR(REGEXEXTRACT(A102, ""res(269|122)""), ""none"")"),"269")</f>
        <v>269</v>
      </c>
      <c r="D102" s="1">
        <v>-16.758312</v>
      </c>
      <c r="E102" s="1">
        <v>7.0</v>
      </c>
      <c r="F102" s="1">
        <v>4.0</v>
      </c>
      <c r="G102" s="1">
        <v>0.428571</v>
      </c>
      <c r="H102" s="1">
        <v>2.0</v>
      </c>
      <c r="I102" s="1">
        <v>-1.542056</v>
      </c>
      <c r="J102" s="1">
        <v>100.0</v>
      </c>
      <c r="K102" s="1">
        <v>0.0</v>
      </c>
      <c r="L102" s="1">
        <v>0.0</v>
      </c>
      <c r="M102" s="1">
        <v>95.128203</v>
      </c>
    </row>
    <row r="103">
      <c r="A103" s="1" t="s">
        <v>546</v>
      </c>
      <c r="B103" s="1" t="s">
        <v>547</v>
      </c>
      <c r="C103" s="1" t="str">
        <f>IFERROR(__xludf.DUMMYFUNCTION("IFERROR(REGEXEXTRACT(A103, ""res(269|122)""), ""none"")"),"269")</f>
        <v>269</v>
      </c>
      <c r="D103" s="1">
        <v>-16.555124</v>
      </c>
      <c r="E103" s="1">
        <v>8.0</v>
      </c>
      <c r="F103" s="1">
        <v>5.0</v>
      </c>
      <c r="G103" s="1">
        <v>0.25</v>
      </c>
      <c r="H103" s="1">
        <v>2.0</v>
      </c>
      <c r="I103" s="1">
        <v>-0.655343</v>
      </c>
      <c r="J103" s="1">
        <v>100.0</v>
      </c>
      <c r="K103" s="1">
        <v>0.0</v>
      </c>
      <c r="L103" s="1">
        <v>0.0</v>
      </c>
      <c r="M103" s="1">
        <v>98.039533</v>
      </c>
    </row>
    <row r="104">
      <c r="A104" s="1" t="s">
        <v>548</v>
      </c>
      <c r="B104" s="1" t="s">
        <v>549</v>
      </c>
      <c r="C104" s="1" t="str">
        <f>IFERROR(__xludf.DUMMYFUNCTION("IFERROR(REGEXEXTRACT(A104, ""res(269|122)""), ""none"")"),"269")</f>
        <v>269</v>
      </c>
      <c r="D104" s="1">
        <v>-16.280026</v>
      </c>
      <c r="E104" s="1">
        <v>10.0</v>
      </c>
      <c r="F104" s="1">
        <v>5.0</v>
      </c>
      <c r="G104" s="1">
        <v>0.4</v>
      </c>
      <c r="H104" s="1">
        <v>2.0</v>
      </c>
      <c r="I104" s="1">
        <v>-0.787125</v>
      </c>
      <c r="J104" s="1">
        <v>100.0</v>
      </c>
      <c r="K104" s="1">
        <v>0.0</v>
      </c>
      <c r="L104" s="1">
        <v>0.0</v>
      </c>
      <c r="M104" s="1">
        <v>100.332849</v>
      </c>
    </row>
    <row r="105">
      <c r="A105" s="1" t="s">
        <v>550</v>
      </c>
      <c r="B105" s="1" t="s">
        <v>551</v>
      </c>
      <c r="C105" s="1" t="str">
        <f>IFERROR(__xludf.DUMMYFUNCTION("IFERROR(REGEXEXTRACT(A105, ""res(269|122)""), ""none"")"),"269")</f>
        <v>269</v>
      </c>
      <c r="D105" s="1">
        <v>-15.097785</v>
      </c>
      <c r="E105" s="1">
        <v>7.0</v>
      </c>
      <c r="F105" s="1">
        <v>2.0</v>
      </c>
      <c r="G105" s="1">
        <v>0.285714</v>
      </c>
      <c r="H105" s="1">
        <v>2.0</v>
      </c>
      <c r="I105" s="1">
        <v>-0.30494</v>
      </c>
      <c r="J105" s="1">
        <v>100.0</v>
      </c>
      <c r="K105" s="1">
        <v>0.0</v>
      </c>
      <c r="L105" s="1">
        <v>0.0</v>
      </c>
      <c r="M105" s="1">
        <v>95.882989</v>
      </c>
    </row>
    <row r="106">
      <c r="A106" s="1" t="s">
        <v>327</v>
      </c>
      <c r="B106" s="1" t="s">
        <v>156</v>
      </c>
      <c r="C106" s="1" t="str">
        <f>IFERROR(__xludf.DUMMYFUNCTION("IFERROR(REGEXEXTRACT(A106, ""res(269|122)""), ""none"")"),"269")</f>
        <v>269</v>
      </c>
      <c r="D106" s="1">
        <v>-16.196607</v>
      </c>
      <c r="E106" s="1">
        <v>8.0</v>
      </c>
      <c r="F106" s="1">
        <v>5.0</v>
      </c>
      <c r="G106" s="1">
        <v>0.625</v>
      </c>
      <c r="H106" s="1">
        <v>3.0</v>
      </c>
      <c r="I106" s="1">
        <v>-1.08205699999999</v>
      </c>
      <c r="J106" s="1">
        <v>100.0</v>
      </c>
      <c r="K106" s="1">
        <v>0.0</v>
      </c>
      <c r="L106" s="1">
        <v>0.0</v>
      </c>
      <c r="M106" s="1">
        <v>99.346336</v>
      </c>
    </row>
    <row r="107">
      <c r="A107" s="1" t="s">
        <v>328</v>
      </c>
      <c r="B107" s="1" t="s">
        <v>329</v>
      </c>
      <c r="C107" s="1" t="str">
        <f>IFERROR(__xludf.DUMMYFUNCTION("IFERROR(REGEXEXTRACT(A107, ""res(269|122)""), ""none"")"),"269")</f>
        <v>269</v>
      </c>
      <c r="D107" s="1">
        <v>-15.182474</v>
      </c>
      <c r="E107" s="1">
        <v>7.0</v>
      </c>
      <c r="F107" s="1">
        <v>2.0</v>
      </c>
      <c r="G107" s="1">
        <v>0.285714</v>
      </c>
      <c r="H107" s="1">
        <v>2.0</v>
      </c>
      <c r="I107" s="1">
        <v>-0.62157</v>
      </c>
      <c r="J107" s="1">
        <v>100.0</v>
      </c>
      <c r="K107" s="1">
        <v>0.0</v>
      </c>
      <c r="L107" s="1">
        <v>0.0</v>
      </c>
      <c r="M107" s="1">
        <v>95.48167</v>
      </c>
    </row>
    <row r="108">
      <c r="A108" s="1" t="s">
        <v>330</v>
      </c>
      <c r="B108" s="1" t="s">
        <v>159</v>
      </c>
      <c r="C108" s="1" t="str">
        <f>IFERROR(__xludf.DUMMYFUNCTION("IFERROR(REGEXEXTRACT(A108, ""res(269|122)""), ""none"")"),"269")</f>
        <v>269</v>
      </c>
      <c r="D108" s="1">
        <v>-17.250811</v>
      </c>
      <c r="E108" s="1">
        <v>11.0</v>
      </c>
      <c r="F108" s="1">
        <v>5.0</v>
      </c>
      <c r="G108" s="1">
        <v>0.272727</v>
      </c>
      <c r="H108" s="1">
        <v>2.0</v>
      </c>
      <c r="I108" s="1">
        <v>-0.713731</v>
      </c>
      <c r="J108" s="1">
        <v>100.0</v>
      </c>
      <c r="K108" s="1">
        <v>0.0</v>
      </c>
      <c r="L108" s="1">
        <v>0.0</v>
      </c>
      <c r="M108" s="1">
        <v>100.308185</v>
      </c>
    </row>
    <row r="109">
      <c r="A109" s="1" t="s">
        <v>552</v>
      </c>
      <c r="B109" s="1" t="s">
        <v>553</v>
      </c>
      <c r="C109" s="1" t="str">
        <f>IFERROR(__xludf.DUMMYFUNCTION("IFERROR(REGEXEXTRACT(A109, ""res(269|122)""), ""none"")"),"269")</f>
        <v>269</v>
      </c>
      <c r="D109" s="1">
        <v>-15.356335</v>
      </c>
      <c r="E109" s="1">
        <v>8.0</v>
      </c>
      <c r="F109" s="1">
        <v>5.0</v>
      </c>
      <c r="G109" s="1">
        <v>0.25</v>
      </c>
      <c r="H109" s="1">
        <v>2.0</v>
      </c>
      <c r="I109" s="1">
        <v>-1.57059099999999</v>
      </c>
      <c r="J109" s="1">
        <v>100.0</v>
      </c>
      <c r="K109" s="1">
        <v>0.0</v>
      </c>
      <c r="L109" s="1">
        <v>0.0</v>
      </c>
      <c r="M109" s="1">
        <v>98.323074</v>
      </c>
    </row>
    <row r="110">
      <c r="A110" s="1" t="s">
        <v>554</v>
      </c>
      <c r="B110" s="1" t="s">
        <v>555</v>
      </c>
      <c r="C110" s="1" t="str">
        <f>IFERROR(__xludf.DUMMYFUNCTION("IFERROR(REGEXEXTRACT(A110, ""res(269|122)""), ""none"")"),"269")</f>
        <v>269</v>
      </c>
      <c r="D110" s="1">
        <v>-15.652692</v>
      </c>
      <c r="E110" s="1">
        <v>9.0</v>
      </c>
      <c r="F110" s="1">
        <v>5.0</v>
      </c>
      <c r="G110" s="1">
        <v>0.333333</v>
      </c>
      <c r="H110" s="1">
        <v>2.0</v>
      </c>
      <c r="I110" s="1">
        <v>-1.198917</v>
      </c>
      <c r="J110" s="1">
        <v>100.0</v>
      </c>
      <c r="K110" s="1">
        <v>0.0</v>
      </c>
      <c r="L110" s="1">
        <v>0.0</v>
      </c>
      <c r="M110" s="1">
        <v>99.481724</v>
      </c>
    </row>
    <row r="111">
      <c r="A111" s="1" t="s">
        <v>331</v>
      </c>
      <c r="B111" s="1" t="s">
        <v>332</v>
      </c>
      <c r="C111" s="1" t="str">
        <f>IFERROR(__xludf.DUMMYFUNCTION("IFERROR(REGEXEXTRACT(A111, ""res(269|122)""), ""none"")"),"269")</f>
        <v>269</v>
      </c>
      <c r="D111" s="1">
        <v>-15.813539</v>
      </c>
      <c r="E111" s="1">
        <v>8.0</v>
      </c>
      <c r="F111" s="1">
        <v>4.0</v>
      </c>
      <c r="G111" s="1">
        <v>0.375</v>
      </c>
      <c r="H111" s="1">
        <v>2.0</v>
      </c>
      <c r="I111" s="1">
        <v>-0.75356</v>
      </c>
      <c r="J111" s="1">
        <v>100.0</v>
      </c>
      <c r="K111" s="1">
        <v>0.0</v>
      </c>
      <c r="L111" s="1">
        <v>0.0</v>
      </c>
      <c r="M111" s="1">
        <v>97.807901</v>
      </c>
    </row>
    <row r="112">
      <c r="A112" s="1" t="s">
        <v>556</v>
      </c>
      <c r="B112" s="1" t="s">
        <v>557</v>
      </c>
      <c r="C112" s="1" t="str">
        <f>IFERROR(__xludf.DUMMYFUNCTION("IFERROR(REGEXEXTRACT(A112, ""res(269|122)""), ""none"")"),"269")</f>
        <v>269</v>
      </c>
      <c r="D112" s="1">
        <v>-16.773883</v>
      </c>
      <c r="E112" s="1">
        <v>8.0</v>
      </c>
      <c r="F112" s="1">
        <v>2.0</v>
      </c>
      <c r="G112" s="1">
        <v>0.25</v>
      </c>
      <c r="H112" s="1">
        <v>2.0</v>
      </c>
      <c r="I112" s="1">
        <v>-0.683917</v>
      </c>
      <c r="J112" s="1">
        <v>100.0</v>
      </c>
      <c r="K112" s="1">
        <v>0.0</v>
      </c>
      <c r="L112" s="1">
        <v>0.0</v>
      </c>
      <c r="M112" s="1">
        <v>94.7922</v>
      </c>
    </row>
    <row r="113">
      <c r="A113" s="1" t="s">
        <v>333</v>
      </c>
      <c r="B113" s="1" t="s">
        <v>162</v>
      </c>
      <c r="C113" s="1" t="str">
        <f>IFERROR(__xludf.DUMMYFUNCTION("IFERROR(REGEXEXTRACT(A113, ""res(269|122)""), ""none"")"),"269")</f>
        <v>269</v>
      </c>
      <c r="D113" s="1">
        <v>-17.483332</v>
      </c>
      <c r="E113" s="1">
        <v>7.0</v>
      </c>
      <c r="F113" s="1">
        <v>2.0</v>
      </c>
      <c r="G113" s="1">
        <v>0.428571</v>
      </c>
      <c r="H113" s="1">
        <v>2.0</v>
      </c>
      <c r="I113" s="1">
        <v>-0.934603</v>
      </c>
      <c r="J113" s="1">
        <v>100.0</v>
      </c>
      <c r="K113" s="1">
        <v>0.0</v>
      </c>
      <c r="L113" s="1">
        <v>0.0</v>
      </c>
      <c r="M113" s="1">
        <v>93.010636</v>
      </c>
    </row>
    <row r="114">
      <c r="A114" s="1" t="s">
        <v>558</v>
      </c>
      <c r="B114" s="1" t="s">
        <v>559</v>
      </c>
      <c r="C114" s="1" t="str">
        <f>IFERROR(__xludf.DUMMYFUNCTION("IFERROR(REGEXEXTRACT(A114, ""res(269|122)""), ""none"")"),"269")</f>
        <v>269</v>
      </c>
      <c r="D114" s="1">
        <v>-17.8777</v>
      </c>
      <c r="E114" s="1">
        <v>12.0</v>
      </c>
      <c r="F114" s="1">
        <v>3.0</v>
      </c>
      <c r="G114" s="1">
        <v>0.25</v>
      </c>
      <c r="H114" s="1">
        <v>2.0</v>
      </c>
      <c r="I114" s="1">
        <v>-0.895779</v>
      </c>
      <c r="J114" s="1">
        <v>100.0</v>
      </c>
      <c r="K114" s="1">
        <v>0.0</v>
      </c>
      <c r="L114" s="1">
        <v>0.0</v>
      </c>
      <c r="M114" s="1">
        <v>98.476521</v>
      </c>
    </row>
    <row r="115">
      <c r="A115" s="1" t="s">
        <v>560</v>
      </c>
      <c r="B115" s="1" t="s">
        <v>561</v>
      </c>
      <c r="C115" s="1" t="str">
        <f>IFERROR(__xludf.DUMMYFUNCTION("IFERROR(REGEXEXTRACT(A115, ""res(269|122)""), ""none"")"),"269")</f>
        <v>269</v>
      </c>
      <c r="D115" s="1">
        <v>-16.65494</v>
      </c>
      <c r="E115" s="1">
        <v>8.0</v>
      </c>
      <c r="F115" s="1">
        <v>2.0</v>
      </c>
      <c r="G115" s="1">
        <v>0.25</v>
      </c>
      <c r="H115" s="1">
        <v>2.0</v>
      </c>
      <c r="I115" s="1">
        <v>-0.791185</v>
      </c>
      <c r="J115" s="1">
        <v>100.0</v>
      </c>
      <c r="K115" s="1">
        <v>0.0</v>
      </c>
      <c r="L115" s="1">
        <v>0.0</v>
      </c>
      <c r="M115" s="1">
        <v>94.803875</v>
      </c>
    </row>
    <row r="116">
      <c r="A116" s="1" t="s">
        <v>562</v>
      </c>
      <c r="B116" s="1" t="s">
        <v>563</v>
      </c>
      <c r="C116" s="1" t="str">
        <f>IFERROR(__xludf.DUMMYFUNCTION("IFERROR(REGEXEXTRACT(A116, ""res(269|122)""), ""none"")"),"269")</f>
        <v>269</v>
      </c>
      <c r="D116" s="1">
        <v>-15.287436</v>
      </c>
      <c r="E116" s="1">
        <v>7.0</v>
      </c>
      <c r="F116" s="1">
        <v>3.0</v>
      </c>
      <c r="G116" s="1">
        <v>0.285714</v>
      </c>
      <c r="H116" s="1">
        <v>2.0</v>
      </c>
      <c r="I116" s="1">
        <v>-0.768648</v>
      </c>
      <c r="J116" s="1">
        <v>100.0</v>
      </c>
      <c r="K116" s="1">
        <v>0.0</v>
      </c>
      <c r="L116" s="1">
        <v>0.0</v>
      </c>
      <c r="M116" s="1">
        <v>96.22963</v>
      </c>
    </row>
    <row r="117">
      <c r="A117" s="1" t="s">
        <v>564</v>
      </c>
      <c r="B117" s="1" t="s">
        <v>565</v>
      </c>
      <c r="C117" s="1" t="str">
        <f>IFERROR(__xludf.DUMMYFUNCTION("IFERROR(REGEXEXTRACT(A117, ""res(269|122)""), ""none"")"),"269")</f>
        <v>269</v>
      </c>
      <c r="D117" s="1">
        <v>-15.042413</v>
      </c>
      <c r="E117" s="1">
        <v>9.0</v>
      </c>
      <c r="F117" s="1">
        <v>3.0</v>
      </c>
      <c r="G117" s="1">
        <v>0.333333</v>
      </c>
      <c r="H117" s="1">
        <v>2.0</v>
      </c>
      <c r="I117" s="1">
        <v>-0.962515</v>
      </c>
      <c r="J117" s="1">
        <v>100.0</v>
      </c>
      <c r="K117" s="1">
        <v>0.0</v>
      </c>
      <c r="L117" s="1">
        <v>0.0</v>
      </c>
      <c r="M117" s="1">
        <v>98.328405</v>
      </c>
    </row>
    <row r="118">
      <c r="A118" s="1" t="s">
        <v>334</v>
      </c>
      <c r="B118" s="1" t="s">
        <v>335</v>
      </c>
      <c r="C118" s="1" t="str">
        <f>IFERROR(__xludf.DUMMYFUNCTION("IFERROR(REGEXEXTRACT(A118, ""res(269|122)""), ""none"")"),"269")</f>
        <v>269</v>
      </c>
      <c r="D118" s="1">
        <v>-15.044133</v>
      </c>
      <c r="E118" s="1">
        <v>7.0</v>
      </c>
      <c r="F118" s="1">
        <v>3.0</v>
      </c>
      <c r="G118" s="1">
        <v>0.285714</v>
      </c>
      <c r="H118" s="1">
        <v>2.0</v>
      </c>
      <c r="I118" s="1">
        <v>-0.869404</v>
      </c>
      <c r="J118" s="1">
        <v>100.0</v>
      </c>
      <c r="K118" s="1">
        <v>0.0</v>
      </c>
      <c r="L118" s="1">
        <v>0.0</v>
      </c>
      <c r="M118" s="1">
        <v>96.372177</v>
      </c>
    </row>
    <row r="119">
      <c r="A119" s="1" t="s">
        <v>336</v>
      </c>
      <c r="B119" s="1" t="s">
        <v>337</v>
      </c>
      <c r="C119" s="1" t="str">
        <f>IFERROR(__xludf.DUMMYFUNCTION("IFERROR(REGEXEXTRACT(A119, ""res(269|122)""), ""none"")"),"269")</f>
        <v>269</v>
      </c>
      <c r="D119" s="1">
        <v>-16.338997</v>
      </c>
      <c r="E119" s="1">
        <v>6.0</v>
      </c>
      <c r="F119" s="1">
        <v>1.0</v>
      </c>
      <c r="G119" s="1">
        <v>0.333333</v>
      </c>
      <c r="H119" s="1">
        <v>2.0</v>
      </c>
      <c r="I119" s="1">
        <v>-1.569369</v>
      </c>
      <c r="J119" s="1">
        <v>100.0</v>
      </c>
      <c r="K119" s="1">
        <v>0.0</v>
      </c>
      <c r="L119" s="1">
        <v>0.0</v>
      </c>
      <c r="M119" s="1">
        <v>91.424967</v>
      </c>
    </row>
    <row r="120">
      <c r="A120" s="1" t="s">
        <v>566</v>
      </c>
      <c r="B120" s="1" t="s">
        <v>567</v>
      </c>
      <c r="C120" s="1" t="str">
        <f>IFERROR(__xludf.DUMMYFUNCTION("IFERROR(REGEXEXTRACT(A120, ""res(269|122)""), ""none"")"),"269")</f>
        <v>269</v>
      </c>
      <c r="D120" s="1">
        <v>-16.135472</v>
      </c>
      <c r="E120" s="1">
        <v>8.0</v>
      </c>
      <c r="F120" s="1">
        <v>2.0</v>
      </c>
      <c r="G120" s="1">
        <v>0.25</v>
      </c>
      <c r="H120" s="1">
        <v>2.0</v>
      </c>
      <c r="I120" s="1">
        <v>-1.048501</v>
      </c>
      <c r="J120" s="1">
        <v>100.0</v>
      </c>
      <c r="K120" s="1">
        <v>0.0</v>
      </c>
      <c r="L120" s="1">
        <v>0.0</v>
      </c>
      <c r="M120" s="1">
        <v>95.066027</v>
      </c>
    </row>
    <row r="121">
      <c r="A121" s="1" t="s">
        <v>338</v>
      </c>
      <c r="B121" s="1" t="s">
        <v>339</v>
      </c>
      <c r="C121" s="1" t="str">
        <f>IFERROR(__xludf.DUMMYFUNCTION("IFERROR(REGEXEXTRACT(A121, ""res(269|122)""), ""none"")"),"269")</f>
        <v>269</v>
      </c>
      <c r="D121" s="1">
        <v>-15.874894</v>
      </c>
      <c r="E121" s="1">
        <v>8.0</v>
      </c>
      <c r="F121" s="1">
        <v>2.0</v>
      </c>
      <c r="G121" s="1">
        <v>0.25</v>
      </c>
      <c r="H121" s="1">
        <v>2.0</v>
      </c>
      <c r="I121" s="1">
        <v>-1.527443</v>
      </c>
      <c r="J121" s="1">
        <v>100.0</v>
      </c>
      <c r="K121" s="1">
        <v>0.0</v>
      </c>
      <c r="L121" s="1">
        <v>0.0</v>
      </c>
      <c r="M121" s="1">
        <v>94.847663</v>
      </c>
    </row>
    <row r="122">
      <c r="A122" s="1" t="s">
        <v>568</v>
      </c>
      <c r="B122" s="1" t="s">
        <v>569</v>
      </c>
      <c r="C122" s="1" t="str">
        <f>IFERROR(__xludf.DUMMYFUNCTION("IFERROR(REGEXEXTRACT(A122, ""res(269|122)""), ""none"")"),"269")</f>
        <v>269</v>
      </c>
      <c r="D122" s="1">
        <v>-16.12762</v>
      </c>
      <c r="E122" s="1">
        <v>8.0</v>
      </c>
      <c r="F122" s="1">
        <v>3.0</v>
      </c>
      <c r="G122" s="1">
        <v>0.25</v>
      </c>
      <c r="H122" s="1">
        <v>2.0</v>
      </c>
      <c r="I122" s="1">
        <v>-0.539806</v>
      </c>
      <c r="J122" s="1">
        <v>100.0</v>
      </c>
      <c r="K122" s="1">
        <v>0.0</v>
      </c>
      <c r="L122" s="1">
        <v>0.0</v>
      </c>
      <c r="M122" s="1">
        <v>96.582574</v>
      </c>
    </row>
    <row r="123">
      <c r="A123" s="1" t="s">
        <v>570</v>
      </c>
      <c r="B123" s="1" t="s">
        <v>571</v>
      </c>
      <c r="C123" s="1" t="str">
        <f>IFERROR(__xludf.DUMMYFUNCTION("IFERROR(REGEXEXTRACT(A123, ""res(269|122)""), ""none"")"),"269")</f>
        <v>269</v>
      </c>
      <c r="D123" s="1">
        <v>-16.007709</v>
      </c>
      <c r="E123" s="1">
        <v>6.0</v>
      </c>
      <c r="F123" s="1">
        <v>1.0</v>
      </c>
      <c r="G123" s="1">
        <v>0.333333</v>
      </c>
      <c r="H123" s="1">
        <v>2.0</v>
      </c>
      <c r="I123" s="1">
        <v>-0.634004</v>
      </c>
      <c r="J123" s="1">
        <v>100.0</v>
      </c>
      <c r="K123" s="1">
        <v>0.0</v>
      </c>
      <c r="L123" s="1">
        <v>0.0</v>
      </c>
      <c r="M123" s="1">
        <v>92.69162</v>
      </c>
    </row>
    <row r="124">
      <c r="A124" s="1" t="s">
        <v>572</v>
      </c>
      <c r="B124" s="1" t="s">
        <v>573</v>
      </c>
      <c r="C124" s="1" t="str">
        <f>IFERROR(__xludf.DUMMYFUNCTION("IFERROR(REGEXEXTRACT(A124, ""res(269|122)""), ""none"")"),"269")</f>
        <v>269</v>
      </c>
      <c r="D124" s="1">
        <v>-15.183288</v>
      </c>
      <c r="E124" s="1">
        <v>6.0</v>
      </c>
      <c r="F124" s="1">
        <v>3.0</v>
      </c>
      <c r="G124" s="1">
        <v>0.666667</v>
      </c>
      <c r="H124" s="1">
        <v>2.0</v>
      </c>
      <c r="I124" s="1">
        <v>-0.991667</v>
      </c>
      <c r="J124" s="1">
        <v>100.0</v>
      </c>
      <c r="K124" s="1">
        <v>0.0</v>
      </c>
      <c r="L124" s="1">
        <v>0.0</v>
      </c>
      <c r="M124" s="1">
        <v>95.491712</v>
      </c>
    </row>
    <row r="125">
      <c r="A125" s="1" t="s">
        <v>340</v>
      </c>
      <c r="B125" s="1" t="s">
        <v>84</v>
      </c>
      <c r="C125" s="1" t="str">
        <f>IFERROR(__xludf.DUMMYFUNCTION("IFERROR(REGEXEXTRACT(A125, ""res(269|122)""), ""none"")"),"269")</f>
        <v>269</v>
      </c>
      <c r="D125" s="1">
        <v>-15.19198</v>
      </c>
      <c r="E125" s="1">
        <v>8.0</v>
      </c>
      <c r="F125" s="1">
        <v>3.0</v>
      </c>
      <c r="G125" s="1">
        <v>0.375</v>
      </c>
      <c r="H125" s="1">
        <v>2.0</v>
      </c>
      <c r="I125" s="1">
        <v>-1.182302</v>
      </c>
      <c r="J125" s="1">
        <v>100.0</v>
      </c>
      <c r="K125" s="1">
        <v>0.0</v>
      </c>
      <c r="L125" s="1">
        <v>0.0</v>
      </c>
      <c r="M125" s="1">
        <v>97.000718</v>
      </c>
    </row>
    <row r="126">
      <c r="A126" s="1" t="s">
        <v>341</v>
      </c>
      <c r="B126" s="1" t="s">
        <v>87</v>
      </c>
      <c r="C126" s="1" t="str">
        <f>IFERROR(__xludf.DUMMYFUNCTION("IFERROR(REGEXEXTRACT(A126, ""res(269|122)""), ""none"")"),"269")</f>
        <v>269</v>
      </c>
      <c r="D126" s="1">
        <v>-15.653385</v>
      </c>
      <c r="E126" s="1">
        <v>8.0</v>
      </c>
      <c r="F126" s="1">
        <v>3.0</v>
      </c>
      <c r="G126" s="1">
        <v>0.25</v>
      </c>
      <c r="H126" s="1">
        <v>2.0</v>
      </c>
      <c r="I126" s="1">
        <v>-0.166637</v>
      </c>
      <c r="J126" s="1">
        <v>100.0</v>
      </c>
      <c r="K126" s="1">
        <v>0.0</v>
      </c>
      <c r="L126" s="1">
        <v>0.0</v>
      </c>
      <c r="M126" s="1">
        <v>97.429978</v>
      </c>
    </row>
    <row r="127">
      <c r="A127" s="1" t="s">
        <v>342</v>
      </c>
      <c r="B127" s="1" t="s">
        <v>165</v>
      </c>
      <c r="C127" s="1" t="str">
        <f>IFERROR(__xludf.DUMMYFUNCTION("IFERROR(REGEXEXTRACT(A127, ""res(269|122)""), ""none"")"),"269")</f>
        <v>269</v>
      </c>
      <c r="D127" s="1">
        <v>-15.468589</v>
      </c>
      <c r="E127" s="1">
        <v>8.0</v>
      </c>
      <c r="F127" s="1">
        <v>3.0</v>
      </c>
      <c r="G127" s="1">
        <v>0.375</v>
      </c>
      <c r="H127" s="1">
        <v>2.0</v>
      </c>
      <c r="I127" s="1">
        <v>-0.987794</v>
      </c>
      <c r="J127" s="1">
        <v>100.0</v>
      </c>
      <c r="K127" s="1">
        <v>0.0</v>
      </c>
      <c r="L127" s="1">
        <v>0.0</v>
      </c>
      <c r="M127" s="1">
        <v>96.918617</v>
      </c>
    </row>
    <row r="128">
      <c r="A128" s="1" t="s">
        <v>343</v>
      </c>
      <c r="B128" s="1" t="s">
        <v>344</v>
      </c>
      <c r="C128" s="1" t="str">
        <f>IFERROR(__xludf.DUMMYFUNCTION("IFERROR(REGEXEXTRACT(A128, ""res(269|122)""), ""none"")"),"269")</f>
        <v>269</v>
      </c>
      <c r="D128" s="1">
        <v>-16.533467</v>
      </c>
      <c r="E128" s="1">
        <v>8.0</v>
      </c>
      <c r="F128" s="1">
        <v>5.0</v>
      </c>
      <c r="G128" s="1">
        <v>0.25</v>
      </c>
      <c r="H128" s="1">
        <v>2.0</v>
      </c>
      <c r="I128" s="1">
        <v>-1.486018</v>
      </c>
      <c r="J128" s="1">
        <v>100.0</v>
      </c>
      <c r="K128" s="1">
        <v>0.0</v>
      </c>
      <c r="L128" s="1">
        <v>0.0</v>
      </c>
      <c r="M128" s="1">
        <v>97.230515</v>
      </c>
    </row>
    <row r="129">
      <c r="A129" s="1" t="s">
        <v>574</v>
      </c>
      <c r="B129" s="1" t="s">
        <v>575</v>
      </c>
      <c r="C129" s="1" t="str">
        <f>IFERROR(__xludf.DUMMYFUNCTION("IFERROR(REGEXEXTRACT(A129, ""res(269|122)""), ""none"")"),"269")</f>
        <v>269</v>
      </c>
      <c r="D129" s="1">
        <v>-15.811695</v>
      </c>
      <c r="E129" s="1">
        <v>8.0</v>
      </c>
      <c r="F129" s="1">
        <v>1.0</v>
      </c>
      <c r="G129" s="1">
        <v>0.25</v>
      </c>
      <c r="H129" s="1">
        <v>3.0</v>
      </c>
      <c r="I129" s="1">
        <v>-1.385348</v>
      </c>
      <c r="J129" s="1">
        <v>100.0</v>
      </c>
      <c r="K129" s="1">
        <v>0.0</v>
      </c>
      <c r="L129" s="1">
        <v>0.0</v>
      </c>
      <c r="M129" s="1">
        <v>95.052957</v>
      </c>
    </row>
    <row r="130">
      <c r="A130" s="1" t="s">
        <v>576</v>
      </c>
      <c r="B130" s="1" t="s">
        <v>577</v>
      </c>
      <c r="C130" s="1" t="str">
        <f>IFERROR(__xludf.DUMMYFUNCTION("IFERROR(REGEXEXTRACT(A130, ""res(269|122)""), ""none"")"),"269")</f>
        <v>269</v>
      </c>
      <c r="D130" s="1">
        <v>-15.166917</v>
      </c>
      <c r="E130" s="1">
        <v>8.0</v>
      </c>
      <c r="F130" s="1">
        <v>5.0</v>
      </c>
      <c r="G130" s="1">
        <v>0.25</v>
      </c>
      <c r="H130" s="1">
        <v>2.0</v>
      </c>
      <c r="I130" s="1">
        <v>-0.351184999999999</v>
      </c>
      <c r="J130" s="1">
        <v>100.0</v>
      </c>
      <c r="K130" s="1">
        <v>0.0</v>
      </c>
      <c r="L130" s="1">
        <v>0.0</v>
      </c>
      <c r="M130" s="1">
        <v>99.731898</v>
      </c>
    </row>
    <row r="131">
      <c r="A131" s="1" t="s">
        <v>578</v>
      </c>
      <c r="B131" s="1" t="s">
        <v>579</v>
      </c>
      <c r="C131" s="1" t="str">
        <f>IFERROR(__xludf.DUMMYFUNCTION("IFERROR(REGEXEXTRACT(A131, ""res(269|122)""), ""none"")"),"269")</f>
        <v>269</v>
      </c>
      <c r="D131" s="1">
        <v>-16.068084</v>
      </c>
      <c r="E131" s="1">
        <v>9.0</v>
      </c>
      <c r="F131" s="1">
        <v>2.0</v>
      </c>
      <c r="G131" s="1">
        <v>0.444444</v>
      </c>
      <c r="H131" s="1">
        <v>2.0</v>
      </c>
      <c r="I131" s="1">
        <v>-1.018293</v>
      </c>
      <c r="J131" s="1">
        <v>100.0</v>
      </c>
      <c r="K131" s="1">
        <v>0.0</v>
      </c>
      <c r="L131" s="1">
        <v>0.0</v>
      </c>
      <c r="M131" s="1">
        <v>96.358067</v>
      </c>
    </row>
    <row r="132">
      <c r="A132" s="1" t="s">
        <v>345</v>
      </c>
      <c r="B132" s="1" t="s">
        <v>346</v>
      </c>
      <c r="C132" s="1" t="str">
        <f>IFERROR(__xludf.DUMMYFUNCTION("IFERROR(REGEXEXTRACT(A132, ""res(269|122)""), ""none"")"),"269")</f>
        <v>269</v>
      </c>
      <c r="D132" s="1">
        <v>-16.383014</v>
      </c>
      <c r="E132" s="1">
        <v>11.0</v>
      </c>
      <c r="F132" s="1">
        <v>5.0</v>
      </c>
      <c r="G132" s="1">
        <v>0.545455</v>
      </c>
      <c r="H132" s="1">
        <v>2.0</v>
      </c>
      <c r="I132" s="1">
        <v>-1.431922</v>
      </c>
      <c r="J132" s="1">
        <v>100.0</v>
      </c>
      <c r="K132" s="1">
        <v>0.0</v>
      </c>
      <c r="L132" s="1">
        <v>0.0</v>
      </c>
      <c r="M132" s="1">
        <v>100.730519</v>
      </c>
    </row>
    <row r="133">
      <c r="A133" s="1" t="s">
        <v>347</v>
      </c>
      <c r="B133" s="1" t="s">
        <v>348</v>
      </c>
      <c r="C133" s="1" t="str">
        <f>IFERROR(__xludf.DUMMYFUNCTION("IFERROR(REGEXEXTRACT(A133, ""res(269|122)""), ""none"")"),"269")</f>
        <v>269</v>
      </c>
      <c r="D133" s="1">
        <v>-15.915515</v>
      </c>
      <c r="E133" s="1">
        <v>8.0</v>
      </c>
      <c r="F133" s="1">
        <v>4.0</v>
      </c>
      <c r="G133" s="1">
        <v>0.375</v>
      </c>
      <c r="H133" s="1">
        <v>2.0</v>
      </c>
      <c r="I133" s="1">
        <v>-0.684045</v>
      </c>
      <c r="J133" s="1">
        <v>100.0</v>
      </c>
      <c r="K133" s="1">
        <v>0.0</v>
      </c>
      <c r="L133" s="1">
        <v>0.0</v>
      </c>
      <c r="M133" s="1">
        <v>97.77544</v>
      </c>
    </row>
    <row r="134">
      <c r="A134" s="1" t="s">
        <v>349</v>
      </c>
      <c r="B134" s="1" t="s">
        <v>90</v>
      </c>
      <c r="C134" s="1" t="str">
        <f>IFERROR(__xludf.DUMMYFUNCTION("IFERROR(REGEXEXTRACT(A134, ""res(269|122)""), ""none"")"),"269")</f>
        <v>269</v>
      </c>
      <c r="D134" s="1">
        <v>-15.759066</v>
      </c>
      <c r="E134" s="1">
        <v>7.0</v>
      </c>
      <c r="F134" s="1">
        <v>2.0</v>
      </c>
      <c r="G134" s="1">
        <v>0.571429</v>
      </c>
      <c r="H134" s="1">
        <v>2.0</v>
      </c>
      <c r="I134" s="1">
        <v>-0.931789</v>
      </c>
      <c r="J134" s="1">
        <v>100.0</v>
      </c>
      <c r="K134" s="1">
        <v>0.0</v>
      </c>
      <c r="L134" s="1">
        <v>0.0</v>
      </c>
      <c r="M134" s="1">
        <v>94.880574</v>
      </c>
    </row>
    <row r="135">
      <c r="A135" s="1" t="s">
        <v>350</v>
      </c>
      <c r="B135" s="1" t="s">
        <v>351</v>
      </c>
      <c r="C135" s="1" t="str">
        <f>IFERROR(__xludf.DUMMYFUNCTION("IFERROR(REGEXEXTRACT(A135, ""res(269|122)""), ""none"")"),"269")</f>
        <v>269</v>
      </c>
      <c r="D135" s="1">
        <v>-15.759066</v>
      </c>
      <c r="E135" s="1">
        <v>7.0</v>
      </c>
      <c r="F135" s="1">
        <v>2.0</v>
      </c>
      <c r="G135" s="1">
        <v>0.571429</v>
      </c>
      <c r="H135" s="1">
        <v>2.0</v>
      </c>
      <c r="I135" s="1">
        <v>-0.931789</v>
      </c>
      <c r="J135" s="1">
        <v>100.0</v>
      </c>
      <c r="K135" s="1">
        <v>0.0</v>
      </c>
      <c r="L135" s="1">
        <v>0.0</v>
      </c>
      <c r="M135" s="1">
        <v>94.880574</v>
      </c>
    </row>
    <row r="136">
      <c r="A136" s="1" t="s">
        <v>580</v>
      </c>
      <c r="B136" s="1" t="s">
        <v>581</v>
      </c>
      <c r="C136" s="1" t="str">
        <f>IFERROR(__xludf.DUMMYFUNCTION("IFERROR(REGEXEXTRACT(A136, ""res(269|122)""), ""none"")"),"269")</f>
        <v>269</v>
      </c>
      <c r="D136" s="1">
        <v>-15.59682</v>
      </c>
      <c r="E136" s="1">
        <v>8.0</v>
      </c>
      <c r="F136" s="1">
        <v>3.0</v>
      </c>
      <c r="G136" s="1">
        <v>0.25</v>
      </c>
      <c r="H136" s="1">
        <v>2.0</v>
      </c>
      <c r="I136" s="1">
        <v>-0.781714999999999</v>
      </c>
      <c r="J136" s="1">
        <v>100.0</v>
      </c>
      <c r="K136" s="1">
        <v>0.0</v>
      </c>
      <c r="L136" s="1">
        <v>0.0</v>
      </c>
      <c r="M136" s="1">
        <v>96.871465</v>
      </c>
    </row>
    <row r="137">
      <c r="A137" s="1" t="s">
        <v>582</v>
      </c>
      <c r="B137" s="1" t="s">
        <v>583</v>
      </c>
      <c r="C137" s="1" t="str">
        <f>IFERROR(__xludf.DUMMYFUNCTION("IFERROR(REGEXEXTRACT(A137, ""res(269|122)""), ""none"")"),"269")</f>
        <v>269</v>
      </c>
      <c r="D137" s="1">
        <v>-15.480946</v>
      </c>
      <c r="E137" s="1">
        <v>8.0</v>
      </c>
      <c r="F137" s="1">
        <v>4.0</v>
      </c>
      <c r="G137" s="1">
        <v>0.25</v>
      </c>
      <c r="H137" s="1">
        <v>2.0</v>
      </c>
      <c r="I137" s="1">
        <v>-0.505827</v>
      </c>
      <c r="J137" s="1">
        <v>100.0</v>
      </c>
      <c r="K137" s="1">
        <v>0.0</v>
      </c>
      <c r="L137" s="1">
        <v>0.0</v>
      </c>
      <c r="M137" s="1">
        <v>98.263227</v>
      </c>
    </row>
    <row r="138">
      <c r="A138" s="1" t="s">
        <v>584</v>
      </c>
      <c r="B138" s="1" t="s">
        <v>585</v>
      </c>
      <c r="C138" s="1" t="str">
        <f>IFERROR(__xludf.DUMMYFUNCTION("IFERROR(REGEXEXTRACT(A138, ""res(269|122)""), ""none"")"),"269")</f>
        <v>269</v>
      </c>
      <c r="D138" s="1">
        <v>-15.084562</v>
      </c>
      <c r="E138" s="1">
        <v>9.0</v>
      </c>
      <c r="F138" s="1">
        <v>2.0</v>
      </c>
      <c r="G138" s="1">
        <v>0.333333</v>
      </c>
      <c r="H138" s="1">
        <v>2.0</v>
      </c>
      <c r="I138" s="1">
        <v>-1.126036</v>
      </c>
      <c r="J138" s="1">
        <v>100.0</v>
      </c>
      <c r="K138" s="1">
        <v>0.0</v>
      </c>
      <c r="L138" s="1">
        <v>0.0</v>
      </c>
      <c r="M138" s="1">
        <v>97.122735</v>
      </c>
    </row>
    <row r="139">
      <c r="A139" s="1" t="s">
        <v>586</v>
      </c>
      <c r="B139" s="1" t="s">
        <v>587</v>
      </c>
      <c r="C139" s="1" t="str">
        <f>IFERROR(__xludf.DUMMYFUNCTION("IFERROR(REGEXEXTRACT(A139, ""res(269|122)""), ""none"")"),"269")</f>
        <v>269</v>
      </c>
      <c r="D139" s="1">
        <v>-16.433564</v>
      </c>
      <c r="E139" s="1">
        <v>12.0</v>
      </c>
      <c r="F139" s="1">
        <v>4.0</v>
      </c>
      <c r="G139" s="1">
        <v>0.333333</v>
      </c>
      <c r="H139" s="1">
        <v>2.0</v>
      </c>
      <c r="I139" s="1">
        <v>-0.696566999999999</v>
      </c>
      <c r="J139" s="1">
        <v>100.0</v>
      </c>
      <c r="K139" s="1">
        <v>0.0</v>
      </c>
      <c r="L139" s="1">
        <v>0.0</v>
      </c>
      <c r="M139" s="1">
        <v>101.203202</v>
      </c>
    </row>
    <row r="140">
      <c r="A140" s="1" t="s">
        <v>588</v>
      </c>
      <c r="B140" s="1" t="s">
        <v>589</v>
      </c>
      <c r="C140" s="1" t="str">
        <f>IFERROR(__xludf.DUMMYFUNCTION("IFERROR(REGEXEXTRACT(A140, ""res(269|122)""), ""none"")"),"269")</f>
        <v>269</v>
      </c>
      <c r="D140" s="1">
        <v>-15.248368</v>
      </c>
      <c r="E140" s="1">
        <v>7.0</v>
      </c>
      <c r="F140" s="1">
        <v>1.0</v>
      </c>
      <c r="G140" s="1">
        <v>0.285714</v>
      </c>
      <c r="H140" s="1">
        <v>2.0</v>
      </c>
      <c r="I140" s="1">
        <v>-0.793475</v>
      </c>
      <c r="J140" s="1">
        <v>100.0</v>
      </c>
      <c r="K140" s="1">
        <v>0.0</v>
      </c>
      <c r="L140" s="1">
        <v>0.0</v>
      </c>
      <c r="M140" s="1">
        <v>94.243871</v>
      </c>
    </row>
    <row r="141">
      <c r="A141" s="1" t="s">
        <v>590</v>
      </c>
      <c r="B141" s="1" t="s">
        <v>591</v>
      </c>
      <c r="C141" s="1" t="str">
        <f>IFERROR(__xludf.DUMMYFUNCTION("IFERROR(REGEXEXTRACT(A141, ""res(269|122)""), ""none"")"),"269")</f>
        <v>269</v>
      </c>
      <c r="D141" s="1">
        <v>-15.046665</v>
      </c>
      <c r="E141" s="1">
        <v>10.0</v>
      </c>
      <c r="F141" s="1">
        <v>3.0</v>
      </c>
      <c r="G141" s="1">
        <v>0.3</v>
      </c>
      <c r="H141" s="1">
        <v>2.0</v>
      </c>
      <c r="I141" s="1">
        <v>-0.432822</v>
      </c>
      <c r="J141" s="1">
        <v>100.0</v>
      </c>
      <c r="K141" s="1">
        <v>0.0</v>
      </c>
      <c r="L141" s="1">
        <v>0.0</v>
      </c>
      <c r="M141" s="1">
        <v>99.820513</v>
      </c>
    </row>
    <row r="142">
      <c r="A142" s="1" t="s">
        <v>592</v>
      </c>
      <c r="B142" s="1" t="s">
        <v>593</v>
      </c>
      <c r="C142" s="1" t="str">
        <f>IFERROR(__xludf.DUMMYFUNCTION("IFERROR(REGEXEXTRACT(A142, ""res(269|122)""), ""none"")"),"269")</f>
        <v>269</v>
      </c>
      <c r="D142" s="1">
        <v>-15.496757</v>
      </c>
      <c r="E142" s="1">
        <v>10.0</v>
      </c>
      <c r="F142" s="1">
        <v>2.0</v>
      </c>
      <c r="G142" s="1">
        <v>0.3</v>
      </c>
      <c r="H142" s="1">
        <v>2.0</v>
      </c>
      <c r="I142" s="1">
        <v>-0.809153999999999</v>
      </c>
      <c r="J142" s="1">
        <v>100.0</v>
      </c>
      <c r="K142" s="1">
        <v>0.0</v>
      </c>
      <c r="L142" s="1">
        <v>0.0</v>
      </c>
      <c r="M142" s="1">
        <v>97.994089</v>
      </c>
    </row>
    <row r="143">
      <c r="A143" s="1" t="s">
        <v>594</v>
      </c>
      <c r="B143" s="1" t="s">
        <v>595</v>
      </c>
      <c r="C143" s="1" t="str">
        <f>IFERROR(__xludf.DUMMYFUNCTION("IFERROR(REGEXEXTRACT(A143, ""res(269|122)""), ""none"")"),"269")</f>
        <v>269</v>
      </c>
      <c r="D143" s="1">
        <v>-15.123891</v>
      </c>
      <c r="E143" s="1">
        <v>7.0</v>
      </c>
      <c r="F143" s="1">
        <v>1.0</v>
      </c>
      <c r="G143" s="1">
        <v>0.428571</v>
      </c>
      <c r="H143" s="1">
        <v>2.0</v>
      </c>
      <c r="I143" s="1">
        <v>-0.389964</v>
      </c>
      <c r="J143" s="1">
        <v>100.0</v>
      </c>
      <c r="K143" s="1">
        <v>0.0</v>
      </c>
      <c r="L143" s="1">
        <v>0.0</v>
      </c>
      <c r="M143" s="1">
        <v>94.914716</v>
      </c>
    </row>
    <row r="144">
      <c r="A144" s="1" t="s">
        <v>596</v>
      </c>
      <c r="B144" s="1" t="s">
        <v>597</v>
      </c>
      <c r="C144" s="1" t="str">
        <f>IFERROR(__xludf.DUMMYFUNCTION("IFERROR(REGEXEXTRACT(A144, ""res(269|122)""), ""none"")"),"269")</f>
        <v>269</v>
      </c>
      <c r="D144" s="1">
        <v>-17.851558</v>
      </c>
      <c r="E144" s="1">
        <v>7.0</v>
      </c>
      <c r="F144" s="1">
        <v>2.0</v>
      </c>
      <c r="G144" s="1">
        <v>0.285714</v>
      </c>
      <c r="H144" s="1">
        <v>2.0</v>
      </c>
      <c r="I144" s="1">
        <v>-0.879698</v>
      </c>
      <c r="J144" s="1">
        <v>100.0</v>
      </c>
      <c r="K144" s="1">
        <v>0.0</v>
      </c>
      <c r="L144" s="1">
        <v>0.0</v>
      </c>
      <c r="M144" s="1">
        <v>92.554458</v>
      </c>
    </row>
    <row r="145">
      <c r="A145" s="1" t="s">
        <v>598</v>
      </c>
      <c r="B145" s="1" t="s">
        <v>599</v>
      </c>
      <c r="C145" s="1" t="str">
        <f>IFERROR(__xludf.DUMMYFUNCTION("IFERROR(REGEXEXTRACT(A145, ""res(269|122)""), ""none"")"),"269")</f>
        <v>269</v>
      </c>
      <c r="D145" s="1">
        <v>-16.37987</v>
      </c>
      <c r="E145" s="1">
        <v>13.0</v>
      </c>
      <c r="F145" s="1">
        <v>3.0</v>
      </c>
      <c r="G145" s="1">
        <v>0.307692</v>
      </c>
      <c r="H145" s="1">
        <v>2.0</v>
      </c>
      <c r="I145" s="1">
        <v>-0.226607</v>
      </c>
      <c r="J145" s="1">
        <v>100.0</v>
      </c>
      <c r="K145" s="1">
        <v>0.0</v>
      </c>
      <c r="L145" s="1">
        <v>0.0</v>
      </c>
      <c r="M145" s="1">
        <v>101.701215</v>
      </c>
    </row>
    <row r="146">
      <c r="A146" s="1" t="s">
        <v>600</v>
      </c>
      <c r="B146" s="1" t="s">
        <v>601</v>
      </c>
      <c r="C146" s="1" t="str">
        <f>IFERROR(__xludf.DUMMYFUNCTION("IFERROR(REGEXEXTRACT(A146, ""res(269|122)""), ""none"")"),"269")</f>
        <v>269</v>
      </c>
      <c r="D146" s="1">
        <v>-15.216876</v>
      </c>
      <c r="E146" s="1">
        <v>7.0</v>
      </c>
      <c r="F146" s="1">
        <v>1.0</v>
      </c>
      <c r="G146" s="1">
        <v>0.285714</v>
      </c>
      <c r="H146" s="1">
        <v>2.0</v>
      </c>
      <c r="I146" s="1">
        <v>-0.938238</v>
      </c>
      <c r="J146" s="1">
        <v>100.0</v>
      </c>
      <c r="K146" s="1">
        <v>0.0</v>
      </c>
      <c r="L146" s="1">
        <v>0.0</v>
      </c>
      <c r="M146" s="1">
        <v>94.1306</v>
      </c>
    </row>
    <row r="147">
      <c r="A147" s="1" t="s">
        <v>602</v>
      </c>
      <c r="B147" s="1" t="s">
        <v>603</v>
      </c>
      <c r="C147" s="1" t="str">
        <f>IFERROR(__xludf.DUMMYFUNCTION("IFERROR(REGEXEXTRACT(A147, ""res(269|122)""), ""none"")"),"269")</f>
        <v>269</v>
      </c>
      <c r="D147" s="1">
        <v>-15.926988</v>
      </c>
      <c r="E147" s="1">
        <v>10.0</v>
      </c>
      <c r="F147" s="1">
        <v>3.0</v>
      </c>
      <c r="G147" s="1">
        <v>0.3</v>
      </c>
      <c r="H147" s="1">
        <v>2.0</v>
      </c>
      <c r="I147" s="1">
        <v>-0.899726</v>
      </c>
      <c r="J147" s="1">
        <v>100.0</v>
      </c>
      <c r="K147" s="1">
        <v>0.0</v>
      </c>
      <c r="L147" s="1">
        <v>0.0</v>
      </c>
      <c r="M147" s="1">
        <v>98.473286</v>
      </c>
    </row>
    <row r="148">
      <c r="A148" s="1" t="s">
        <v>352</v>
      </c>
      <c r="B148" s="1" t="s">
        <v>353</v>
      </c>
      <c r="C148" s="1" t="str">
        <f>IFERROR(__xludf.DUMMYFUNCTION("IFERROR(REGEXEXTRACT(A148, ""res(269|122)""), ""none"")"),"269")</f>
        <v>269</v>
      </c>
      <c r="D148" s="1">
        <v>-15.088626</v>
      </c>
      <c r="E148" s="1">
        <v>12.0</v>
      </c>
      <c r="F148" s="1">
        <v>3.0</v>
      </c>
      <c r="G148" s="1">
        <v>0.416667</v>
      </c>
      <c r="H148" s="1">
        <v>2.0</v>
      </c>
      <c r="I148" s="1">
        <v>-0.765151</v>
      </c>
      <c r="J148" s="1">
        <v>100.0</v>
      </c>
      <c r="K148" s="1">
        <v>0.0</v>
      </c>
      <c r="L148" s="1">
        <v>0.0</v>
      </c>
      <c r="M148" s="1">
        <v>101.56289</v>
      </c>
    </row>
    <row r="149">
      <c r="A149" s="1" t="s">
        <v>604</v>
      </c>
      <c r="B149" s="1" t="s">
        <v>605</v>
      </c>
      <c r="C149" s="1" t="str">
        <f>IFERROR(__xludf.DUMMYFUNCTION("IFERROR(REGEXEXTRACT(A149, ""res(269|122)""), ""none"")"),"269")</f>
        <v>269</v>
      </c>
      <c r="D149" s="1">
        <v>-16.476724</v>
      </c>
      <c r="E149" s="1">
        <v>7.0</v>
      </c>
      <c r="F149" s="1">
        <v>2.0</v>
      </c>
      <c r="G149" s="1">
        <v>0.285714</v>
      </c>
      <c r="H149" s="1">
        <v>3.0</v>
      </c>
      <c r="I149" s="1">
        <v>-0.823762</v>
      </c>
      <c r="J149" s="1">
        <v>100.0</v>
      </c>
      <c r="K149" s="1">
        <v>0.0</v>
      </c>
      <c r="L149" s="1">
        <v>0.0</v>
      </c>
      <c r="M149" s="1">
        <v>94.985228</v>
      </c>
    </row>
    <row r="150">
      <c r="A150" s="1" t="s">
        <v>606</v>
      </c>
      <c r="B150" s="1" t="s">
        <v>607</v>
      </c>
      <c r="C150" s="1" t="str">
        <f>IFERROR(__xludf.DUMMYFUNCTION("IFERROR(REGEXEXTRACT(A150, ""res(269|122)""), ""none"")"),"269")</f>
        <v>269</v>
      </c>
      <c r="D150" s="1">
        <v>-15.583805</v>
      </c>
      <c r="E150" s="1">
        <v>7.0</v>
      </c>
      <c r="F150" s="1">
        <v>3.0</v>
      </c>
      <c r="G150" s="1">
        <v>0.285714</v>
      </c>
      <c r="H150" s="1">
        <v>2.0</v>
      </c>
      <c r="I150" s="1">
        <v>-1.40151</v>
      </c>
      <c r="J150" s="1">
        <v>100.0</v>
      </c>
      <c r="K150" s="1">
        <v>0.0</v>
      </c>
      <c r="L150" s="1">
        <v>0.0</v>
      </c>
      <c r="M150" s="1">
        <v>95.300399</v>
      </c>
    </row>
    <row r="151">
      <c r="A151" s="1" t="s">
        <v>608</v>
      </c>
      <c r="B151" s="1" t="s">
        <v>609</v>
      </c>
      <c r="C151" s="1" t="str">
        <f>IFERROR(__xludf.DUMMYFUNCTION("IFERROR(REGEXEXTRACT(A151, ""res(269|122)""), ""none"")"),"269")</f>
        <v>269</v>
      </c>
      <c r="D151" s="1">
        <v>-18.086218</v>
      </c>
      <c r="E151" s="1">
        <v>12.0</v>
      </c>
      <c r="F151" s="1">
        <v>4.0</v>
      </c>
      <c r="G151" s="1">
        <v>0.25</v>
      </c>
      <c r="H151" s="1">
        <v>2.0</v>
      </c>
      <c r="I151" s="1">
        <v>-1.08402</v>
      </c>
      <c r="J151" s="1">
        <v>100.0</v>
      </c>
      <c r="K151" s="1">
        <v>0.0</v>
      </c>
      <c r="L151" s="1">
        <v>0.0</v>
      </c>
      <c r="M151" s="1">
        <v>99.079762</v>
      </c>
    </row>
    <row r="152">
      <c r="A152" s="1" t="s">
        <v>610</v>
      </c>
      <c r="B152" s="1" t="s">
        <v>611</v>
      </c>
      <c r="C152" s="1" t="str">
        <f>IFERROR(__xludf.DUMMYFUNCTION("IFERROR(REGEXEXTRACT(A152, ""res(269|122)""), ""none"")"),"269")</f>
        <v>269</v>
      </c>
      <c r="D152" s="1">
        <v>-17.2643</v>
      </c>
      <c r="E152" s="1">
        <v>7.0</v>
      </c>
      <c r="F152" s="1">
        <v>4.0</v>
      </c>
      <c r="G152" s="1">
        <v>0.285714</v>
      </c>
      <c r="H152" s="1">
        <v>2.0</v>
      </c>
      <c r="I152" s="1">
        <v>-0.594912</v>
      </c>
      <c r="J152" s="1">
        <v>100.0</v>
      </c>
      <c r="K152" s="1">
        <v>0.0</v>
      </c>
      <c r="L152" s="1">
        <v>0.0</v>
      </c>
      <c r="M152" s="1">
        <v>95.426502</v>
      </c>
    </row>
    <row r="153">
      <c r="A153" s="1" t="s">
        <v>354</v>
      </c>
      <c r="B153" s="1" t="s">
        <v>355</v>
      </c>
      <c r="C153" s="1" t="str">
        <f>IFERROR(__xludf.DUMMYFUNCTION("IFERROR(REGEXEXTRACT(A153, ""res(269|122)""), ""none"")"),"269")</f>
        <v>269</v>
      </c>
      <c r="D153" s="1">
        <v>-16.551482</v>
      </c>
      <c r="E153" s="1">
        <v>8.0</v>
      </c>
      <c r="F153" s="1">
        <v>3.0</v>
      </c>
      <c r="G153" s="1">
        <v>0.25</v>
      </c>
      <c r="H153" s="1">
        <v>2.0</v>
      </c>
      <c r="I153" s="1">
        <v>-0.695112</v>
      </c>
      <c r="J153" s="1">
        <v>100.0</v>
      </c>
      <c r="K153" s="1">
        <v>0.0</v>
      </c>
      <c r="L153" s="1">
        <v>0.0</v>
      </c>
      <c r="M153" s="1">
        <v>96.003406</v>
      </c>
    </row>
    <row r="154">
      <c r="A154" s="1" t="s">
        <v>356</v>
      </c>
      <c r="B154" s="1" t="s">
        <v>168</v>
      </c>
      <c r="C154" s="1" t="str">
        <f>IFERROR(__xludf.DUMMYFUNCTION("IFERROR(REGEXEXTRACT(A154, ""res(269|122)""), ""none"")"),"269")</f>
        <v>269</v>
      </c>
      <c r="D154" s="1">
        <v>-16.947939</v>
      </c>
      <c r="E154" s="1">
        <v>7.0</v>
      </c>
      <c r="F154" s="1">
        <v>1.0</v>
      </c>
      <c r="G154" s="1">
        <v>0.285714</v>
      </c>
      <c r="H154" s="1">
        <v>2.0</v>
      </c>
      <c r="I154" s="1">
        <v>-1.26662</v>
      </c>
      <c r="J154" s="1">
        <v>100.0</v>
      </c>
      <c r="K154" s="1">
        <v>0.0</v>
      </c>
      <c r="L154" s="1">
        <v>0.0</v>
      </c>
      <c r="M154" s="1">
        <v>92.071155</v>
      </c>
    </row>
    <row r="155">
      <c r="A155" s="1" t="s">
        <v>612</v>
      </c>
      <c r="B155" s="1" t="s">
        <v>613</v>
      </c>
      <c r="C155" s="1" t="str">
        <f>IFERROR(__xludf.DUMMYFUNCTION("IFERROR(REGEXEXTRACT(A155, ""res(269|122)""), ""none"")"),"269")</f>
        <v>269</v>
      </c>
      <c r="D155" s="1">
        <v>-16.985042</v>
      </c>
      <c r="E155" s="1">
        <v>8.0</v>
      </c>
      <c r="F155" s="1">
        <v>4.0</v>
      </c>
      <c r="G155" s="1">
        <v>0.25</v>
      </c>
      <c r="H155" s="1">
        <v>2.0</v>
      </c>
      <c r="I155" s="1">
        <v>-1.067859</v>
      </c>
      <c r="J155" s="1">
        <v>100.0</v>
      </c>
      <c r="K155" s="1">
        <v>0.0</v>
      </c>
      <c r="L155" s="1">
        <v>0.0</v>
      </c>
      <c r="M155" s="1">
        <v>96.197099</v>
      </c>
    </row>
    <row r="156">
      <c r="A156" s="1" t="s">
        <v>614</v>
      </c>
      <c r="B156" s="1" t="s">
        <v>615</v>
      </c>
      <c r="C156" s="1" t="str">
        <f>IFERROR(__xludf.DUMMYFUNCTION("IFERROR(REGEXEXTRACT(A156, ""res(269|122)""), ""none"")"),"269")</f>
        <v>269</v>
      </c>
      <c r="D156" s="1">
        <v>-15.509211</v>
      </c>
      <c r="E156" s="1">
        <v>9.0</v>
      </c>
      <c r="F156" s="1">
        <v>3.0</v>
      </c>
      <c r="G156" s="1">
        <v>0.333333</v>
      </c>
      <c r="H156" s="1">
        <v>2.0</v>
      </c>
      <c r="I156" s="1">
        <v>-0.596599</v>
      </c>
      <c r="J156" s="1">
        <v>100.0</v>
      </c>
      <c r="K156" s="1">
        <v>0.0</v>
      </c>
      <c r="L156" s="1">
        <v>0.0</v>
      </c>
      <c r="M156" s="1">
        <v>98.227523</v>
      </c>
    </row>
    <row r="157">
      <c r="A157" s="1" t="s">
        <v>616</v>
      </c>
      <c r="B157" s="1" t="s">
        <v>617</v>
      </c>
      <c r="C157" s="1" t="str">
        <f>IFERROR(__xludf.DUMMYFUNCTION("IFERROR(REGEXEXTRACT(A157, ""res(269|122)""), ""none"")"),"269")</f>
        <v>269</v>
      </c>
      <c r="D157" s="1">
        <v>-16.224626</v>
      </c>
      <c r="E157" s="1">
        <v>12.0</v>
      </c>
      <c r="F157" s="1">
        <v>3.0</v>
      </c>
      <c r="G157" s="1">
        <v>0.25</v>
      </c>
      <c r="H157" s="1">
        <v>2.0</v>
      </c>
      <c r="I157" s="1">
        <v>-0.717456</v>
      </c>
      <c r="J157" s="1">
        <v>100.0</v>
      </c>
      <c r="K157" s="1">
        <v>0.0</v>
      </c>
      <c r="L157" s="1">
        <v>0.0</v>
      </c>
      <c r="M157" s="1">
        <v>100.307918</v>
      </c>
    </row>
    <row r="158">
      <c r="A158" s="1" t="s">
        <v>618</v>
      </c>
      <c r="B158" s="1" t="s">
        <v>619</v>
      </c>
      <c r="C158" s="1" t="str">
        <f>IFERROR(__xludf.DUMMYFUNCTION("IFERROR(REGEXEXTRACT(A158, ""res(269|122)""), ""none"")"),"269")</f>
        <v>269</v>
      </c>
      <c r="D158" s="1">
        <v>-15.347144</v>
      </c>
      <c r="E158" s="1">
        <v>8.0</v>
      </c>
      <c r="F158" s="1">
        <v>1.0</v>
      </c>
      <c r="G158" s="1">
        <v>0.375</v>
      </c>
      <c r="H158" s="1">
        <v>2.0</v>
      </c>
      <c r="I158" s="1">
        <v>-1.417512</v>
      </c>
      <c r="J158" s="1">
        <v>100.0</v>
      </c>
      <c r="K158" s="1">
        <v>0.0</v>
      </c>
      <c r="L158" s="1">
        <v>0.0</v>
      </c>
      <c r="M158" s="1">
        <v>94.610344</v>
      </c>
    </row>
    <row r="159">
      <c r="A159" s="1" t="s">
        <v>620</v>
      </c>
      <c r="B159" s="1" t="s">
        <v>621</v>
      </c>
      <c r="C159" s="1" t="str">
        <f>IFERROR(__xludf.DUMMYFUNCTION("IFERROR(REGEXEXTRACT(A159, ""res(269|122)""), ""none"")"),"269")</f>
        <v>269</v>
      </c>
      <c r="D159" s="1">
        <v>-15.969661</v>
      </c>
      <c r="E159" s="1">
        <v>10.0</v>
      </c>
      <c r="F159" s="1">
        <v>2.0</v>
      </c>
      <c r="G159" s="1">
        <v>0.5</v>
      </c>
      <c r="H159" s="1">
        <v>2.0</v>
      </c>
      <c r="I159" s="1">
        <v>-0.737468999999999</v>
      </c>
      <c r="J159" s="1">
        <v>100.0</v>
      </c>
      <c r="K159" s="1">
        <v>0.0</v>
      </c>
      <c r="L159" s="1">
        <v>0.0</v>
      </c>
      <c r="M159" s="1">
        <v>97.79287</v>
      </c>
    </row>
    <row r="160">
      <c r="A160" s="1" t="s">
        <v>622</v>
      </c>
      <c r="B160" s="1" t="s">
        <v>623</v>
      </c>
      <c r="C160" s="1" t="str">
        <f>IFERROR(__xludf.DUMMYFUNCTION("IFERROR(REGEXEXTRACT(A160, ""res(269|122)""), ""none"")"),"269")</f>
        <v>269</v>
      </c>
      <c r="D160" s="1">
        <v>-15.981415</v>
      </c>
      <c r="E160" s="1">
        <v>10.0</v>
      </c>
      <c r="F160" s="1">
        <v>3.0</v>
      </c>
      <c r="G160" s="1">
        <v>0.4</v>
      </c>
      <c r="H160" s="1">
        <v>2.0</v>
      </c>
      <c r="I160" s="1">
        <v>-1.45702499999999</v>
      </c>
      <c r="J160" s="1">
        <v>100.0</v>
      </c>
      <c r="K160" s="1">
        <v>0.0</v>
      </c>
      <c r="L160" s="1">
        <v>0.0</v>
      </c>
      <c r="M160" s="1">
        <v>97.96156</v>
      </c>
    </row>
    <row r="161">
      <c r="A161" s="1" t="s">
        <v>624</v>
      </c>
      <c r="B161" s="1" t="s">
        <v>625</v>
      </c>
      <c r="C161" s="1" t="str">
        <f>IFERROR(__xludf.DUMMYFUNCTION("IFERROR(REGEXEXTRACT(A161, ""res(269|122)""), ""none"")"),"269")</f>
        <v>269</v>
      </c>
      <c r="D161" s="1">
        <v>-15.875838</v>
      </c>
      <c r="E161" s="1">
        <v>7.0</v>
      </c>
      <c r="F161" s="1">
        <v>2.0</v>
      </c>
      <c r="G161" s="1">
        <v>0.285714</v>
      </c>
      <c r="H161" s="1">
        <v>2.0</v>
      </c>
      <c r="I161" s="1">
        <v>-0.561351</v>
      </c>
      <c r="J161" s="1">
        <v>100.0</v>
      </c>
      <c r="K161" s="1">
        <v>0.0</v>
      </c>
      <c r="L161" s="1">
        <v>0.0</v>
      </c>
      <c r="M161" s="1">
        <v>94.848525</v>
      </c>
    </row>
    <row r="162">
      <c r="A162" s="1" t="s">
        <v>626</v>
      </c>
      <c r="B162" s="1" t="s">
        <v>627</v>
      </c>
      <c r="C162" s="1" t="str">
        <f>IFERROR(__xludf.DUMMYFUNCTION("IFERROR(REGEXEXTRACT(A162, ""res(269|122)""), ""none"")"),"269")</f>
        <v>269</v>
      </c>
      <c r="D162" s="1">
        <v>-15.397525</v>
      </c>
      <c r="E162" s="1">
        <v>10.0</v>
      </c>
      <c r="F162" s="1">
        <v>3.0</v>
      </c>
      <c r="G162" s="1">
        <v>0.3</v>
      </c>
      <c r="H162" s="1">
        <v>3.0</v>
      </c>
      <c r="I162" s="1">
        <v>-2.80944</v>
      </c>
      <c r="J162" s="1">
        <v>100.0</v>
      </c>
      <c r="K162" s="1">
        <v>0.0</v>
      </c>
      <c r="L162" s="1">
        <v>0.0</v>
      </c>
      <c r="M162" s="1">
        <v>98.093035</v>
      </c>
    </row>
    <row r="163">
      <c r="A163" s="1" t="s">
        <v>628</v>
      </c>
      <c r="B163" s="1" t="s">
        <v>629</v>
      </c>
      <c r="C163" s="1" t="str">
        <f>IFERROR(__xludf.DUMMYFUNCTION("IFERROR(REGEXEXTRACT(A163, ""res(269|122)""), ""none"")"),"269")</f>
        <v>269</v>
      </c>
      <c r="D163" s="1">
        <v>-18.249974</v>
      </c>
      <c r="E163" s="1">
        <v>7.0</v>
      </c>
      <c r="F163" s="1">
        <v>3.0</v>
      </c>
      <c r="G163" s="1">
        <v>0.285714</v>
      </c>
      <c r="H163" s="1">
        <v>2.0</v>
      </c>
      <c r="I163" s="1">
        <v>-0.785149</v>
      </c>
      <c r="J163" s="1">
        <v>100.0</v>
      </c>
      <c r="K163" s="1">
        <v>0.0</v>
      </c>
      <c r="L163" s="1">
        <v>0.0</v>
      </c>
      <c r="M163" s="1">
        <v>93.250591</v>
      </c>
    </row>
    <row r="164">
      <c r="A164" s="1" t="s">
        <v>630</v>
      </c>
      <c r="B164" s="1" t="s">
        <v>631</v>
      </c>
      <c r="C164" s="1" t="str">
        <f>IFERROR(__xludf.DUMMYFUNCTION("IFERROR(REGEXEXTRACT(A164, ""res(269|122)""), ""none"")"),"269")</f>
        <v>269</v>
      </c>
      <c r="D164" s="1">
        <v>-16.682557</v>
      </c>
      <c r="E164" s="1">
        <v>8.0</v>
      </c>
      <c r="F164" s="1">
        <v>2.0</v>
      </c>
      <c r="G164" s="1">
        <v>0.25</v>
      </c>
      <c r="H164" s="1">
        <v>2.0</v>
      </c>
      <c r="I164" s="1">
        <v>-0.664636</v>
      </c>
      <c r="J164" s="1">
        <v>100.0</v>
      </c>
      <c r="K164" s="1">
        <v>0.0</v>
      </c>
      <c r="L164" s="1">
        <v>0.0</v>
      </c>
      <c r="M164" s="1">
        <v>94.902807</v>
      </c>
    </row>
    <row r="165">
      <c r="A165" s="1" t="s">
        <v>632</v>
      </c>
      <c r="B165" s="1" t="s">
        <v>633</v>
      </c>
      <c r="C165" s="1" t="str">
        <f>IFERROR(__xludf.DUMMYFUNCTION("IFERROR(REGEXEXTRACT(A165, ""res(269|122)""), ""none"")"),"269")</f>
        <v>269</v>
      </c>
      <c r="D165" s="1">
        <v>-16.279523</v>
      </c>
      <c r="E165" s="1">
        <v>9.0</v>
      </c>
      <c r="F165" s="1">
        <v>3.0</v>
      </c>
      <c r="G165" s="1">
        <v>0.333333</v>
      </c>
      <c r="H165" s="1">
        <v>2.0</v>
      </c>
      <c r="I165" s="1">
        <v>-1.390816</v>
      </c>
      <c r="J165" s="1">
        <v>100.0</v>
      </c>
      <c r="K165" s="1">
        <v>0.0</v>
      </c>
      <c r="L165" s="1">
        <v>0.0</v>
      </c>
      <c r="M165" s="1">
        <v>96.662994</v>
      </c>
    </row>
    <row r="166">
      <c r="A166" s="1" t="s">
        <v>357</v>
      </c>
      <c r="B166" s="1" t="s">
        <v>358</v>
      </c>
      <c r="C166" s="1" t="str">
        <f>IFERROR(__xludf.DUMMYFUNCTION("IFERROR(REGEXEXTRACT(A166, ""res(269|122)""), ""none"")"),"269")</f>
        <v>269</v>
      </c>
      <c r="D166" s="1">
        <v>-18.499142</v>
      </c>
      <c r="E166" s="1">
        <v>10.0</v>
      </c>
      <c r="F166" s="1">
        <v>1.0</v>
      </c>
      <c r="G166" s="1">
        <v>0.3</v>
      </c>
      <c r="H166" s="1">
        <v>3.0</v>
      </c>
      <c r="I166" s="1">
        <v>-0.362342</v>
      </c>
      <c r="J166" s="1">
        <v>100.0</v>
      </c>
      <c r="K166" s="1">
        <v>0.0</v>
      </c>
      <c r="L166" s="1">
        <v>0.0</v>
      </c>
      <c r="M166" s="1">
        <v>95.438516</v>
      </c>
    </row>
    <row r="167">
      <c r="A167" s="1" t="s">
        <v>634</v>
      </c>
      <c r="B167" s="1" t="s">
        <v>635</v>
      </c>
      <c r="C167" s="1" t="str">
        <f>IFERROR(__xludf.DUMMYFUNCTION("IFERROR(REGEXEXTRACT(A167, ""res(269|122)""), ""none"")"),"269")</f>
        <v>269</v>
      </c>
      <c r="D167" s="1">
        <v>-15.449765</v>
      </c>
      <c r="E167" s="1">
        <v>12.0</v>
      </c>
      <c r="F167" s="1">
        <v>5.0</v>
      </c>
      <c r="G167" s="1">
        <v>0.333333</v>
      </c>
      <c r="H167" s="1">
        <v>2.0</v>
      </c>
      <c r="I167" s="1">
        <v>-1.438979</v>
      </c>
      <c r="J167" s="1">
        <v>100.0</v>
      </c>
      <c r="K167" s="1">
        <v>0.0</v>
      </c>
      <c r="L167" s="1">
        <v>0.0</v>
      </c>
      <c r="M167" s="1">
        <v>102.444589</v>
      </c>
    </row>
    <row r="168">
      <c r="A168" s="1" t="s">
        <v>359</v>
      </c>
      <c r="B168" s="1" t="s">
        <v>360</v>
      </c>
      <c r="C168" s="1" t="str">
        <f>IFERROR(__xludf.DUMMYFUNCTION("IFERROR(REGEXEXTRACT(A168, ""res(269|122)""), ""none"")"),"269")</f>
        <v>269</v>
      </c>
      <c r="D168" s="1">
        <v>-16.983006</v>
      </c>
      <c r="E168" s="1">
        <v>12.0</v>
      </c>
      <c r="F168" s="1">
        <v>5.0</v>
      </c>
      <c r="G168" s="1">
        <v>0.25</v>
      </c>
      <c r="H168" s="1">
        <v>2.0</v>
      </c>
      <c r="I168" s="1">
        <v>-0.69205</v>
      </c>
      <c r="J168" s="1">
        <v>100.0</v>
      </c>
      <c r="K168" s="1">
        <v>0.0</v>
      </c>
      <c r="L168" s="1">
        <v>0.0</v>
      </c>
      <c r="M168" s="1">
        <v>101.574944</v>
      </c>
    </row>
    <row r="169">
      <c r="A169" s="1" t="s">
        <v>636</v>
      </c>
      <c r="B169" s="1" t="s">
        <v>637</v>
      </c>
      <c r="C169" s="1" t="str">
        <f>IFERROR(__xludf.DUMMYFUNCTION("IFERROR(REGEXEXTRACT(A169, ""res(269|122)""), ""none"")"),"269")</f>
        <v>269</v>
      </c>
      <c r="D169" s="1">
        <v>-15.081811</v>
      </c>
      <c r="E169" s="1">
        <v>10.0</v>
      </c>
      <c r="F169" s="1">
        <v>3.0</v>
      </c>
      <c r="G169" s="1">
        <v>0.3</v>
      </c>
      <c r="H169" s="1">
        <v>2.0</v>
      </c>
      <c r="I169" s="1">
        <v>-0.81487</v>
      </c>
      <c r="J169" s="1">
        <v>100.0</v>
      </c>
      <c r="K169" s="1">
        <v>0.0</v>
      </c>
      <c r="L169" s="1">
        <v>0.0</v>
      </c>
      <c r="M169" s="1">
        <v>99.403319</v>
      </c>
    </row>
    <row r="170">
      <c r="A170" s="1" t="s">
        <v>638</v>
      </c>
      <c r="B170" s="1" t="s">
        <v>639</v>
      </c>
      <c r="C170" s="1" t="str">
        <f>IFERROR(__xludf.DUMMYFUNCTION("IFERROR(REGEXEXTRACT(A170, ""res(269|122)""), ""none"")"),"269")</f>
        <v>269</v>
      </c>
      <c r="D170" s="1">
        <v>-15.039533</v>
      </c>
      <c r="E170" s="1">
        <v>11.0</v>
      </c>
      <c r="F170" s="1">
        <v>2.0</v>
      </c>
      <c r="G170" s="1">
        <v>0.272727</v>
      </c>
      <c r="H170" s="1">
        <v>2.0</v>
      </c>
      <c r="I170" s="1">
        <v>-0.298395</v>
      </c>
      <c r="J170" s="1">
        <v>100.0</v>
      </c>
      <c r="K170" s="1">
        <v>0.0</v>
      </c>
      <c r="L170" s="1">
        <v>0.0</v>
      </c>
      <c r="M170" s="1">
        <v>99.934799</v>
      </c>
    </row>
    <row r="171">
      <c r="A171" s="1" t="s">
        <v>640</v>
      </c>
      <c r="B171" s="1" t="s">
        <v>641</v>
      </c>
      <c r="C171" s="1" t="str">
        <f>IFERROR(__xludf.DUMMYFUNCTION("IFERROR(REGEXEXTRACT(A171, ""res(269|122)""), ""none"")"),"269")</f>
        <v>269</v>
      </c>
      <c r="D171" s="1">
        <v>-16.102788</v>
      </c>
      <c r="E171" s="1">
        <v>7.0</v>
      </c>
      <c r="F171" s="1">
        <v>4.0</v>
      </c>
      <c r="G171" s="1">
        <v>0.285714</v>
      </c>
      <c r="H171" s="1">
        <v>2.0</v>
      </c>
      <c r="I171" s="1">
        <v>-0.534735</v>
      </c>
      <c r="J171" s="1">
        <v>100.0</v>
      </c>
      <c r="K171" s="1">
        <v>0.0</v>
      </c>
      <c r="L171" s="1">
        <v>0.0</v>
      </c>
      <c r="M171" s="1">
        <v>96.648191</v>
      </c>
    </row>
    <row r="172">
      <c r="A172" s="1" t="s">
        <v>642</v>
      </c>
      <c r="B172" s="1" t="s">
        <v>643</v>
      </c>
      <c r="C172" s="1" t="str">
        <f>IFERROR(__xludf.DUMMYFUNCTION("IFERROR(REGEXEXTRACT(A172, ""res(269|122)""), ""none"")"),"269")</f>
        <v>269</v>
      </c>
      <c r="D172" s="1">
        <v>-15.730727</v>
      </c>
      <c r="E172" s="1">
        <v>7.0</v>
      </c>
      <c r="F172" s="1">
        <v>3.0</v>
      </c>
      <c r="G172" s="1">
        <v>0.285714</v>
      </c>
      <c r="H172" s="1">
        <v>2.0</v>
      </c>
      <c r="I172" s="1">
        <v>-0.917975</v>
      </c>
      <c r="J172" s="1">
        <v>100.0</v>
      </c>
      <c r="K172" s="1">
        <v>0.0</v>
      </c>
      <c r="L172" s="1">
        <v>0.0</v>
      </c>
      <c r="M172" s="1">
        <v>95.637012</v>
      </c>
    </row>
    <row r="173">
      <c r="A173" s="1" t="s">
        <v>644</v>
      </c>
      <c r="B173" s="1" t="s">
        <v>645</v>
      </c>
      <c r="C173" s="1" t="str">
        <f>IFERROR(__xludf.DUMMYFUNCTION("IFERROR(REGEXEXTRACT(A173, ""res(269|122)""), ""none"")"),"269")</f>
        <v>269</v>
      </c>
      <c r="D173" s="1">
        <v>-18.238756</v>
      </c>
      <c r="E173" s="1">
        <v>11.0</v>
      </c>
      <c r="F173" s="1">
        <v>2.0</v>
      </c>
      <c r="G173" s="1">
        <v>0.363636</v>
      </c>
      <c r="H173" s="1">
        <v>3.0</v>
      </c>
      <c r="I173" s="1">
        <v>-0.437833</v>
      </c>
      <c r="J173" s="1">
        <v>100.0</v>
      </c>
      <c r="K173" s="1">
        <v>0.0</v>
      </c>
      <c r="L173" s="1">
        <v>0.0</v>
      </c>
      <c r="M173" s="1">
        <v>97.687047</v>
      </c>
    </row>
    <row r="174">
      <c r="A174" s="1" t="s">
        <v>361</v>
      </c>
      <c r="B174" s="1" t="s">
        <v>362</v>
      </c>
      <c r="C174" s="1" t="str">
        <f>IFERROR(__xludf.DUMMYFUNCTION("IFERROR(REGEXEXTRACT(A174, ""res(269|122)""), ""none"")"),"269")</f>
        <v>269</v>
      </c>
      <c r="D174" s="1">
        <v>-15.529597</v>
      </c>
      <c r="E174" s="1">
        <v>9.0</v>
      </c>
      <c r="F174" s="1">
        <v>2.0</v>
      </c>
      <c r="G174" s="1">
        <v>0.444444</v>
      </c>
      <c r="H174" s="1">
        <v>2.0</v>
      </c>
      <c r="I174" s="1">
        <v>-0.986909</v>
      </c>
      <c r="J174" s="1">
        <v>100.0</v>
      </c>
      <c r="K174" s="1">
        <v>0.0</v>
      </c>
      <c r="L174" s="1">
        <v>0.0</v>
      </c>
      <c r="M174" s="1">
        <v>96.927938</v>
      </c>
    </row>
    <row r="175">
      <c r="A175" s="1" t="s">
        <v>646</v>
      </c>
      <c r="B175" s="1" t="s">
        <v>647</v>
      </c>
      <c r="C175" s="1" t="str">
        <f>IFERROR(__xludf.DUMMYFUNCTION("IFERROR(REGEXEXTRACT(A175, ""res(269|122)""), ""none"")"),"269")</f>
        <v>269</v>
      </c>
      <c r="D175" s="1">
        <v>-15.250452</v>
      </c>
      <c r="E175" s="1">
        <v>10.0</v>
      </c>
      <c r="F175" s="1">
        <v>5.0</v>
      </c>
      <c r="G175" s="1">
        <v>0.6</v>
      </c>
      <c r="H175" s="1">
        <v>2.0</v>
      </c>
      <c r="I175" s="1">
        <v>-0.981478</v>
      </c>
      <c r="J175" s="1">
        <v>100.0</v>
      </c>
      <c r="K175" s="1">
        <v>0.0</v>
      </c>
      <c r="L175" s="1">
        <v>0.0</v>
      </c>
      <c r="M175" s="1">
        <v>101.36807</v>
      </c>
    </row>
    <row r="176">
      <c r="A176" s="1" t="s">
        <v>363</v>
      </c>
      <c r="B176" s="1" t="s">
        <v>364</v>
      </c>
      <c r="C176" s="1" t="str">
        <f>IFERROR(__xludf.DUMMYFUNCTION("IFERROR(REGEXEXTRACT(A176, ""res(269|122)""), ""none"")"),"269")</f>
        <v>269</v>
      </c>
      <c r="D176" s="1">
        <v>-16.175959</v>
      </c>
      <c r="E176" s="1">
        <v>9.0</v>
      </c>
      <c r="F176" s="1">
        <v>3.0</v>
      </c>
      <c r="G176" s="1">
        <v>0.333333</v>
      </c>
      <c r="H176" s="1">
        <v>2.0</v>
      </c>
      <c r="I176" s="1">
        <v>-0.314357</v>
      </c>
      <c r="J176" s="1">
        <v>100.0</v>
      </c>
      <c r="K176" s="1">
        <v>0.0</v>
      </c>
      <c r="L176" s="1">
        <v>0.0</v>
      </c>
      <c r="M176" s="1">
        <v>97.843017</v>
      </c>
    </row>
    <row r="177">
      <c r="A177" s="1" t="s">
        <v>648</v>
      </c>
      <c r="B177" s="1" t="s">
        <v>649</v>
      </c>
      <c r="C177" s="1" t="str">
        <f>IFERROR(__xludf.DUMMYFUNCTION("IFERROR(REGEXEXTRACT(A177, ""res(269|122)""), ""none"")"),"269")</f>
        <v>269</v>
      </c>
      <c r="D177" s="1">
        <v>-16.232479</v>
      </c>
      <c r="E177" s="1">
        <v>9.0</v>
      </c>
      <c r="F177" s="1">
        <v>2.0</v>
      </c>
      <c r="G177" s="1">
        <v>0.333333</v>
      </c>
      <c r="H177" s="1">
        <v>2.0</v>
      </c>
      <c r="I177" s="1">
        <v>-0.871795</v>
      </c>
      <c r="J177" s="1">
        <v>100.0</v>
      </c>
      <c r="K177" s="1">
        <v>0.0</v>
      </c>
      <c r="L177" s="1">
        <v>0.0</v>
      </c>
      <c r="M177" s="1">
        <v>96.229059</v>
      </c>
    </row>
    <row r="178">
      <c r="A178" s="1" t="s">
        <v>365</v>
      </c>
      <c r="B178" s="1" t="s">
        <v>366</v>
      </c>
      <c r="C178" s="1" t="str">
        <f>IFERROR(__xludf.DUMMYFUNCTION("IFERROR(REGEXEXTRACT(A178, ""res(269|122)""), ""none"")"),"269")</f>
        <v>269</v>
      </c>
      <c r="D178" s="1">
        <v>-17.343073</v>
      </c>
      <c r="E178" s="1">
        <v>7.0</v>
      </c>
      <c r="F178" s="1">
        <v>2.0</v>
      </c>
      <c r="G178" s="1">
        <v>0.285714</v>
      </c>
      <c r="H178" s="1">
        <v>2.0</v>
      </c>
      <c r="I178" s="1">
        <v>-0.812617</v>
      </c>
      <c r="J178" s="1">
        <v>100.0</v>
      </c>
      <c r="K178" s="1">
        <v>0.0</v>
      </c>
      <c r="L178" s="1">
        <v>0.0</v>
      </c>
      <c r="M178" s="1">
        <v>93.130024</v>
      </c>
    </row>
    <row r="179">
      <c r="A179" s="1" t="s">
        <v>650</v>
      </c>
      <c r="B179" s="1" t="s">
        <v>651</v>
      </c>
      <c r="C179" s="1" t="str">
        <f>IFERROR(__xludf.DUMMYFUNCTION("IFERROR(REGEXEXTRACT(A179, ""res(269|122)""), ""none"")"),"269")</f>
        <v>269</v>
      </c>
      <c r="D179" s="1">
        <v>-15.101642</v>
      </c>
      <c r="E179" s="1">
        <v>8.0</v>
      </c>
      <c r="F179" s="1">
        <v>3.0</v>
      </c>
      <c r="G179" s="1">
        <v>0.25</v>
      </c>
      <c r="H179" s="1">
        <v>2.0</v>
      </c>
      <c r="I179" s="1">
        <v>-0.759632</v>
      </c>
      <c r="J179" s="1">
        <v>100.0</v>
      </c>
      <c r="K179" s="1">
        <v>0.0</v>
      </c>
      <c r="L179" s="1">
        <v>0.0</v>
      </c>
      <c r="M179" s="1">
        <v>97.388726</v>
      </c>
    </row>
    <row r="180">
      <c r="A180" s="1" t="s">
        <v>652</v>
      </c>
      <c r="B180" s="1" t="s">
        <v>653</v>
      </c>
      <c r="C180" s="1" t="str">
        <f>IFERROR(__xludf.DUMMYFUNCTION("IFERROR(REGEXEXTRACT(A180, ""res(269|122)""), ""none"")"),"269")</f>
        <v>269</v>
      </c>
      <c r="D180" s="1">
        <v>-17.123586</v>
      </c>
      <c r="E180" s="1">
        <v>8.0</v>
      </c>
      <c r="F180" s="1">
        <v>2.0</v>
      </c>
      <c r="G180" s="1">
        <v>0.375</v>
      </c>
      <c r="H180" s="1">
        <v>2.0</v>
      </c>
      <c r="I180" s="1">
        <v>-1.047168</v>
      </c>
      <c r="J180" s="1">
        <v>100.0</v>
      </c>
      <c r="K180" s="1">
        <v>0.0</v>
      </c>
      <c r="L180" s="1">
        <v>0.0</v>
      </c>
      <c r="M180" s="1">
        <v>94.204246</v>
      </c>
    </row>
    <row r="181">
      <c r="A181" s="1" t="s">
        <v>654</v>
      </c>
      <c r="B181" s="1" t="s">
        <v>655</v>
      </c>
      <c r="C181" s="1" t="str">
        <f>IFERROR(__xludf.DUMMYFUNCTION("IFERROR(REGEXEXTRACT(A181, ""res(269|122)""), ""none"")"),"269")</f>
        <v>269</v>
      </c>
      <c r="D181" s="1">
        <v>-15.116665</v>
      </c>
      <c r="E181" s="1">
        <v>8.0</v>
      </c>
      <c r="F181" s="1">
        <v>2.0</v>
      </c>
      <c r="G181" s="1">
        <v>0.25</v>
      </c>
      <c r="H181" s="1">
        <v>2.0</v>
      </c>
      <c r="I181" s="1">
        <v>-1.150909</v>
      </c>
      <c r="J181" s="1">
        <v>100.0</v>
      </c>
      <c r="K181" s="1">
        <v>0.0</v>
      </c>
      <c r="L181" s="1">
        <v>0.0</v>
      </c>
      <c r="M181" s="1">
        <v>95.982426</v>
      </c>
    </row>
    <row r="182">
      <c r="A182" s="1" t="s">
        <v>656</v>
      </c>
      <c r="B182" s="1" t="s">
        <v>657</v>
      </c>
      <c r="C182" s="1" t="str">
        <f>IFERROR(__xludf.DUMMYFUNCTION("IFERROR(REGEXEXTRACT(A182, ""res(269|122)""), ""none"")"),"269")</f>
        <v>269</v>
      </c>
      <c r="D182" s="1">
        <v>-15.353643</v>
      </c>
      <c r="E182" s="1">
        <v>9.0</v>
      </c>
      <c r="F182" s="1">
        <v>1.0</v>
      </c>
      <c r="G182" s="1">
        <v>0.333333</v>
      </c>
      <c r="H182" s="1">
        <v>2.0</v>
      </c>
      <c r="I182" s="1">
        <v>-1.274051</v>
      </c>
      <c r="J182" s="1">
        <v>100.0</v>
      </c>
      <c r="K182" s="1">
        <v>0.0</v>
      </c>
      <c r="L182" s="1">
        <v>0.0</v>
      </c>
      <c r="M182" s="1">
        <v>95.705639</v>
      </c>
    </row>
    <row r="183">
      <c r="A183" s="1" t="s">
        <v>658</v>
      </c>
      <c r="B183" s="1" t="s">
        <v>659</v>
      </c>
      <c r="C183" s="1" t="str">
        <f>IFERROR(__xludf.DUMMYFUNCTION("IFERROR(REGEXEXTRACT(A183, ""res(269|122)""), ""none"")"),"269")</f>
        <v>269</v>
      </c>
      <c r="D183" s="1">
        <v>-16.125849</v>
      </c>
      <c r="E183" s="1">
        <v>7.0</v>
      </c>
      <c r="F183" s="1">
        <v>4.0</v>
      </c>
      <c r="G183" s="1">
        <v>0.428571</v>
      </c>
      <c r="H183" s="1">
        <v>2.0</v>
      </c>
      <c r="I183" s="1">
        <v>-0.665465</v>
      </c>
      <c r="J183" s="1">
        <v>100.0</v>
      </c>
      <c r="K183" s="1">
        <v>0.0</v>
      </c>
      <c r="L183" s="1">
        <v>0.0</v>
      </c>
      <c r="M183" s="1">
        <v>96.637257</v>
      </c>
    </row>
    <row r="184">
      <c r="A184" s="1" t="s">
        <v>660</v>
      </c>
      <c r="B184" s="1" t="s">
        <v>661</v>
      </c>
      <c r="C184" s="1" t="str">
        <f>IFERROR(__xludf.DUMMYFUNCTION("IFERROR(REGEXEXTRACT(A184, ""res(269|122)""), ""none"")"),"269")</f>
        <v>269</v>
      </c>
      <c r="D184" s="1">
        <v>-16.253947</v>
      </c>
      <c r="E184" s="1">
        <v>7.0</v>
      </c>
      <c r="F184" s="1">
        <v>4.0</v>
      </c>
      <c r="G184" s="1">
        <v>0.285714</v>
      </c>
      <c r="H184" s="1">
        <v>2.0</v>
      </c>
      <c r="I184" s="1">
        <v>-0.635597</v>
      </c>
      <c r="J184" s="1">
        <v>100.0</v>
      </c>
      <c r="K184" s="1">
        <v>0.0</v>
      </c>
      <c r="L184" s="1">
        <v>0.0</v>
      </c>
      <c r="M184" s="1">
        <v>96.39617</v>
      </c>
    </row>
    <row r="185">
      <c r="A185" s="1" t="s">
        <v>662</v>
      </c>
      <c r="B185" s="1" t="s">
        <v>663</v>
      </c>
      <c r="C185" s="1" t="str">
        <f>IFERROR(__xludf.DUMMYFUNCTION("IFERROR(REGEXEXTRACT(A185, ""res(269|122)""), ""none"")"),"269")</f>
        <v>269</v>
      </c>
      <c r="D185" s="1">
        <v>-15.462274</v>
      </c>
      <c r="E185" s="1">
        <v>8.0</v>
      </c>
      <c r="F185" s="1">
        <v>3.0</v>
      </c>
      <c r="G185" s="1">
        <v>0.25</v>
      </c>
      <c r="H185" s="1">
        <v>2.0</v>
      </c>
      <c r="I185" s="1">
        <v>-0.696577</v>
      </c>
      <c r="J185" s="1">
        <v>100.0</v>
      </c>
      <c r="K185" s="1">
        <v>0.0</v>
      </c>
      <c r="L185" s="1">
        <v>0.0</v>
      </c>
      <c r="M185" s="1">
        <v>97.091149</v>
      </c>
    </row>
    <row r="186">
      <c r="A186" s="1" t="s">
        <v>367</v>
      </c>
      <c r="B186" s="1" t="s">
        <v>368</v>
      </c>
      <c r="C186" s="1" t="str">
        <f>IFERROR(__xludf.DUMMYFUNCTION("IFERROR(REGEXEXTRACT(A186, ""res(269|122)""), ""none"")"),"269")</f>
        <v>269</v>
      </c>
      <c r="D186" s="1">
        <v>-15.840535</v>
      </c>
      <c r="E186" s="1">
        <v>8.0</v>
      </c>
      <c r="F186" s="1">
        <v>3.0</v>
      </c>
      <c r="G186" s="1">
        <v>0.25</v>
      </c>
      <c r="H186" s="1">
        <v>2.0</v>
      </c>
      <c r="I186" s="1">
        <v>-1.102898</v>
      </c>
      <c r="J186" s="1">
        <v>100.0</v>
      </c>
      <c r="K186" s="1">
        <v>0.0</v>
      </c>
      <c r="L186" s="1">
        <v>0.0</v>
      </c>
      <c r="M186" s="1">
        <v>96.306567</v>
      </c>
    </row>
    <row r="187">
      <c r="A187" s="1" t="s">
        <v>664</v>
      </c>
      <c r="B187" s="1" t="s">
        <v>665</v>
      </c>
      <c r="C187" s="1" t="str">
        <f>IFERROR(__xludf.DUMMYFUNCTION("IFERROR(REGEXEXTRACT(A187, ""res(269|122)""), ""none"")"),"269")</f>
        <v>269</v>
      </c>
      <c r="D187" s="1">
        <v>-16.40512</v>
      </c>
      <c r="E187" s="1">
        <v>7.0</v>
      </c>
      <c r="F187" s="1">
        <v>3.0</v>
      </c>
      <c r="G187" s="1">
        <v>0.428571</v>
      </c>
      <c r="H187" s="1">
        <v>2.0</v>
      </c>
      <c r="I187" s="1">
        <v>-0.666266999999999</v>
      </c>
      <c r="J187" s="1">
        <v>100.0</v>
      </c>
      <c r="K187" s="1">
        <v>0.0</v>
      </c>
      <c r="L187" s="1">
        <v>0.0</v>
      </c>
      <c r="M187" s="1">
        <v>95.357184</v>
      </c>
    </row>
    <row r="188">
      <c r="A188" s="1" t="s">
        <v>666</v>
      </c>
      <c r="B188" s="1" t="s">
        <v>667</v>
      </c>
      <c r="C188" s="1" t="str">
        <f>IFERROR(__xludf.DUMMYFUNCTION("IFERROR(REGEXEXTRACT(A188, ""res(269|122)""), ""none"")"),"269")</f>
        <v>269</v>
      </c>
      <c r="D188" s="1">
        <v>-17.584245</v>
      </c>
      <c r="E188" s="1">
        <v>9.0</v>
      </c>
      <c r="F188" s="1">
        <v>3.0</v>
      </c>
      <c r="G188" s="1">
        <v>0.333333</v>
      </c>
      <c r="H188" s="1">
        <v>2.0</v>
      </c>
      <c r="I188" s="1">
        <v>-0.939133</v>
      </c>
      <c r="J188" s="1">
        <v>100.0</v>
      </c>
      <c r="K188" s="1">
        <v>0.0</v>
      </c>
      <c r="L188" s="1">
        <v>0.0</v>
      </c>
      <c r="M188" s="1">
        <v>95.809955</v>
      </c>
    </row>
    <row r="189">
      <c r="A189" s="1" t="s">
        <v>668</v>
      </c>
      <c r="B189" s="1" t="s">
        <v>669</v>
      </c>
      <c r="C189" s="1" t="str">
        <f>IFERROR(__xludf.DUMMYFUNCTION("IFERROR(REGEXEXTRACT(A189, ""res(269|122)""), ""none"")"),"269")</f>
        <v>269</v>
      </c>
      <c r="D189" s="1">
        <v>-16.176007</v>
      </c>
      <c r="E189" s="1">
        <v>7.0</v>
      </c>
      <c r="F189" s="1">
        <v>3.0</v>
      </c>
      <c r="G189" s="1">
        <v>0.285714</v>
      </c>
      <c r="H189" s="1">
        <v>2.0</v>
      </c>
      <c r="I189" s="1">
        <v>-1.054648</v>
      </c>
      <c r="J189" s="1">
        <v>100.0</v>
      </c>
      <c r="K189" s="1">
        <v>0.0</v>
      </c>
      <c r="L189" s="1">
        <v>0.0</v>
      </c>
      <c r="M189" s="1">
        <v>95.055059</v>
      </c>
    </row>
    <row r="190">
      <c r="A190" s="1" t="s">
        <v>670</v>
      </c>
      <c r="B190" s="1" t="s">
        <v>671</v>
      </c>
      <c r="C190" s="1" t="str">
        <f>IFERROR(__xludf.DUMMYFUNCTION("IFERROR(REGEXEXTRACT(A190, ""res(269|122)""), ""none"")"),"269")</f>
        <v>269</v>
      </c>
      <c r="D190" s="1">
        <v>-16.225543</v>
      </c>
      <c r="E190" s="1">
        <v>7.0</v>
      </c>
      <c r="F190" s="1">
        <v>2.0</v>
      </c>
      <c r="G190" s="1">
        <v>0.428571</v>
      </c>
      <c r="H190" s="1">
        <v>2.0</v>
      </c>
      <c r="I190" s="1">
        <v>-0.484107</v>
      </c>
      <c r="J190" s="1">
        <v>100.0</v>
      </c>
      <c r="K190" s="1">
        <v>0.0</v>
      </c>
      <c r="L190" s="1">
        <v>0.0</v>
      </c>
      <c r="M190" s="1">
        <v>94.718921</v>
      </c>
    </row>
    <row r="191">
      <c r="A191" s="1" t="s">
        <v>369</v>
      </c>
      <c r="B191" s="1" t="s">
        <v>370</v>
      </c>
      <c r="C191" s="1" t="str">
        <f>IFERROR(__xludf.DUMMYFUNCTION("IFERROR(REGEXEXTRACT(A191, ""res(269|122)""), ""none"")"),"269")</f>
        <v>269</v>
      </c>
      <c r="D191" s="1">
        <v>-15.34511</v>
      </c>
      <c r="E191" s="1">
        <v>6.0</v>
      </c>
      <c r="F191" s="1">
        <v>3.0</v>
      </c>
      <c r="G191" s="1">
        <v>0.333333</v>
      </c>
      <c r="H191" s="1">
        <v>2.0</v>
      </c>
      <c r="I191" s="1">
        <v>-0.649549</v>
      </c>
      <c r="J191" s="1">
        <v>100.0</v>
      </c>
      <c r="K191" s="1">
        <v>0.0</v>
      </c>
      <c r="L191" s="1">
        <v>0.0</v>
      </c>
      <c r="M191" s="1">
        <v>95.338674</v>
      </c>
    </row>
    <row r="192">
      <c r="A192" s="1" t="s">
        <v>672</v>
      </c>
      <c r="B192" s="1" t="s">
        <v>673</v>
      </c>
      <c r="C192" s="1" t="str">
        <f>IFERROR(__xludf.DUMMYFUNCTION("IFERROR(REGEXEXTRACT(A192, ""res(269|122)""), ""none"")"),"269")</f>
        <v>269</v>
      </c>
      <c r="D192" s="1">
        <v>-15.045702</v>
      </c>
      <c r="E192" s="1">
        <v>7.0</v>
      </c>
      <c r="F192" s="1">
        <v>2.0</v>
      </c>
      <c r="G192" s="1">
        <v>0.428571</v>
      </c>
      <c r="H192" s="1">
        <v>2.0</v>
      </c>
      <c r="I192" s="1">
        <v>-0.145764</v>
      </c>
      <c r="J192" s="1">
        <v>100.0</v>
      </c>
      <c r="K192" s="1">
        <v>0.0</v>
      </c>
      <c r="L192" s="1">
        <v>0.0</v>
      </c>
      <c r="M192" s="1">
        <v>96.237105</v>
      </c>
    </row>
    <row r="193">
      <c r="A193" s="1" t="s">
        <v>674</v>
      </c>
      <c r="B193" s="1" t="s">
        <v>675</v>
      </c>
      <c r="C193" s="1" t="str">
        <f>IFERROR(__xludf.DUMMYFUNCTION("IFERROR(REGEXEXTRACT(A193, ""res(269|122)""), ""none"")"),"269")</f>
        <v>269</v>
      </c>
      <c r="D193" s="1">
        <v>-15.974714</v>
      </c>
      <c r="E193" s="1">
        <v>8.0</v>
      </c>
      <c r="F193" s="1">
        <v>3.0</v>
      </c>
      <c r="G193" s="1">
        <v>0.75</v>
      </c>
      <c r="H193" s="1">
        <v>2.0</v>
      </c>
      <c r="I193" s="1">
        <v>-1.016178</v>
      </c>
      <c r="J193" s="1">
        <v>100.0</v>
      </c>
      <c r="K193" s="1">
        <v>0.0</v>
      </c>
      <c r="L193" s="1">
        <v>0.0</v>
      </c>
      <c r="M193" s="1">
        <v>96.759108</v>
      </c>
    </row>
    <row r="194">
      <c r="A194" s="1" t="s">
        <v>676</v>
      </c>
      <c r="B194" s="1" t="s">
        <v>677</v>
      </c>
      <c r="C194" s="1" t="str">
        <f>IFERROR(__xludf.DUMMYFUNCTION("IFERROR(REGEXEXTRACT(A194, ""res(269|122)""), ""none"")"),"269")</f>
        <v>269</v>
      </c>
      <c r="D194" s="1">
        <v>-16.160059</v>
      </c>
      <c r="E194" s="1">
        <v>8.0</v>
      </c>
      <c r="F194" s="1">
        <v>4.0</v>
      </c>
      <c r="G194" s="1">
        <v>0.25</v>
      </c>
      <c r="H194" s="1">
        <v>2.0</v>
      </c>
      <c r="I194" s="1">
        <v>-0.878462</v>
      </c>
      <c r="J194" s="1">
        <v>100.0</v>
      </c>
      <c r="K194" s="1">
        <v>0.0</v>
      </c>
      <c r="L194" s="1">
        <v>0.0</v>
      </c>
      <c r="M194" s="1">
        <v>97.211479</v>
      </c>
    </row>
    <row r="195">
      <c r="A195" s="1" t="s">
        <v>371</v>
      </c>
      <c r="B195" s="1" t="s">
        <v>372</v>
      </c>
      <c r="C195" s="1" t="str">
        <f>IFERROR(__xludf.DUMMYFUNCTION("IFERROR(REGEXEXTRACT(A195, ""res(269|122)""), ""none"")"),"269")</f>
        <v>269</v>
      </c>
      <c r="D195" s="1">
        <v>-15.869256</v>
      </c>
      <c r="E195" s="1">
        <v>7.0</v>
      </c>
      <c r="F195" s="1">
        <v>2.0</v>
      </c>
      <c r="G195" s="1">
        <v>0.428571</v>
      </c>
      <c r="H195" s="1">
        <v>3.0</v>
      </c>
      <c r="I195" s="1">
        <v>-2.176816</v>
      </c>
      <c r="J195" s="1">
        <v>100.0</v>
      </c>
      <c r="K195" s="1">
        <v>0.0</v>
      </c>
      <c r="L195" s="1">
        <v>0.0</v>
      </c>
      <c r="M195" s="1">
        <v>94.382499</v>
      </c>
    </row>
    <row r="196">
      <c r="A196" s="1" t="s">
        <v>678</v>
      </c>
      <c r="B196" s="1" t="s">
        <v>679</v>
      </c>
      <c r="C196" s="1" t="str">
        <f>IFERROR(__xludf.DUMMYFUNCTION("IFERROR(REGEXEXTRACT(A196, ""res(269|122)""), ""none"")"),"269")</f>
        <v>269</v>
      </c>
      <c r="D196" s="1">
        <v>-18.272222</v>
      </c>
      <c r="E196" s="1">
        <v>10.0</v>
      </c>
      <c r="F196" s="1">
        <v>5.0</v>
      </c>
      <c r="G196" s="1">
        <v>0.3</v>
      </c>
      <c r="H196" s="1">
        <v>2.0</v>
      </c>
      <c r="I196" s="1">
        <v>-0.405121</v>
      </c>
      <c r="J196" s="1">
        <v>100.0</v>
      </c>
      <c r="K196" s="1">
        <v>0.0</v>
      </c>
      <c r="L196" s="1">
        <v>0.0</v>
      </c>
      <c r="M196" s="1">
        <v>98.622657</v>
      </c>
    </row>
    <row r="197">
      <c r="A197" s="1" t="s">
        <v>680</v>
      </c>
      <c r="B197" s="1" t="s">
        <v>681</v>
      </c>
      <c r="C197" s="1" t="str">
        <f>IFERROR(__xludf.DUMMYFUNCTION("IFERROR(REGEXEXTRACT(A197, ""res(269|122)""), ""none"")"),"269")</f>
        <v>269</v>
      </c>
      <c r="D197" s="1">
        <v>-15.01485</v>
      </c>
      <c r="E197" s="1">
        <v>10.0</v>
      </c>
      <c r="F197" s="1">
        <v>2.0</v>
      </c>
      <c r="G197" s="1">
        <v>0.3</v>
      </c>
      <c r="H197" s="1">
        <v>2.0</v>
      </c>
      <c r="I197" s="1">
        <v>-1.104749</v>
      </c>
      <c r="J197" s="1">
        <v>100.0</v>
      </c>
      <c r="K197" s="1">
        <v>0.0</v>
      </c>
      <c r="L197" s="1">
        <v>0.0</v>
      </c>
      <c r="M197" s="1">
        <v>98.180401</v>
      </c>
    </row>
    <row r="198">
      <c r="A198" s="1" t="s">
        <v>682</v>
      </c>
      <c r="B198" s="1" t="s">
        <v>683</v>
      </c>
      <c r="C198" s="1" t="str">
        <f>IFERROR(__xludf.DUMMYFUNCTION("IFERROR(REGEXEXTRACT(A198, ""res(269|122)""), ""none"")"),"269")</f>
        <v>269</v>
      </c>
      <c r="D198" s="1">
        <v>-15.989297</v>
      </c>
      <c r="E198" s="1">
        <v>11.0</v>
      </c>
      <c r="F198" s="1">
        <v>5.0</v>
      </c>
      <c r="G198" s="1">
        <v>0.272727</v>
      </c>
      <c r="H198" s="1">
        <v>2.0</v>
      </c>
      <c r="I198" s="1">
        <v>-1.369641</v>
      </c>
      <c r="J198" s="1">
        <v>100.0</v>
      </c>
      <c r="K198" s="1">
        <v>0.0</v>
      </c>
      <c r="L198" s="1">
        <v>0.0</v>
      </c>
      <c r="M198" s="1">
        <v>100.913789</v>
      </c>
    </row>
    <row r="199">
      <c r="A199" s="1" t="s">
        <v>684</v>
      </c>
      <c r="B199" s="1" t="s">
        <v>685</v>
      </c>
      <c r="C199" s="1" t="str">
        <f>IFERROR(__xludf.DUMMYFUNCTION("IFERROR(REGEXEXTRACT(A199, ""res(269|122)""), ""none"")"),"269")</f>
        <v>269</v>
      </c>
      <c r="D199" s="1">
        <v>-15.306522</v>
      </c>
      <c r="E199" s="1">
        <v>6.0</v>
      </c>
      <c r="F199" s="1">
        <v>3.0</v>
      </c>
      <c r="G199" s="1">
        <v>0.333333</v>
      </c>
      <c r="H199" s="1">
        <v>2.0</v>
      </c>
      <c r="I199" s="1">
        <v>-0.742594</v>
      </c>
      <c r="J199" s="1">
        <v>100.0</v>
      </c>
      <c r="K199" s="1">
        <v>0.0</v>
      </c>
      <c r="L199" s="1">
        <v>0.0</v>
      </c>
      <c r="M199" s="1">
        <v>95.284217</v>
      </c>
    </row>
    <row r="200">
      <c r="A200" s="1" t="s">
        <v>686</v>
      </c>
      <c r="B200" s="1" t="s">
        <v>687</v>
      </c>
      <c r="C200" s="1" t="str">
        <f>IFERROR(__xludf.DUMMYFUNCTION("IFERROR(REGEXEXTRACT(A200, ""res(269|122)""), ""none"")"),"269")</f>
        <v>269</v>
      </c>
      <c r="D200" s="1">
        <v>-15.475451</v>
      </c>
      <c r="E200" s="1">
        <v>7.0</v>
      </c>
      <c r="F200" s="1">
        <v>3.0</v>
      </c>
      <c r="G200" s="1">
        <v>0.285714</v>
      </c>
      <c r="H200" s="1">
        <v>2.0</v>
      </c>
      <c r="I200" s="1">
        <v>-0.691715</v>
      </c>
      <c r="J200" s="1">
        <v>100.0</v>
      </c>
      <c r="K200" s="1">
        <v>0.0</v>
      </c>
      <c r="L200" s="1">
        <v>0.0</v>
      </c>
      <c r="M200" s="1">
        <v>96.118548</v>
      </c>
    </row>
    <row r="201">
      <c r="A201" s="1" t="s">
        <v>688</v>
      </c>
      <c r="B201" s="1" t="s">
        <v>689</v>
      </c>
      <c r="C201" s="1" t="str">
        <f>IFERROR(__xludf.DUMMYFUNCTION("IFERROR(REGEXEXTRACT(A201, ""res(269|122)""), ""none"")"),"269")</f>
        <v>269</v>
      </c>
      <c r="D201" s="1">
        <v>-15.264499</v>
      </c>
      <c r="E201" s="1">
        <v>8.0</v>
      </c>
      <c r="F201" s="1">
        <v>4.0</v>
      </c>
      <c r="G201" s="1">
        <v>0.25</v>
      </c>
      <c r="H201" s="1">
        <v>3.0</v>
      </c>
      <c r="I201" s="1">
        <v>-2.824081</v>
      </c>
      <c r="J201" s="1">
        <v>100.0</v>
      </c>
      <c r="K201" s="1">
        <v>0.0</v>
      </c>
      <c r="L201" s="1">
        <v>0.0</v>
      </c>
      <c r="M201" s="1">
        <v>97.16142</v>
      </c>
    </row>
    <row r="202">
      <c r="A202" s="1" t="s">
        <v>690</v>
      </c>
      <c r="B202" s="1" t="s">
        <v>691</v>
      </c>
      <c r="C202" s="1" t="str">
        <f>IFERROR(__xludf.DUMMYFUNCTION("IFERROR(REGEXEXTRACT(A202, ""res(269|122)""), ""none"")"),"269")</f>
        <v>269</v>
      </c>
      <c r="D202" s="1">
        <v>-17.916145</v>
      </c>
      <c r="E202" s="1">
        <v>7.0</v>
      </c>
      <c r="F202" s="1">
        <v>3.0</v>
      </c>
      <c r="G202" s="1">
        <v>0.285714</v>
      </c>
      <c r="H202" s="1">
        <v>2.0</v>
      </c>
      <c r="I202" s="1">
        <v>-0.498345</v>
      </c>
      <c r="J202" s="1">
        <v>100.0</v>
      </c>
      <c r="K202" s="1">
        <v>0.0</v>
      </c>
      <c r="L202" s="1">
        <v>0.0</v>
      </c>
      <c r="M202" s="1">
        <v>93.871224</v>
      </c>
    </row>
    <row r="203">
      <c r="A203" s="1" t="s">
        <v>692</v>
      </c>
      <c r="B203" s="1" t="s">
        <v>693</v>
      </c>
      <c r="C203" s="1" t="str">
        <f>IFERROR(__xludf.DUMMYFUNCTION("IFERROR(REGEXEXTRACT(A203, ""res(269|122)""), ""none"")"),"269")</f>
        <v>269</v>
      </c>
      <c r="D203" s="1">
        <v>-17.862429</v>
      </c>
      <c r="E203" s="1">
        <v>7.0</v>
      </c>
      <c r="F203" s="1">
        <v>2.0</v>
      </c>
      <c r="G203" s="1">
        <v>0.428571</v>
      </c>
      <c r="H203" s="1">
        <v>2.0</v>
      </c>
      <c r="I203" s="1">
        <v>-1.010229</v>
      </c>
      <c r="J203" s="1">
        <v>100.0</v>
      </c>
      <c r="K203" s="1">
        <v>0.0</v>
      </c>
      <c r="L203" s="1">
        <v>0.0</v>
      </c>
      <c r="M203" s="1">
        <v>92.555913</v>
      </c>
    </row>
    <row r="204">
      <c r="A204" s="1" t="s">
        <v>694</v>
      </c>
      <c r="B204" s="1" t="s">
        <v>695</v>
      </c>
      <c r="C204" s="1" t="str">
        <f>IFERROR(__xludf.DUMMYFUNCTION("IFERROR(REGEXEXTRACT(A204, ""res(269|122)""), ""none"")"),"269")</f>
        <v>269</v>
      </c>
      <c r="D204" s="1">
        <v>-17.2393</v>
      </c>
      <c r="E204" s="1">
        <v>10.0</v>
      </c>
      <c r="F204" s="1">
        <v>2.0</v>
      </c>
      <c r="G204" s="1">
        <v>0.4</v>
      </c>
      <c r="H204" s="1">
        <v>2.0</v>
      </c>
      <c r="I204" s="1">
        <v>-0.929713</v>
      </c>
      <c r="J204" s="1">
        <v>100.0</v>
      </c>
      <c r="K204" s="1">
        <v>0.0</v>
      </c>
      <c r="L204" s="1">
        <v>0.0</v>
      </c>
      <c r="M204" s="1">
        <v>96.230987</v>
      </c>
    </row>
    <row r="205">
      <c r="A205" s="1" t="s">
        <v>696</v>
      </c>
      <c r="B205" s="1" t="s">
        <v>697</v>
      </c>
      <c r="C205" s="1" t="str">
        <f>IFERROR(__xludf.DUMMYFUNCTION("IFERROR(REGEXEXTRACT(A205, ""res(269|122)""), ""none"")"),"269")</f>
        <v>269</v>
      </c>
      <c r="D205" s="1">
        <v>-15.670032</v>
      </c>
      <c r="E205" s="1">
        <v>9.0</v>
      </c>
      <c r="F205" s="1">
        <v>2.0</v>
      </c>
      <c r="G205" s="1">
        <v>0.333333</v>
      </c>
      <c r="H205" s="1">
        <v>3.0</v>
      </c>
      <c r="I205" s="1">
        <v>-2.085592</v>
      </c>
      <c r="J205" s="1">
        <v>100.0</v>
      </c>
      <c r="K205" s="1">
        <v>0.0</v>
      </c>
      <c r="L205" s="1">
        <v>0.0</v>
      </c>
      <c r="M205" s="1">
        <v>96.577709</v>
      </c>
    </row>
    <row r="206">
      <c r="A206" s="1" t="s">
        <v>698</v>
      </c>
      <c r="B206" s="1" t="s">
        <v>699</v>
      </c>
      <c r="C206" s="1" t="str">
        <f>IFERROR(__xludf.DUMMYFUNCTION("IFERROR(REGEXEXTRACT(A206, ""res(269|122)""), ""none"")"),"269")</f>
        <v>269</v>
      </c>
      <c r="D206" s="1">
        <v>-16.41529</v>
      </c>
      <c r="E206" s="1">
        <v>11.0</v>
      </c>
      <c r="F206" s="1">
        <v>3.0</v>
      </c>
      <c r="G206" s="1">
        <v>0.272727</v>
      </c>
      <c r="H206" s="1">
        <v>2.0</v>
      </c>
      <c r="I206" s="1">
        <v>-1.249983</v>
      </c>
      <c r="J206" s="1">
        <v>100.0</v>
      </c>
      <c r="K206" s="1">
        <v>0.0</v>
      </c>
      <c r="L206" s="1">
        <v>0.0</v>
      </c>
      <c r="M206" s="1">
        <v>98.607454</v>
      </c>
    </row>
    <row r="207">
      <c r="A207" s="1" t="s">
        <v>700</v>
      </c>
      <c r="B207" s="1" t="s">
        <v>701</v>
      </c>
      <c r="C207" s="1" t="str">
        <f>IFERROR(__xludf.DUMMYFUNCTION("IFERROR(REGEXEXTRACT(A207, ""res(269|122)""), ""none"")"),"269")</f>
        <v>269</v>
      </c>
      <c r="D207" s="1">
        <v>-17.405701</v>
      </c>
      <c r="E207" s="1">
        <v>8.0</v>
      </c>
      <c r="F207" s="1">
        <v>3.0</v>
      </c>
      <c r="G207" s="1">
        <v>0.25</v>
      </c>
      <c r="H207" s="1">
        <v>2.0</v>
      </c>
      <c r="I207" s="1">
        <v>-0.784250999999999</v>
      </c>
      <c r="J207" s="1">
        <v>100.0</v>
      </c>
      <c r="K207" s="1">
        <v>0.0</v>
      </c>
      <c r="L207" s="1">
        <v>0.0</v>
      </c>
      <c r="M207" s="1">
        <v>95.060048</v>
      </c>
    </row>
    <row r="208">
      <c r="A208" s="1" t="s">
        <v>702</v>
      </c>
      <c r="B208" s="1" t="s">
        <v>703</v>
      </c>
      <c r="C208" s="1" t="str">
        <f>IFERROR(__xludf.DUMMYFUNCTION("IFERROR(REGEXEXTRACT(A208, ""res(269|122)""), ""none"")"),"269")</f>
        <v>269</v>
      </c>
      <c r="D208" s="1">
        <v>-15.051101</v>
      </c>
      <c r="E208" s="1">
        <v>7.0</v>
      </c>
      <c r="F208" s="1">
        <v>1.0</v>
      </c>
      <c r="G208" s="1">
        <v>0.285714</v>
      </c>
      <c r="H208" s="1">
        <v>2.0</v>
      </c>
      <c r="I208" s="1">
        <v>-1.221512</v>
      </c>
      <c r="J208" s="1">
        <v>100.0</v>
      </c>
      <c r="K208" s="1">
        <v>0.0</v>
      </c>
      <c r="L208" s="1">
        <v>0.0</v>
      </c>
      <c r="M208" s="1">
        <v>94.013101</v>
      </c>
    </row>
    <row r="209">
      <c r="A209" s="1" t="s">
        <v>373</v>
      </c>
      <c r="B209" s="1" t="s">
        <v>171</v>
      </c>
      <c r="C209" s="1" t="str">
        <f>IFERROR(__xludf.DUMMYFUNCTION("IFERROR(REGEXEXTRACT(A209, ""res(269|122)""), ""none"")"),"269")</f>
        <v>269</v>
      </c>
      <c r="D209" s="1">
        <v>-16.284917</v>
      </c>
      <c r="E209" s="1">
        <v>8.0</v>
      </c>
      <c r="F209" s="1">
        <v>5.0</v>
      </c>
      <c r="G209" s="1">
        <v>0.25</v>
      </c>
      <c r="H209" s="1">
        <v>2.0</v>
      </c>
      <c r="I209" s="1">
        <v>-1.566179</v>
      </c>
      <c r="J209" s="1">
        <v>100.0</v>
      </c>
      <c r="K209" s="1">
        <v>0.0</v>
      </c>
      <c r="L209" s="1">
        <v>0.0</v>
      </c>
      <c r="M209" s="1">
        <v>97.398904</v>
      </c>
    </row>
    <row r="210">
      <c r="A210" s="1" t="s">
        <v>704</v>
      </c>
      <c r="B210" s="1" t="s">
        <v>705</v>
      </c>
      <c r="C210" s="1" t="str">
        <f>IFERROR(__xludf.DUMMYFUNCTION("IFERROR(REGEXEXTRACT(A210, ""res(269|122)""), ""none"")"),"269")</f>
        <v>269</v>
      </c>
      <c r="D210" s="1">
        <v>-15.372243</v>
      </c>
      <c r="E210" s="1">
        <v>9.0</v>
      </c>
      <c r="F210" s="1">
        <v>3.0</v>
      </c>
      <c r="G210" s="1">
        <v>0.444444</v>
      </c>
      <c r="H210" s="1">
        <v>2.0</v>
      </c>
      <c r="I210" s="1">
        <v>-0.654994</v>
      </c>
      <c r="J210" s="1">
        <v>100.0</v>
      </c>
      <c r="K210" s="1">
        <v>0.0</v>
      </c>
      <c r="L210" s="1">
        <v>0.0</v>
      </c>
      <c r="M210" s="1">
        <v>98.417207</v>
      </c>
    </row>
    <row r="211">
      <c r="A211" s="1" t="s">
        <v>706</v>
      </c>
      <c r="B211" s="1" t="s">
        <v>707</v>
      </c>
      <c r="C211" s="1" t="str">
        <f>IFERROR(__xludf.DUMMYFUNCTION("IFERROR(REGEXEXTRACT(A211, ""res(269|122)""), ""none"")"),"269")</f>
        <v>269</v>
      </c>
      <c r="D211" s="1">
        <v>-15.595989</v>
      </c>
      <c r="E211" s="1">
        <v>6.0</v>
      </c>
      <c r="F211" s="1">
        <v>2.0</v>
      </c>
      <c r="G211" s="1">
        <v>0.333333</v>
      </c>
      <c r="H211" s="1">
        <v>2.0</v>
      </c>
      <c r="I211" s="1">
        <v>-1.006767</v>
      </c>
      <c r="J211" s="1">
        <v>100.0</v>
      </c>
      <c r="K211" s="1">
        <v>0.0</v>
      </c>
      <c r="L211" s="1">
        <v>0.0</v>
      </c>
      <c r="M211" s="1">
        <v>93.730577</v>
      </c>
    </row>
    <row r="212">
      <c r="A212" s="1" t="s">
        <v>708</v>
      </c>
      <c r="B212" s="1" t="s">
        <v>709</v>
      </c>
      <c r="C212" s="1" t="str">
        <f>IFERROR(__xludf.DUMMYFUNCTION("IFERROR(REGEXEXTRACT(A212, ""res(269|122)""), ""none"")"),"269")</f>
        <v>269</v>
      </c>
      <c r="D212" s="1">
        <v>-15.472997</v>
      </c>
      <c r="E212" s="1">
        <v>12.0</v>
      </c>
      <c r="F212" s="1">
        <v>3.0</v>
      </c>
      <c r="G212" s="1">
        <v>0.25</v>
      </c>
      <c r="H212" s="1">
        <v>2.0</v>
      </c>
      <c r="I212" s="1">
        <v>-1.558156</v>
      </c>
      <c r="J212" s="1">
        <v>100.0</v>
      </c>
      <c r="K212" s="1">
        <v>0.0</v>
      </c>
      <c r="L212" s="1">
        <v>0.0</v>
      </c>
      <c r="M212" s="1">
        <v>100.218847</v>
      </c>
    </row>
    <row r="213">
      <c r="A213" s="1" t="s">
        <v>710</v>
      </c>
      <c r="B213" s="1" t="s">
        <v>711</v>
      </c>
      <c r="C213" s="1" t="str">
        <f>IFERROR(__xludf.DUMMYFUNCTION("IFERROR(REGEXEXTRACT(A213, ""res(269|122)""), ""none"")"),"269")</f>
        <v>269</v>
      </c>
      <c r="D213" s="1">
        <v>-15.848889</v>
      </c>
      <c r="E213" s="1">
        <v>9.0</v>
      </c>
      <c r="F213" s="1">
        <v>2.0</v>
      </c>
      <c r="G213" s="1">
        <v>0.444444</v>
      </c>
      <c r="H213" s="1">
        <v>2.0</v>
      </c>
      <c r="I213" s="1">
        <v>-0.821315</v>
      </c>
      <c r="J213" s="1">
        <v>100.0</v>
      </c>
      <c r="K213" s="1">
        <v>0.0</v>
      </c>
      <c r="L213" s="1">
        <v>0.0</v>
      </c>
      <c r="M213" s="1">
        <v>96.77424</v>
      </c>
    </row>
    <row r="214">
      <c r="A214" s="1" t="s">
        <v>712</v>
      </c>
      <c r="B214" s="1" t="s">
        <v>713</v>
      </c>
      <c r="C214" s="1" t="str">
        <f>IFERROR(__xludf.DUMMYFUNCTION("IFERROR(REGEXEXTRACT(A214, ""res(269|122)""), ""none"")"),"269")</f>
        <v>269</v>
      </c>
      <c r="D214" s="1">
        <v>-15.465539</v>
      </c>
      <c r="E214" s="1">
        <v>10.0</v>
      </c>
      <c r="F214" s="1">
        <v>2.0</v>
      </c>
      <c r="G214" s="1">
        <v>0.3</v>
      </c>
      <c r="H214" s="1">
        <v>2.0</v>
      </c>
      <c r="I214" s="1">
        <v>-0.744564999999999</v>
      </c>
      <c r="J214" s="1">
        <v>100.0</v>
      </c>
      <c r="K214" s="1">
        <v>0.0</v>
      </c>
      <c r="L214" s="1">
        <v>0.0</v>
      </c>
      <c r="M214" s="1">
        <v>98.089896</v>
      </c>
    </row>
    <row r="215">
      <c r="A215" s="1" t="s">
        <v>714</v>
      </c>
      <c r="B215" s="1" t="s">
        <v>715</v>
      </c>
      <c r="C215" s="1" t="str">
        <f>IFERROR(__xludf.DUMMYFUNCTION("IFERROR(REGEXEXTRACT(A215, ""res(269|122)""), ""none"")"),"269")</f>
        <v>269</v>
      </c>
      <c r="D215" s="1">
        <v>-15.548246</v>
      </c>
      <c r="E215" s="1">
        <v>7.0</v>
      </c>
      <c r="F215" s="1">
        <v>3.0</v>
      </c>
      <c r="G215" s="1">
        <v>0.285714</v>
      </c>
      <c r="H215" s="1">
        <v>2.0</v>
      </c>
      <c r="I215" s="1">
        <v>-0.82711</v>
      </c>
      <c r="J215" s="1">
        <v>100.0</v>
      </c>
      <c r="K215" s="1">
        <v>0.0</v>
      </c>
      <c r="L215" s="1">
        <v>0.0</v>
      </c>
      <c r="M215" s="1">
        <v>95.910358</v>
      </c>
    </row>
    <row r="216">
      <c r="A216" s="1" t="s">
        <v>716</v>
      </c>
      <c r="B216" s="1" t="s">
        <v>717</v>
      </c>
      <c r="C216" s="1" t="str">
        <f>IFERROR(__xludf.DUMMYFUNCTION("IFERROR(REGEXEXTRACT(A216, ""res(269|122)""), ""none"")"),"269")</f>
        <v>269</v>
      </c>
      <c r="D216" s="1">
        <v>-15.47809</v>
      </c>
      <c r="E216" s="1">
        <v>7.0</v>
      </c>
      <c r="F216" s="1">
        <v>2.0</v>
      </c>
      <c r="G216" s="1">
        <v>0.285714</v>
      </c>
      <c r="H216" s="1">
        <v>2.0</v>
      </c>
      <c r="I216" s="1">
        <v>-1.032518</v>
      </c>
      <c r="J216" s="1">
        <v>100.0</v>
      </c>
      <c r="K216" s="1">
        <v>0.0</v>
      </c>
      <c r="L216" s="1">
        <v>0.0</v>
      </c>
      <c r="M216" s="1">
        <v>94.775106</v>
      </c>
    </row>
    <row r="217">
      <c r="A217" s="1" t="s">
        <v>718</v>
      </c>
      <c r="B217" s="1" t="s">
        <v>719</v>
      </c>
      <c r="C217" s="1" t="str">
        <f>IFERROR(__xludf.DUMMYFUNCTION("IFERROR(REGEXEXTRACT(A217, ""res(269|122)""), ""none"")"),"269")</f>
        <v>269</v>
      </c>
      <c r="D217" s="1">
        <v>-16.063302</v>
      </c>
      <c r="E217" s="1">
        <v>7.0</v>
      </c>
      <c r="F217" s="1">
        <v>3.0</v>
      </c>
      <c r="G217" s="1">
        <v>0.428571</v>
      </c>
      <c r="H217" s="1">
        <v>2.0</v>
      </c>
      <c r="I217" s="1">
        <v>-0.987857</v>
      </c>
      <c r="J217" s="1">
        <v>100.0</v>
      </c>
      <c r="K217" s="1">
        <v>0.0</v>
      </c>
      <c r="L217" s="1">
        <v>0.0</v>
      </c>
      <c r="M217" s="1">
        <v>95.377412</v>
      </c>
    </row>
    <row r="218">
      <c r="A218" s="1" t="s">
        <v>720</v>
      </c>
      <c r="B218" s="1" t="s">
        <v>721</v>
      </c>
      <c r="C218" s="1" t="str">
        <f>IFERROR(__xludf.DUMMYFUNCTION("IFERROR(REGEXEXTRACT(A218, ""res(269|122)""), ""none"")"),"269")</f>
        <v>269</v>
      </c>
      <c r="D218" s="1">
        <v>-16.896992</v>
      </c>
      <c r="E218" s="1">
        <v>8.0</v>
      </c>
      <c r="F218" s="1">
        <v>3.0</v>
      </c>
      <c r="G218" s="1">
        <v>0.25</v>
      </c>
      <c r="H218" s="1">
        <v>2.0</v>
      </c>
      <c r="I218" s="1">
        <v>-0.288931</v>
      </c>
      <c r="J218" s="1">
        <v>100.0</v>
      </c>
      <c r="K218" s="1">
        <v>0.0</v>
      </c>
      <c r="L218" s="1">
        <v>0.0</v>
      </c>
      <c r="M218" s="1">
        <v>96.064077</v>
      </c>
    </row>
    <row r="219">
      <c r="A219" s="1" t="s">
        <v>722</v>
      </c>
      <c r="B219" s="1" t="s">
        <v>723</v>
      </c>
      <c r="C219" s="1" t="str">
        <f>IFERROR(__xludf.DUMMYFUNCTION("IFERROR(REGEXEXTRACT(A219, ""res(269|122)""), ""none"")"),"269")</f>
        <v>269</v>
      </c>
      <c r="D219" s="1">
        <v>-15.57465</v>
      </c>
      <c r="E219" s="1">
        <v>10.0</v>
      </c>
      <c r="F219" s="1">
        <v>5.0</v>
      </c>
      <c r="G219" s="1">
        <v>0.4</v>
      </c>
      <c r="H219" s="1">
        <v>2.0</v>
      </c>
      <c r="I219" s="1">
        <v>-0.60161</v>
      </c>
      <c r="J219" s="1">
        <v>100.0</v>
      </c>
      <c r="K219" s="1">
        <v>0.0</v>
      </c>
      <c r="L219" s="1">
        <v>0.0</v>
      </c>
      <c r="M219" s="1">
        <v>101.22374</v>
      </c>
    </row>
    <row r="220">
      <c r="A220" s="1" t="s">
        <v>724</v>
      </c>
      <c r="B220" s="1" t="s">
        <v>725</v>
      </c>
      <c r="C220" s="1" t="str">
        <f>IFERROR(__xludf.DUMMYFUNCTION("IFERROR(REGEXEXTRACT(A220, ""res(269|122)""), ""none"")"),"269")</f>
        <v>269</v>
      </c>
      <c r="D220" s="1">
        <v>-15.170379</v>
      </c>
      <c r="E220" s="1">
        <v>7.0</v>
      </c>
      <c r="F220" s="1">
        <v>2.0</v>
      </c>
      <c r="G220" s="1">
        <v>0.285714</v>
      </c>
      <c r="H220" s="1">
        <v>2.0</v>
      </c>
      <c r="I220" s="1">
        <v>-0.667648999999999</v>
      </c>
      <c r="J220" s="1">
        <v>100.0</v>
      </c>
      <c r="K220" s="1">
        <v>0.0</v>
      </c>
      <c r="L220" s="1">
        <v>0.0</v>
      </c>
      <c r="M220" s="1">
        <v>95.447686</v>
      </c>
    </row>
    <row r="221">
      <c r="A221" s="1" t="s">
        <v>726</v>
      </c>
      <c r="B221" s="1" t="s">
        <v>727</v>
      </c>
      <c r="C221" s="1" t="str">
        <f>IFERROR(__xludf.DUMMYFUNCTION("IFERROR(REGEXEXTRACT(A221, ""res(269|122)""), ""none"")"),"269")</f>
        <v>269</v>
      </c>
      <c r="D221" s="1">
        <v>-16.876109</v>
      </c>
      <c r="E221" s="1">
        <v>7.0</v>
      </c>
      <c r="F221" s="1">
        <v>3.0</v>
      </c>
      <c r="G221" s="1">
        <v>0.285714</v>
      </c>
      <c r="H221" s="1">
        <v>2.0</v>
      </c>
      <c r="I221" s="1">
        <v>-0.125013</v>
      </c>
      <c r="J221" s="1">
        <v>100.0</v>
      </c>
      <c r="K221" s="1">
        <v>0.0</v>
      </c>
      <c r="L221" s="1">
        <v>0.0</v>
      </c>
      <c r="M221" s="1">
        <v>95.284592</v>
      </c>
    </row>
    <row r="222">
      <c r="A222" s="1" t="s">
        <v>728</v>
      </c>
      <c r="B222" s="1" t="s">
        <v>729</v>
      </c>
      <c r="C222" s="1" t="str">
        <f>IFERROR(__xludf.DUMMYFUNCTION("IFERROR(REGEXEXTRACT(A222, ""res(269|122)""), ""none"")"),"269")</f>
        <v>269</v>
      </c>
      <c r="D222" s="1">
        <v>-15.669627</v>
      </c>
      <c r="E222" s="1">
        <v>8.0</v>
      </c>
      <c r="F222" s="1">
        <v>3.0</v>
      </c>
      <c r="G222" s="1">
        <v>0.5</v>
      </c>
      <c r="H222" s="1">
        <v>2.0</v>
      </c>
      <c r="I222" s="1">
        <v>-1.095518</v>
      </c>
      <c r="J222" s="1">
        <v>100.0</v>
      </c>
      <c r="K222" s="1">
        <v>0.0</v>
      </c>
      <c r="L222" s="1">
        <v>0.0</v>
      </c>
      <c r="M222" s="1">
        <v>96.734855</v>
      </c>
    </row>
    <row r="223">
      <c r="A223" s="1" t="s">
        <v>730</v>
      </c>
      <c r="B223" s="1" t="s">
        <v>731</v>
      </c>
      <c r="C223" s="1" t="str">
        <f>IFERROR(__xludf.DUMMYFUNCTION("IFERROR(REGEXEXTRACT(A223, ""res(269|122)""), ""none"")"),"269")</f>
        <v>269</v>
      </c>
      <c r="D223" s="1">
        <v>-16.538591</v>
      </c>
      <c r="E223" s="1">
        <v>11.0</v>
      </c>
      <c r="F223" s="1">
        <v>2.0</v>
      </c>
      <c r="G223" s="1">
        <v>0.454545</v>
      </c>
      <c r="H223" s="1">
        <v>2.0</v>
      </c>
      <c r="I223" s="1">
        <v>-0.672628</v>
      </c>
      <c r="J223" s="1">
        <v>100.0</v>
      </c>
      <c r="K223" s="1">
        <v>0.0</v>
      </c>
      <c r="L223" s="1">
        <v>0.0</v>
      </c>
      <c r="M223" s="1">
        <v>98.243326</v>
      </c>
    </row>
    <row r="224">
      <c r="A224" s="1" t="s">
        <v>732</v>
      </c>
      <c r="B224" s="1" t="s">
        <v>733</v>
      </c>
      <c r="C224" s="1" t="str">
        <f>IFERROR(__xludf.DUMMYFUNCTION("IFERROR(REGEXEXTRACT(A224, ""res(269|122)""), ""none"")"),"269")</f>
        <v>269</v>
      </c>
      <c r="D224" s="1">
        <v>-15.518271</v>
      </c>
      <c r="E224" s="1">
        <v>7.0</v>
      </c>
      <c r="F224" s="1">
        <v>2.0</v>
      </c>
      <c r="G224" s="1">
        <v>0.285714</v>
      </c>
      <c r="H224" s="1">
        <v>2.0</v>
      </c>
      <c r="I224" s="1">
        <v>-0.704432</v>
      </c>
      <c r="J224" s="1">
        <v>100.0</v>
      </c>
      <c r="K224" s="1">
        <v>0.0</v>
      </c>
      <c r="L224" s="1">
        <v>0.0</v>
      </c>
      <c r="M224" s="1">
        <v>95.063011</v>
      </c>
    </row>
    <row r="225">
      <c r="A225" s="1" t="s">
        <v>734</v>
      </c>
      <c r="B225" s="1" t="s">
        <v>735</v>
      </c>
      <c r="C225" s="1" t="str">
        <f>IFERROR(__xludf.DUMMYFUNCTION("IFERROR(REGEXEXTRACT(A225, ""res(269|122)""), ""none"")"),"269")</f>
        <v>269</v>
      </c>
      <c r="D225" s="1">
        <v>-16.273007</v>
      </c>
      <c r="E225" s="1">
        <v>10.0</v>
      </c>
      <c r="F225" s="1">
        <v>5.0</v>
      </c>
      <c r="G225" s="1">
        <v>0.5</v>
      </c>
      <c r="H225" s="1">
        <v>2.0</v>
      </c>
      <c r="I225" s="1">
        <v>-1.336251</v>
      </c>
      <c r="J225" s="1">
        <v>100.0</v>
      </c>
      <c r="K225" s="1">
        <v>0.0</v>
      </c>
      <c r="L225" s="1">
        <v>0.0</v>
      </c>
      <c r="M225" s="1">
        <v>99.890742</v>
      </c>
    </row>
    <row r="226">
      <c r="A226" s="1" t="s">
        <v>736</v>
      </c>
      <c r="B226" s="1" t="s">
        <v>737</v>
      </c>
      <c r="C226" s="1" t="str">
        <f>IFERROR(__xludf.DUMMYFUNCTION("IFERROR(REGEXEXTRACT(A226, ""res(269|122)""), ""none"")"),"269")</f>
        <v>269</v>
      </c>
      <c r="D226" s="1">
        <v>-15.21474</v>
      </c>
      <c r="E226" s="1">
        <v>9.0</v>
      </c>
      <c r="F226" s="1">
        <v>1.0</v>
      </c>
      <c r="G226" s="1">
        <v>0.333333</v>
      </c>
      <c r="H226" s="1">
        <v>2.0</v>
      </c>
      <c r="I226" s="1">
        <v>-1.192772</v>
      </c>
      <c r="J226" s="1">
        <v>100.0</v>
      </c>
      <c r="K226" s="1">
        <v>0.0</v>
      </c>
      <c r="L226" s="1">
        <v>0.0</v>
      </c>
      <c r="M226" s="1">
        <v>95.925821</v>
      </c>
    </row>
    <row r="227">
      <c r="A227" s="1" t="s">
        <v>738</v>
      </c>
      <c r="B227" s="1" t="s">
        <v>739</v>
      </c>
      <c r="C227" s="1" t="str">
        <f>IFERROR(__xludf.DUMMYFUNCTION("IFERROR(REGEXEXTRACT(A227, ""res(269|122)""), ""none"")"),"269")</f>
        <v>269</v>
      </c>
      <c r="D227" s="1">
        <v>-15.689275</v>
      </c>
      <c r="E227" s="1">
        <v>6.0</v>
      </c>
      <c r="F227" s="1">
        <v>1.0</v>
      </c>
      <c r="G227" s="1">
        <v>0.333333</v>
      </c>
      <c r="H227" s="1">
        <v>2.0</v>
      </c>
      <c r="I227" s="1">
        <v>-0.283942</v>
      </c>
      <c r="J227" s="1">
        <v>100.0</v>
      </c>
      <c r="K227" s="1">
        <v>0.0</v>
      </c>
      <c r="L227" s="1">
        <v>0.0</v>
      </c>
      <c r="M227" s="1">
        <v>93.360116</v>
      </c>
    </row>
    <row r="228">
      <c r="A228" s="1" t="s">
        <v>740</v>
      </c>
      <c r="B228" s="1" t="s">
        <v>741</v>
      </c>
      <c r="C228" s="1" t="str">
        <f>IFERROR(__xludf.DUMMYFUNCTION("IFERROR(REGEXEXTRACT(A228, ""res(269|122)""), ""none"")"),"269")</f>
        <v>269</v>
      </c>
      <c r="D228" s="1">
        <v>-19.0248</v>
      </c>
      <c r="E228" s="1">
        <v>10.0</v>
      </c>
      <c r="F228" s="1">
        <v>1.0</v>
      </c>
      <c r="G228" s="1">
        <v>0.3</v>
      </c>
      <c r="H228" s="1">
        <v>2.0</v>
      </c>
      <c r="I228" s="1">
        <v>-0.194124</v>
      </c>
      <c r="J228" s="1">
        <v>100.0</v>
      </c>
      <c r="K228" s="1">
        <v>0.0</v>
      </c>
      <c r="L228" s="1">
        <v>0.0</v>
      </c>
      <c r="M228" s="1">
        <v>94.081076</v>
      </c>
    </row>
    <row r="229">
      <c r="A229" s="1" t="s">
        <v>742</v>
      </c>
      <c r="B229" s="1" t="s">
        <v>743</v>
      </c>
      <c r="C229" s="1" t="str">
        <f>IFERROR(__xludf.DUMMYFUNCTION("IFERROR(REGEXEXTRACT(A229, ""res(269|122)""), ""none"")"),"269")</f>
        <v>269</v>
      </c>
      <c r="D229" s="1">
        <v>-16.168018</v>
      </c>
      <c r="E229" s="1">
        <v>7.0</v>
      </c>
      <c r="F229" s="1">
        <v>4.0</v>
      </c>
      <c r="G229" s="1">
        <v>0.428571</v>
      </c>
      <c r="H229" s="1">
        <v>2.0</v>
      </c>
      <c r="I229" s="1">
        <v>-1.027591</v>
      </c>
      <c r="J229" s="1">
        <v>100.0</v>
      </c>
      <c r="K229" s="1">
        <v>0.0</v>
      </c>
      <c r="L229" s="1">
        <v>0.0</v>
      </c>
      <c r="M229" s="1">
        <v>96.232962</v>
      </c>
    </row>
    <row r="230">
      <c r="A230" s="1" t="s">
        <v>744</v>
      </c>
      <c r="B230" s="1" t="s">
        <v>745</v>
      </c>
      <c r="C230" s="1" t="str">
        <f>IFERROR(__xludf.DUMMYFUNCTION("IFERROR(REGEXEXTRACT(A230, ""res(269|122)""), ""none"")"),"269")</f>
        <v>269</v>
      </c>
      <c r="D230" s="1">
        <v>-17.880646</v>
      </c>
      <c r="E230" s="1">
        <v>7.0</v>
      </c>
      <c r="F230" s="1">
        <v>3.0</v>
      </c>
      <c r="G230" s="1">
        <v>0.285714</v>
      </c>
      <c r="H230" s="1">
        <v>2.0</v>
      </c>
      <c r="I230" s="1">
        <v>-0.782756</v>
      </c>
      <c r="J230" s="1">
        <v>100.0</v>
      </c>
      <c r="K230" s="1">
        <v>0.0</v>
      </c>
      <c r="L230" s="1">
        <v>0.0</v>
      </c>
      <c r="M230" s="1">
        <v>93.622312</v>
      </c>
    </row>
    <row r="231">
      <c r="A231" s="1" t="s">
        <v>746</v>
      </c>
      <c r="B231" s="1" t="s">
        <v>747</v>
      </c>
      <c r="C231" s="1" t="str">
        <f>IFERROR(__xludf.DUMMYFUNCTION("IFERROR(REGEXEXTRACT(A231, ""res(269|122)""), ""none"")"),"269")</f>
        <v>269</v>
      </c>
      <c r="D231" s="1">
        <v>-15.808583</v>
      </c>
      <c r="E231" s="1">
        <v>8.0</v>
      </c>
      <c r="F231" s="1">
        <v>3.0</v>
      </c>
      <c r="G231" s="1">
        <v>0.25</v>
      </c>
      <c r="H231" s="1">
        <v>2.0</v>
      </c>
      <c r="I231" s="1">
        <v>-0.274418999999999</v>
      </c>
      <c r="J231" s="1">
        <v>100.0</v>
      </c>
      <c r="K231" s="1">
        <v>0.0</v>
      </c>
      <c r="L231" s="1">
        <v>0.0</v>
      </c>
      <c r="M231" s="1">
        <v>97.166998</v>
      </c>
    </row>
    <row r="232">
      <c r="A232" s="1" t="s">
        <v>748</v>
      </c>
      <c r="B232" s="1" t="s">
        <v>749</v>
      </c>
      <c r="C232" s="1" t="str">
        <f>IFERROR(__xludf.DUMMYFUNCTION("IFERROR(REGEXEXTRACT(A232, ""res(269|122)""), ""none"")"),"269")</f>
        <v>269</v>
      </c>
      <c r="D232" s="1">
        <v>-15.922666</v>
      </c>
      <c r="E232" s="1">
        <v>11.0</v>
      </c>
      <c r="F232" s="1">
        <v>4.0</v>
      </c>
      <c r="G232" s="1">
        <v>0.272727</v>
      </c>
      <c r="H232" s="1">
        <v>2.0</v>
      </c>
      <c r="I232" s="1">
        <v>-1.281239</v>
      </c>
      <c r="J232" s="1">
        <v>100.0</v>
      </c>
      <c r="K232" s="1">
        <v>0.0</v>
      </c>
      <c r="L232" s="1">
        <v>0.0</v>
      </c>
      <c r="M232" s="1">
        <v>100.068822</v>
      </c>
    </row>
    <row r="233">
      <c r="A233" s="1" t="s">
        <v>750</v>
      </c>
      <c r="B233" s="1" t="s">
        <v>751</v>
      </c>
      <c r="C233" s="1" t="str">
        <f>IFERROR(__xludf.DUMMYFUNCTION("IFERROR(REGEXEXTRACT(A233, ""res(269|122)""), ""none"")"),"269")</f>
        <v>269</v>
      </c>
      <c r="D233" s="1">
        <v>-16.054057</v>
      </c>
      <c r="E233" s="1">
        <v>8.0</v>
      </c>
      <c r="F233" s="1">
        <v>3.0</v>
      </c>
      <c r="G233" s="1">
        <v>0.25</v>
      </c>
      <c r="H233" s="1">
        <v>3.0</v>
      </c>
      <c r="I233" s="1">
        <v>-2.086385</v>
      </c>
      <c r="J233" s="1">
        <v>100.0</v>
      </c>
      <c r="K233" s="1">
        <v>0.0</v>
      </c>
      <c r="L233" s="1">
        <v>0.0</v>
      </c>
      <c r="M233" s="1">
        <v>96.109558</v>
      </c>
    </row>
    <row r="234">
      <c r="A234" s="1" t="s">
        <v>752</v>
      </c>
      <c r="B234" s="1" t="s">
        <v>753</v>
      </c>
      <c r="C234" s="1" t="str">
        <f>IFERROR(__xludf.DUMMYFUNCTION("IFERROR(REGEXEXTRACT(A234, ""res(269|122)""), ""none"")"),"269")</f>
        <v>269</v>
      </c>
      <c r="D234" s="1">
        <v>-15.254939</v>
      </c>
      <c r="E234" s="1">
        <v>10.0</v>
      </c>
      <c r="F234" s="1">
        <v>2.0</v>
      </c>
      <c r="G234" s="1">
        <v>0.3</v>
      </c>
      <c r="H234" s="1">
        <v>3.0</v>
      </c>
      <c r="I234" s="1">
        <v>-1.268036</v>
      </c>
      <c r="J234" s="1">
        <v>100.0</v>
      </c>
      <c r="K234" s="1">
        <v>0.0</v>
      </c>
      <c r="L234" s="1">
        <v>0.0</v>
      </c>
      <c r="M234" s="1">
        <v>98.777025</v>
      </c>
    </row>
    <row r="235">
      <c r="A235" s="1" t="s">
        <v>754</v>
      </c>
      <c r="B235" s="1" t="s">
        <v>755</v>
      </c>
      <c r="C235" s="1" t="str">
        <f>IFERROR(__xludf.DUMMYFUNCTION("IFERROR(REGEXEXTRACT(A235, ""res(269|122)""), ""none"")"),"269")</f>
        <v>269</v>
      </c>
      <c r="D235" s="1">
        <v>-15.154038</v>
      </c>
      <c r="E235" s="1">
        <v>9.0</v>
      </c>
      <c r="F235" s="1">
        <v>2.0</v>
      </c>
      <c r="G235" s="1">
        <v>0.333333</v>
      </c>
      <c r="H235" s="1">
        <v>2.0</v>
      </c>
      <c r="I235" s="1">
        <v>-0.848837</v>
      </c>
      <c r="J235" s="1">
        <v>100.0</v>
      </c>
      <c r="K235" s="1">
        <v>0.0</v>
      </c>
      <c r="L235" s="1">
        <v>0.0</v>
      </c>
      <c r="M235" s="1">
        <v>97.330458</v>
      </c>
    </row>
    <row r="236">
      <c r="A236" s="1" t="s">
        <v>756</v>
      </c>
      <c r="B236" s="1" t="s">
        <v>757</v>
      </c>
      <c r="C236" s="1" t="str">
        <f>IFERROR(__xludf.DUMMYFUNCTION("IFERROR(REGEXEXTRACT(A236, ""res(269|122)""), ""none"")"),"269")</f>
        <v>269</v>
      </c>
      <c r="D236" s="1">
        <v>-15.837791</v>
      </c>
      <c r="E236" s="1">
        <v>7.0</v>
      </c>
      <c r="F236" s="1">
        <v>2.0</v>
      </c>
      <c r="G236" s="1">
        <v>0.285714</v>
      </c>
      <c r="H236" s="1">
        <v>2.0</v>
      </c>
      <c r="I236" s="1">
        <v>-1.071572</v>
      </c>
      <c r="J236" s="1">
        <v>100.0</v>
      </c>
      <c r="K236" s="1">
        <v>0.0</v>
      </c>
      <c r="L236" s="1">
        <v>0.0</v>
      </c>
      <c r="M236" s="1">
        <v>94.376351</v>
      </c>
    </row>
    <row r="237">
      <c r="A237" s="1" t="s">
        <v>758</v>
      </c>
      <c r="B237" s="1" t="s">
        <v>759</v>
      </c>
      <c r="C237" s="1" t="str">
        <f>IFERROR(__xludf.DUMMYFUNCTION("IFERROR(REGEXEXTRACT(A237, ""res(269|122)""), ""none"")"),"269")</f>
        <v>269</v>
      </c>
      <c r="D237" s="1">
        <v>-15.397445</v>
      </c>
      <c r="E237" s="1">
        <v>8.0</v>
      </c>
      <c r="F237" s="1">
        <v>5.0</v>
      </c>
      <c r="G237" s="1">
        <v>0.5</v>
      </c>
      <c r="H237" s="1">
        <v>2.0</v>
      </c>
      <c r="I237" s="1">
        <v>-1.534955</v>
      </c>
      <c r="J237" s="1">
        <v>100.0</v>
      </c>
      <c r="K237" s="1">
        <v>0.0</v>
      </c>
      <c r="L237" s="1">
        <v>0.0</v>
      </c>
      <c r="M237" s="1">
        <v>98.5676</v>
      </c>
    </row>
    <row r="238">
      <c r="A238" s="1" t="s">
        <v>760</v>
      </c>
      <c r="B238" s="1" t="s">
        <v>761</v>
      </c>
      <c r="C238" s="1" t="str">
        <f>IFERROR(__xludf.DUMMYFUNCTION("IFERROR(REGEXEXTRACT(A238, ""res(269|122)""), ""none"")"),"269")</f>
        <v>269</v>
      </c>
      <c r="D238" s="1">
        <v>-15.876867</v>
      </c>
      <c r="E238" s="1">
        <v>9.0</v>
      </c>
      <c r="F238" s="1">
        <v>5.0</v>
      </c>
      <c r="G238" s="1">
        <v>0.444444</v>
      </c>
      <c r="H238" s="1">
        <v>2.0</v>
      </c>
      <c r="I238" s="1">
        <v>-0.548546</v>
      </c>
      <c r="J238" s="1">
        <v>100.0</v>
      </c>
      <c r="K238" s="1">
        <v>0.0</v>
      </c>
      <c r="L238" s="1">
        <v>0.0</v>
      </c>
      <c r="M238" s="1">
        <v>100.019031</v>
      </c>
    </row>
    <row r="239">
      <c r="A239" s="1" t="s">
        <v>762</v>
      </c>
      <c r="B239" s="1" t="s">
        <v>763</v>
      </c>
      <c r="C239" s="1" t="str">
        <f>IFERROR(__xludf.DUMMYFUNCTION("IFERROR(REGEXEXTRACT(A239, ""res(269|122)""), ""none"")"),"269")</f>
        <v>269</v>
      </c>
      <c r="D239" s="1">
        <v>-15.298627</v>
      </c>
      <c r="E239" s="1">
        <v>8.0</v>
      </c>
      <c r="F239" s="1">
        <v>2.0</v>
      </c>
      <c r="G239" s="1">
        <v>0.25</v>
      </c>
      <c r="H239" s="1">
        <v>2.0</v>
      </c>
      <c r="I239" s="1">
        <v>-0.483175</v>
      </c>
      <c r="J239" s="1">
        <v>100.0</v>
      </c>
      <c r="K239" s="1">
        <v>0.0</v>
      </c>
      <c r="L239" s="1">
        <v>0.0</v>
      </c>
      <c r="M239" s="1">
        <v>96.468198</v>
      </c>
    </row>
    <row r="240">
      <c r="A240" s="1" t="s">
        <v>764</v>
      </c>
      <c r="B240" s="1" t="s">
        <v>765</v>
      </c>
      <c r="C240" s="1" t="str">
        <f>IFERROR(__xludf.DUMMYFUNCTION("IFERROR(REGEXEXTRACT(A240, ""res(269|122)""), ""none"")"),"269")</f>
        <v>269</v>
      </c>
      <c r="D240" s="1">
        <v>-18.469678</v>
      </c>
      <c r="E240" s="1">
        <v>10.0</v>
      </c>
      <c r="F240" s="1">
        <v>4.0</v>
      </c>
      <c r="G240" s="1">
        <v>0.4</v>
      </c>
      <c r="H240" s="1">
        <v>2.0</v>
      </c>
      <c r="I240" s="1">
        <v>-1.363106</v>
      </c>
      <c r="J240" s="1">
        <v>100.0</v>
      </c>
      <c r="K240" s="1">
        <v>0.0</v>
      </c>
      <c r="L240" s="1">
        <v>0.0</v>
      </c>
      <c r="M240" s="1">
        <v>96.567216</v>
      </c>
    </row>
    <row r="241">
      <c r="A241" s="1" t="s">
        <v>766</v>
      </c>
      <c r="B241" s="1" t="s">
        <v>767</v>
      </c>
      <c r="C241" s="1" t="str">
        <f>IFERROR(__xludf.DUMMYFUNCTION("IFERROR(REGEXEXTRACT(A241, ""res(269|122)""), ""none"")"),"269")</f>
        <v>269</v>
      </c>
      <c r="D241" s="1">
        <v>-16.667832</v>
      </c>
      <c r="E241" s="1">
        <v>6.0</v>
      </c>
      <c r="F241" s="1">
        <v>2.0</v>
      </c>
      <c r="G241" s="1">
        <v>0.333333</v>
      </c>
      <c r="H241" s="1">
        <v>2.0</v>
      </c>
      <c r="I241" s="1">
        <v>-1.030818</v>
      </c>
      <c r="J241" s="1">
        <v>100.0</v>
      </c>
      <c r="K241" s="1">
        <v>0.0</v>
      </c>
      <c r="L241" s="1">
        <v>0.0</v>
      </c>
      <c r="M241" s="1">
        <v>92.634683</v>
      </c>
    </row>
    <row r="242">
      <c r="A242" s="1" t="s">
        <v>374</v>
      </c>
      <c r="B242" s="1" t="s">
        <v>174</v>
      </c>
      <c r="C242" s="1" t="str">
        <f>IFERROR(__xludf.DUMMYFUNCTION("IFERROR(REGEXEXTRACT(A242, ""res(269|122)""), ""none"")"),"269")</f>
        <v>269</v>
      </c>
      <c r="D242" s="1">
        <v>-16.118663</v>
      </c>
      <c r="E242" s="1">
        <v>9.0</v>
      </c>
      <c r="F242" s="1">
        <v>1.0</v>
      </c>
      <c r="G242" s="1">
        <v>0.333333</v>
      </c>
      <c r="H242" s="1">
        <v>2.0</v>
      </c>
      <c r="I242" s="1">
        <v>-0.368431</v>
      </c>
      <c r="J242" s="1">
        <v>100.0</v>
      </c>
      <c r="K242" s="1">
        <v>0.0</v>
      </c>
      <c r="L242" s="1">
        <v>0.0</v>
      </c>
      <c r="M242" s="1">
        <v>95.846239</v>
      </c>
    </row>
    <row r="243">
      <c r="A243" s="1" t="s">
        <v>768</v>
      </c>
      <c r="B243" s="1" t="s">
        <v>769</v>
      </c>
      <c r="C243" s="1" t="str">
        <f>IFERROR(__xludf.DUMMYFUNCTION("IFERROR(REGEXEXTRACT(A243, ""res(269|122)""), ""none"")"),"269")</f>
        <v>269</v>
      </c>
      <c r="D243" s="1">
        <v>-15.215774</v>
      </c>
      <c r="E243" s="1">
        <v>7.0</v>
      </c>
      <c r="F243" s="1">
        <v>3.0</v>
      </c>
      <c r="G243" s="1">
        <v>0.285714</v>
      </c>
      <c r="H243" s="1">
        <v>2.0</v>
      </c>
      <c r="I243" s="1">
        <v>-0.616062</v>
      </c>
      <c r="J243" s="1">
        <v>100.0</v>
      </c>
      <c r="K243" s="1">
        <v>0.0</v>
      </c>
      <c r="L243" s="1">
        <v>0.0</v>
      </c>
      <c r="M243" s="1">
        <v>96.453878</v>
      </c>
    </row>
    <row r="244">
      <c r="A244" s="1" t="s">
        <v>770</v>
      </c>
      <c r="B244" s="1" t="s">
        <v>771</v>
      </c>
      <c r="C244" s="1" t="str">
        <f>IFERROR(__xludf.DUMMYFUNCTION("IFERROR(REGEXEXTRACT(A244, ""res(269|122)""), ""none"")"),"269")</f>
        <v>269</v>
      </c>
      <c r="D244" s="1">
        <v>-15.561513</v>
      </c>
      <c r="E244" s="1">
        <v>7.0</v>
      </c>
      <c r="F244" s="1">
        <v>2.0</v>
      </c>
      <c r="G244" s="1">
        <v>0.285714</v>
      </c>
      <c r="H244" s="1">
        <v>2.0</v>
      </c>
      <c r="I244" s="1">
        <v>-0.958047</v>
      </c>
      <c r="J244" s="1">
        <v>100.0</v>
      </c>
      <c r="K244" s="1">
        <v>0.0</v>
      </c>
      <c r="L244" s="1">
        <v>0.0</v>
      </c>
      <c r="M244" s="1">
        <v>94.766154</v>
      </c>
    </row>
    <row r="245">
      <c r="A245" s="1" t="s">
        <v>772</v>
      </c>
      <c r="B245" s="1" t="s">
        <v>773</v>
      </c>
      <c r="C245" s="1" t="str">
        <f>IFERROR(__xludf.DUMMYFUNCTION("IFERROR(REGEXEXTRACT(A245, ""res(269|122)""), ""none"")"),"269")</f>
        <v>269</v>
      </c>
      <c r="D245" s="1">
        <v>-15.089943</v>
      </c>
      <c r="E245" s="1">
        <v>9.0</v>
      </c>
      <c r="F245" s="1">
        <v>3.0</v>
      </c>
      <c r="G245" s="1">
        <v>0.444444</v>
      </c>
      <c r="H245" s="1">
        <v>2.0</v>
      </c>
      <c r="I245" s="1">
        <v>-0.893755</v>
      </c>
      <c r="J245" s="1">
        <v>100.0</v>
      </c>
      <c r="K245" s="1">
        <v>0.0</v>
      </c>
      <c r="L245" s="1">
        <v>0.0</v>
      </c>
      <c r="M245" s="1">
        <v>98.460746</v>
      </c>
    </row>
    <row r="246">
      <c r="A246" s="1" t="s">
        <v>774</v>
      </c>
      <c r="B246" s="1" t="s">
        <v>775</v>
      </c>
      <c r="C246" s="1" t="str">
        <f>IFERROR(__xludf.DUMMYFUNCTION("IFERROR(REGEXEXTRACT(A246, ""res(269|122)""), ""none"")"),"269")</f>
        <v>269</v>
      </c>
      <c r="D246" s="1">
        <v>-15.129961</v>
      </c>
      <c r="E246" s="1">
        <v>9.0</v>
      </c>
      <c r="F246" s="1">
        <v>1.0</v>
      </c>
      <c r="G246" s="1">
        <v>0.333333</v>
      </c>
      <c r="H246" s="1">
        <v>2.0</v>
      </c>
      <c r="I246" s="1">
        <v>-1.424951</v>
      </c>
      <c r="J246" s="1">
        <v>100.0</v>
      </c>
      <c r="K246" s="1">
        <v>0.0</v>
      </c>
      <c r="L246" s="1">
        <v>0.0</v>
      </c>
      <c r="M246" s="1">
        <v>95.778421</v>
      </c>
    </row>
    <row r="247">
      <c r="A247" s="1" t="s">
        <v>776</v>
      </c>
      <c r="B247" s="1" t="s">
        <v>777</v>
      </c>
      <c r="C247" s="1" t="str">
        <f>IFERROR(__xludf.DUMMYFUNCTION("IFERROR(REGEXEXTRACT(A247, ""res(269|122)""), ""none"")"),"269")</f>
        <v>269</v>
      </c>
      <c r="D247" s="1">
        <v>-15.779634</v>
      </c>
      <c r="E247" s="1">
        <v>10.0</v>
      </c>
      <c r="F247" s="1">
        <v>5.0</v>
      </c>
      <c r="G247" s="1">
        <v>0.3</v>
      </c>
      <c r="H247" s="1">
        <v>2.0</v>
      </c>
      <c r="I247" s="1">
        <v>-0.855369</v>
      </c>
      <c r="J247" s="1">
        <v>100.0</v>
      </c>
      <c r="K247" s="1">
        <v>0.0</v>
      </c>
      <c r="L247" s="1">
        <v>0.0</v>
      </c>
      <c r="M247" s="1">
        <v>100.664997</v>
      </c>
    </row>
    <row r="248">
      <c r="A248" s="1" t="s">
        <v>778</v>
      </c>
      <c r="B248" s="1" t="s">
        <v>779</v>
      </c>
      <c r="C248" s="1" t="str">
        <f>IFERROR(__xludf.DUMMYFUNCTION("IFERROR(REGEXEXTRACT(A248, ""res(269|122)""), ""none"")"),"269")</f>
        <v>269</v>
      </c>
      <c r="D248" s="1">
        <v>-15.06211</v>
      </c>
      <c r="E248" s="1">
        <v>7.0</v>
      </c>
      <c r="F248" s="1">
        <v>3.0</v>
      </c>
      <c r="G248" s="1">
        <v>0.285714</v>
      </c>
      <c r="H248" s="1">
        <v>2.0</v>
      </c>
      <c r="I248" s="1">
        <v>-0.778561</v>
      </c>
      <c r="J248" s="1">
        <v>100.0</v>
      </c>
      <c r="K248" s="1">
        <v>0.0</v>
      </c>
      <c r="L248" s="1">
        <v>0.0</v>
      </c>
      <c r="M248" s="1">
        <v>96.445043</v>
      </c>
    </row>
    <row r="249">
      <c r="A249" s="1" t="s">
        <v>780</v>
      </c>
      <c r="B249" s="1" t="s">
        <v>781</v>
      </c>
      <c r="C249" s="1" t="str">
        <f>IFERROR(__xludf.DUMMYFUNCTION("IFERROR(REGEXEXTRACT(A249, ""res(269|122)""), ""none"")"),"269")</f>
        <v>269</v>
      </c>
      <c r="D249" s="1">
        <v>-15.228987</v>
      </c>
      <c r="E249" s="1">
        <v>7.0</v>
      </c>
      <c r="F249" s="1">
        <v>1.0</v>
      </c>
      <c r="G249" s="1">
        <v>0.285714</v>
      </c>
      <c r="H249" s="1">
        <v>2.0</v>
      </c>
      <c r="I249" s="1">
        <v>-0.497766</v>
      </c>
      <c r="J249" s="1">
        <v>100.0</v>
      </c>
      <c r="K249" s="1">
        <v>0.0</v>
      </c>
      <c r="L249" s="1">
        <v>0.0</v>
      </c>
      <c r="M249" s="1">
        <v>94.558961</v>
      </c>
    </row>
    <row r="250">
      <c r="A250" s="1" t="s">
        <v>782</v>
      </c>
      <c r="B250" s="1" t="s">
        <v>783</v>
      </c>
      <c r="C250" s="1" t="str">
        <f>IFERROR(__xludf.DUMMYFUNCTION("IFERROR(REGEXEXTRACT(A250, ""res(269|122)""), ""none"")"),"269")</f>
        <v>269</v>
      </c>
      <c r="D250" s="1">
        <v>-16.62153</v>
      </c>
      <c r="E250" s="1">
        <v>7.0</v>
      </c>
      <c r="F250" s="1">
        <v>3.0</v>
      </c>
      <c r="G250" s="1">
        <v>0.285714</v>
      </c>
      <c r="H250" s="1">
        <v>2.0</v>
      </c>
      <c r="I250" s="1">
        <v>-0.582049</v>
      </c>
      <c r="J250" s="1">
        <v>100.0</v>
      </c>
      <c r="K250" s="1">
        <v>0.0</v>
      </c>
      <c r="L250" s="1">
        <v>0.0</v>
      </c>
      <c r="M250" s="1">
        <v>95.082135</v>
      </c>
    </row>
    <row r="251">
      <c r="A251" s="1" t="s">
        <v>375</v>
      </c>
      <c r="B251" s="1" t="s">
        <v>376</v>
      </c>
      <c r="C251" s="1" t="str">
        <f>IFERROR(__xludf.DUMMYFUNCTION("IFERROR(REGEXEXTRACT(A251, ""res(269|122)""), ""none"")"),"269")</f>
        <v>269</v>
      </c>
      <c r="D251" s="1">
        <v>-15.441678</v>
      </c>
      <c r="E251" s="1">
        <v>7.0</v>
      </c>
      <c r="F251" s="1">
        <v>3.0</v>
      </c>
      <c r="G251" s="1">
        <v>0.571429</v>
      </c>
      <c r="H251" s="1">
        <v>2.0</v>
      </c>
      <c r="I251" s="1">
        <v>-0.383116</v>
      </c>
      <c r="J251" s="1">
        <v>100.0</v>
      </c>
      <c r="K251" s="1">
        <v>0.0</v>
      </c>
      <c r="L251" s="1">
        <v>0.0</v>
      </c>
      <c r="M251" s="1">
        <v>96.746635</v>
      </c>
    </row>
    <row r="252">
      <c r="A252" s="1" t="s">
        <v>784</v>
      </c>
      <c r="B252" s="1" t="s">
        <v>785</v>
      </c>
      <c r="C252" s="1" t="str">
        <f>IFERROR(__xludf.DUMMYFUNCTION("IFERROR(REGEXEXTRACT(A252, ""res(269|122)""), ""none"")"),"269")</f>
        <v>269</v>
      </c>
      <c r="D252" s="1">
        <v>-16.853684</v>
      </c>
      <c r="E252" s="1">
        <v>8.0</v>
      </c>
      <c r="F252" s="1">
        <v>2.0</v>
      </c>
      <c r="G252" s="1">
        <v>0.25</v>
      </c>
      <c r="H252" s="1">
        <v>2.0</v>
      </c>
      <c r="I252" s="1">
        <v>-0.61432</v>
      </c>
      <c r="J252" s="1">
        <v>100.0</v>
      </c>
      <c r="K252" s="1">
        <v>0.0</v>
      </c>
      <c r="L252" s="1">
        <v>0.0</v>
      </c>
      <c r="M252" s="1">
        <v>94.781996</v>
      </c>
    </row>
    <row r="253">
      <c r="A253" s="1" t="s">
        <v>786</v>
      </c>
      <c r="B253" s="1" t="s">
        <v>787</v>
      </c>
      <c r="C253" s="1" t="str">
        <f>IFERROR(__xludf.DUMMYFUNCTION("IFERROR(REGEXEXTRACT(A253, ""res(269|122)""), ""none"")"),"269")</f>
        <v>269</v>
      </c>
      <c r="D253" s="1">
        <v>-16.043158</v>
      </c>
      <c r="E253" s="1">
        <v>11.0</v>
      </c>
      <c r="F253" s="1">
        <v>4.0</v>
      </c>
      <c r="G253" s="1">
        <v>0.272727</v>
      </c>
      <c r="H253" s="1">
        <v>2.0</v>
      </c>
      <c r="I253" s="1">
        <v>-0.622452999999999</v>
      </c>
      <c r="J253" s="1">
        <v>100.0</v>
      </c>
      <c r="K253" s="1">
        <v>0.0</v>
      </c>
      <c r="L253" s="1">
        <v>0.0</v>
      </c>
      <c r="M253" s="1">
        <v>100.607116</v>
      </c>
    </row>
    <row r="254">
      <c r="A254" s="1" t="s">
        <v>788</v>
      </c>
      <c r="B254" s="1" t="s">
        <v>789</v>
      </c>
      <c r="C254" s="1" t="str">
        <f>IFERROR(__xludf.DUMMYFUNCTION("IFERROR(REGEXEXTRACT(A254, ""res(269|122)""), ""none"")"),"269")</f>
        <v>269</v>
      </c>
      <c r="D254" s="1">
        <v>-17.026364</v>
      </c>
      <c r="E254" s="1">
        <v>9.0</v>
      </c>
      <c r="F254" s="1">
        <v>3.0</v>
      </c>
      <c r="G254" s="1">
        <v>0.333333</v>
      </c>
      <c r="H254" s="1">
        <v>2.0</v>
      </c>
      <c r="I254" s="1">
        <v>-1.021611</v>
      </c>
      <c r="J254" s="1">
        <v>100.0</v>
      </c>
      <c r="K254" s="1">
        <v>0.0</v>
      </c>
      <c r="L254" s="1">
        <v>0.0</v>
      </c>
      <c r="M254" s="1">
        <v>96.285358</v>
      </c>
    </row>
    <row r="255">
      <c r="A255" s="1" t="s">
        <v>790</v>
      </c>
      <c r="B255" s="1" t="s">
        <v>791</v>
      </c>
      <c r="C255" s="1" t="str">
        <f>IFERROR(__xludf.DUMMYFUNCTION("IFERROR(REGEXEXTRACT(A255, ""res(269|122)""), ""none"")"),"269")</f>
        <v>269</v>
      </c>
      <c r="D255" s="1">
        <v>-15.968585</v>
      </c>
      <c r="E255" s="1">
        <v>7.0</v>
      </c>
      <c r="F255" s="1">
        <v>2.0</v>
      </c>
      <c r="G255" s="1">
        <v>0.285714</v>
      </c>
      <c r="H255" s="1">
        <v>2.0</v>
      </c>
      <c r="I255" s="1">
        <v>-1.25003</v>
      </c>
      <c r="J255" s="1">
        <v>100.0</v>
      </c>
      <c r="K255" s="1">
        <v>0.0</v>
      </c>
      <c r="L255" s="1">
        <v>0.0</v>
      </c>
      <c r="M255" s="1">
        <v>94.067099</v>
      </c>
    </row>
    <row r="256">
      <c r="A256" s="1" t="s">
        <v>792</v>
      </c>
      <c r="B256" s="1" t="s">
        <v>793</v>
      </c>
      <c r="C256" s="1" t="str">
        <f>IFERROR(__xludf.DUMMYFUNCTION("IFERROR(REGEXEXTRACT(A256, ""res(269|122)""), ""none"")"),"269")</f>
        <v>269</v>
      </c>
      <c r="D256" s="1">
        <v>-15.701944</v>
      </c>
      <c r="E256" s="1">
        <v>7.0</v>
      </c>
      <c r="F256" s="1">
        <v>3.0</v>
      </c>
      <c r="G256" s="1">
        <v>0.285714</v>
      </c>
      <c r="H256" s="1">
        <v>2.0</v>
      </c>
      <c r="I256" s="1">
        <v>-0.189779</v>
      </c>
      <c r="J256" s="1">
        <v>100.0</v>
      </c>
      <c r="K256" s="1">
        <v>0.0</v>
      </c>
      <c r="L256" s="1">
        <v>0.0</v>
      </c>
      <c r="M256" s="1">
        <v>96.393991</v>
      </c>
    </row>
    <row r="257">
      <c r="A257" s="1" t="s">
        <v>794</v>
      </c>
      <c r="B257" s="1" t="s">
        <v>795</v>
      </c>
      <c r="C257" s="1" t="str">
        <f>IFERROR(__xludf.DUMMYFUNCTION("IFERROR(REGEXEXTRACT(A257, ""res(269|122)""), ""none"")"),"269")</f>
        <v>269</v>
      </c>
      <c r="D257" s="1">
        <v>-15.795906</v>
      </c>
      <c r="E257" s="1">
        <v>11.0</v>
      </c>
      <c r="F257" s="1">
        <v>4.0</v>
      </c>
      <c r="G257" s="1">
        <v>0.363636</v>
      </c>
      <c r="H257" s="1">
        <v>2.0</v>
      </c>
      <c r="I257" s="1">
        <v>-1.368672</v>
      </c>
      <c r="J257" s="1">
        <v>100.0</v>
      </c>
      <c r="K257" s="1">
        <v>0.0</v>
      </c>
      <c r="L257" s="1">
        <v>0.0</v>
      </c>
      <c r="M257" s="1">
        <v>100.199058</v>
      </c>
    </row>
    <row r="258">
      <c r="A258" s="1" t="s">
        <v>796</v>
      </c>
      <c r="B258" s="1" t="s">
        <v>797</v>
      </c>
      <c r="C258" s="1" t="str">
        <f>IFERROR(__xludf.DUMMYFUNCTION("IFERROR(REGEXEXTRACT(A258, ""res(269|122)""), ""none"")"),"269")</f>
        <v>269</v>
      </c>
      <c r="D258" s="1">
        <v>-16.171652</v>
      </c>
      <c r="E258" s="1">
        <v>11.0</v>
      </c>
      <c r="F258" s="1">
        <v>4.0</v>
      </c>
      <c r="G258" s="1">
        <v>0.272727</v>
      </c>
      <c r="H258" s="1">
        <v>2.0</v>
      </c>
      <c r="I258" s="1">
        <v>-0.585379</v>
      </c>
      <c r="J258" s="1">
        <v>100.0</v>
      </c>
      <c r="K258" s="1">
        <v>0.0</v>
      </c>
      <c r="L258" s="1">
        <v>0.0</v>
      </c>
      <c r="M258" s="1">
        <v>100.515696</v>
      </c>
    </row>
    <row r="259">
      <c r="A259" s="1" t="s">
        <v>798</v>
      </c>
      <c r="B259" s="1" t="s">
        <v>799</v>
      </c>
      <c r="C259" s="1" t="str">
        <f>IFERROR(__xludf.DUMMYFUNCTION("IFERROR(REGEXEXTRACT(A259, ""res(269|122)""), ""none"")"),"269")</f>
        <v>269</v>
      </c>
      <c r="D259" s="1">
        <v>-16.782024</v>
      </c>
      <c r="E259" s="1">
        <v>12.0</v>
      </c>
      <c r="F259" s="1">
        <v>4.0</v>
      </c>
      <c r="G259" s="1">
        <v>0.583333</v>
      </c>
      <c r="H259" s="1">
        <v>2.0</v>
      </c>
      <c r="I259" s="1">
        <v>-1.036546</v>
      </c>
      <c r="J259" s="1">
        <v>100.0</v>
      </c>
      <c r="K259" s="1">
        <v>0.0</v>
      </c>
      <c r="L259" s="1">
        <v>0.0</v>
      </c>
      <c r="M259" s="1">
        <v>100.764763</v>
      </c>
    </row>
    <row r="260">
      <c r="A260" s="1" t="s">
        <v>800</v>
      </c>
      <c r="B260" s="1" t="s">
        <v>801</v>
      </c>
      <c r="C260" s="1" t="str">
        <f>IFERROR(__xludf.DUMMYFUNCTION("IFERROR(REGEXEXTRACT(A260, ""res(269|122)""), ""none"")"),"269")</f>
        <v>269</v>
      </c>
      <c r="D260" s="1">
        <v>-16.864079</v>
      </c>
      <c r="E260" s="1">
        <v>8.0</v>
      </c>
      <c r="F260" s="1">
        <v>3.0</v>
      </c>
      <c r="G260" s="1">
        <v>0.375</v>
      </c>
      <c r="H260" s="1">
        <v>2.0</v>
      </c>
      <c r="I260" s="1">
        <v>-0.61508</v>
      </c>
      <c r="J260" s="1">
        <v>100.0</v>
      </c>
      <c r="K260" s="1">
        <v>0.0</v>
      </c>
      <c r="L260" s="1">
        <v>0.0</v>
      </c>
      <c r="M260" s="1">
        <v>95.895841</v>
      </c>
    </row>
    <row r="261">
      <c r="A261" s="1" t="s">
        <v>802</v>
      </c>
      <c r="B261" s="1" t="s">
        <v>803</v>
      </c>
      <c r="C261" s="1" t="str">
        <f>IFERROR(__xludf.DUMMYFUNCTION("IFERROR(REGEXEXTRACT(A261, ""res(269|122)""), ""none"")"),"269")</f>
        <v>269</v>
      </c>
      <c r="D261" s="1">
        <v>-15.073154</v>
      </c>
      <c r="E261" s="1">
        <v>10.0</v>
      </c>
      <c r="F261" s="1">
        <v>2.0</v>
      </c>
      <c r="G261" s="1">
        <v>0.4</v>
      </c>
      <c r="H261" s="1">
        <v>2.0</v>
      </c>
      <c r="I261" s="1">
        <v>-1.488286</v>
      </c>
      <c r="J261" s="1">
        <v>100.0</v>
      </c>
      <c r="K261" s="1">
        <v>0.0</v>
      </c>
      <c r="L261" s="1">
        <v>0.0</v>
      </c>
      <c r="M261" s="1">
        <v>97.83856</v>
      </c>
    </row>
    <row r="262">
      <c r="A262" s="1" t="s">
        <v>804</v>
      </c>
      <c r="B262" s="1" t="s">
        <v>805</v>
      </c>
      <c r="C262" s="1" t="str">
        <f>IFERROR(__xludf.DUMMYFUNCTION("IFERROR(REGEXEXTRACT(A262, ""res(269|122)""), ""none"")"),"269")</f>
        <v>269</v>
      </c>
      <c r="D262" s="1">
        <v>-16.216069</v>
      </c>
      <c r="E262" s="1">
        <v>7.0</v>
      </c>
      <c r="F262" s="1">
        <v>2.0</v>
      </c>
      <c r="G262" s="1">
        <v>0.285714</v>
      </c>
      <c r="H262" s="1">
        <v>2.0</v>
      </c>
      <c r="I262" s="1">
        <v>-0.390856</v>
      </c>
      <c r="J262" s="1">
        <v>100.0</v>
      </c>
      <c r="K262" s="1">
        <v>0.0</v>
      </c>
      <c r="L262" s="1">
        <v>0.0</v>
      </c>
      <c r="M262" s="1">
        <v>94.678789</v>
      </c>
    </row>
    <row r="263">
      <c r="A263" s="1" t="s">
        <v>806</v>
      </c>
      <c r="B263" s="1" t="s">
        <v>807</v>
      </c>
      <c r="C263" s="1" t="str">
        <f>IFERROR(__xludf.DUMMYFUNCTION("IFERROR(REGEXEXTRACT(A263, ""res(269|122)""), ""none"")"),"269")</f>
        <v>269</v>
      </c>
      <c r="D263" s="1">
        <v>-17.639319</v>
      </c>
      <c r="E263" s="1">
        <v>12.0</v>
      </c>
      <c r="F263" s="1">
        <v>3.0</v>
      </c>
      <c r="G263" s="1">
        <v>0.25</v>
      </c>
      <c r="H263" s="1">
        <v>2.0</v>
      </c>
      <c r="I263" s="1">
        <v>-0.813736</v>
      </c>
      <c r="J263" s="1">
        <v>100.0</v>
      </c>
      <c r="K263" s="1">
        <v>0.0</v>
      </c>
      <c r="L263" s="1">
        <v>0.0</v>
      </c>
      <c r="M263" s="1">
        <v>98.796945</v>
      </c>
    </row>
    <row r="264">
      <c r="A264" s="1" t="s">
        <v>808</v>
      </c>
      <c r="B264" s="1" t="s">
        <v>809</v>
      </c>
      <c r="C264" s="1" t="str">
        <f>IFERROR(__xludf.DUMMYFUNCTION("IFERROR(REGEXEXTRACT(A264, ""res(269|122)""), ""none"")"),"269")</f>
        <v>269</v>
      </c>
      <c r="D264" s="1">
        <v>-15.326067</v>
      </c>
      <c r="E264" s="1">
        <v>6.0</v>
      </c>
      <c r="F264" s="1">
        <v>1.0</v>
      </c>
      <c r="G264" s="1">
        <v>0.333333</v>
      </c>
      <c r="H264" s="1">
        <v>2.0</v>
      </c>
      <c r="I264" s="1">
        <v>-1.450523</v>
      </c>
      <c r="J264" s="1">
        <v>100.0</v>
      </c>
      <c r="K264" s="1">
        <v>0.0</v>
      </c>
      <c r="L264" s="1">
        <v>0.0</v>
      </c>
      <c r="M264" s="1">
        <v>92.556743</v>
      </c>
    </row>
    <row r="265">
      <c r="A265" s="1" t="s">
        <v>810</v>
      </c>
      <c r="B265" s="1" t="s">
        <v>811</v>
      </c>
      <c r="C265" s="1" t="str">
        <f>IFERROR(__xludf.DUMMYFUNCTION("IFERROR(REGEXEXTRACT(A265, ""res(269|122)""), ""none"")"),"269")</f>
        <v>269</v>
      </c>
      <c r="D265" s="1">
        <v>-16.419687</v>
      </c>
      <c r="E265" s="1">
        <v>11.0</v>
      </c>
      <c r="F265" s="1">
        <v>4.0</v>
      </c>
      <c r="G265" s="1">
        <v>0.272727</v>
      </c>
      <c r="H265" s="1">
        <v>2.0</v>
      </c>
      <c r="I265" s="1">
        <v>-0.954938</v>
      </c>
      <c r="J265" s="1">
        <v>100.0</v>
      </c>
      <c r="K265" s="1">
        <v>0.0</v>
      </c>
      <c r="L265" s="1">
        <v>0.0</v>
      </c>
      <c r="M265" s="1">
        <v>99.898102</v>
      </c>
    </row>
    <row r="266">
      <c r="A266" s="1" t="s">
        <v>812</v>
      </c>
      <c r="B266" s="1" t="s">
        <v>813</v>
      </c>
      <c r="C266" s="1" t="str">
        <f>IFERROR(__xludf.DUMMYFUNCTION("IFERROR(REGEXEXTRACT(A266, ""res(269|122)""), ""none"")"),"269")</f>
        <v>269</v>
      </c>
      <c r="D266" s="1">
        <v>-15.739191</v>
      </c>
      <c r="E266" s="1">
        <v>8.0</v>
      </c>
      <c r="F266" s="1">
        <v>3.0</v>
      </c>
      <c r="G266" s="1">
        <v>0.625</v>
      </c>
      <c r="H266" s="1">
        <v>2.0</v>
      </c>
      <c r="I266" s="1">
        <v>-0.299369999999999</v>
      </c>
      <c r="J266" s="1">
        <v>100.0</v>
      </c>
      <c r="K266" s="1">
        <v>0.0</v>
      </c>
      <c r="L266" s="1">
        <v>0.0</v>
      </c>
      <c r="M266" s="1">
        <v>97.586439</v>
      </c>
    </row>
    <row r="267">
      <c r="A267" s="1" t="s">
        <v>377</v>
      </c>
      <c r="B267" s="1" t="s">
        <v>378</v>
      </c>
      <c r="C267" s="1" t="str">
        <f>IFERROR(__xludf.DUMMYFUNCTION("IFERROR(REGEXEXTRACT(A267, ""res(269|122)""), ""none"")"),"269")</f>
        <v>269</v>
      </c>
      <c r="D267" s="1">
        <v>-15.43829</v>
      </c>
      <c r="E267" s="1">
        <v>8.0</v>
      </c>
      <c r="F267" s="1">
        <v>3.0</v>
      </c>
      <c r="G267" s="1">
        <v>0.375</v>
      </c>
      <c r="H267" s="1">
        <v>2.0</v>
      </c>
      <c r="I267" s="1">
        <v>-1.14393</v>
      </c>
      <c r="J267" s="1">
        <v>100.0</v>
      </c>
      <c r="K267" s="1">
        <v>0.0</v>
      </c>
      <c r="L267" s="1">
        <v>0.0</v>
      </c>
      <c r="M267" s="1">
        <v>96.79278</v>
      </c>
    </row>
    <row r="268">
      <c r="A268" s="1" t="s">
        <v>814</v>
      </c>
      <c r="B268" s="1" t="s">
        <v>815</v>
      </c>
      <c r="C268" s="1" t="str">
        <f>IFERROR(__xludf.DUMMYFUNCTION("IFERROR(REGEXEXTRACT(A268, ""res(269|122)""), ""none"")"),"269")</f>
        <v>269</v>
      </c>
      <c r="D268" s="1">
        <v>-15.995072</v>
      </c>
      <c r="E268" s="1">
        <v>11.0</v>
      </c>
      <c r="F268" s="1">
        <v>3.0</v>
      </c>
      <c r="G268" s="1">
        <v>0.363636</v>
      </c>
      <c r="H268" s="1">
        <v>2.0</v>
      </c>
      <c r="I268" s="1">
        <v>-1.313084</v>
      </c>
      <c r="J268" s="1">
        <v>100.0</v>
      </c>
      <c r="K268" s="1">
        <v>0.0</v>
      </c>
      <c r="L268" s="1">
        <v>0.0</v>
      </c>
      <c r="M268" s="1">
        <v>99.05548</v>
      </c>
    </row>
    <row r="269">
      <c r="A269" s="1" t="s">
        <v>816</v>
      </c>
      <c r="B269" s="1" t="s">
        <v>817</v>
      </c>
      <c r="C269" s="1" t="str">
        <f>IFERROR(__xludf.DUMMYFUNCTION("IFERROR(REGEXEXTRACT(A269, ""res(269|122)""), ""none"")"),"269")</f>
        <v>269</v>
      </c>
      <c r="D269" s="1">
        <v>-15.888689</v>
      </c>
      <c r="E269" s="1">
        <v>10.0</v>
      </c>
      <c r="F269" s="1">
        <v>2.0</v>
      </c>
      <c r="G269" s="1">
        <v>0.3</v>
      </c>
      <c r="H269" s="1">
        <v>2.0</v>
      </c>
      <c r="I269" s="1">
        <v>-0.501779</v>
      </c>
      <c r="J269" s="1">
        <v>100.0</v>
      </c>
      <c r="K269" s="1">
        <v>0.0</v>
      </c>
      <c r="L269" s="1">
        <v>0.0</v>
      </c>
      <c r="M269" s="1">
        <v>97.909532</v>
      </c>
    </row>
    <row r="270">
      <c r="A270" s="1" t="s">
        <v>818</v>
      </c>
      <c r="B270" s="1" t="s">
        <v>819</v>
      </c>
      <c r="C270" s="1" t="str">
        <f>IFERROR(__xludf.DUMMYFUNCTION("IFERROR(REGEXEXTRACT(A270, ""res(269|122)""), ""none"")"),"269")</f>
        <v>269</v>
      </c>
      <c r="D270" s="1">
        <v>-15.155713</v>
      </c>
      <c r="E270" s="1">
        <v>7.0</v>
      </c>
      <c r="F270" s="1">
        <v>2.0</v>
      </c>
      <c r="G270" s="1">
        <v>0.428571</v>
      </c>
      <c r="H270" s="1">
        <v>2.0</v>
      </c>
      <c r="I270" s="1">
        <v>-1.146592</v>
      </c>
      <c r="J270" s="1">
        <v>100.0</v>
      </c>
      <c r="K270" s="1">
        <v>0.0</v>
      </c>
      <c r="L270" s="1">
        <v>0.0</v>
      </c>
      <c r="M270" s="1">
        <v>95.126266</v>
      </c>
    </row>
    <row r="271">
      <c r="A271" s="1" t="s">
        <v>379</v>
      </c>
      <c r="B271" s="1" t="s">
        <v>380</v>
      </c>
      <c r="C271" s="1" t="str">
        <f>IFERROR(__xludf.DUMMYFUNCTION("IFERROR(REGEXEXTRACT(A271, ""res(269|122)""), ""none"")"),"269")</f>
        <v>269</v>
      </c>
      <c r="D271" s="1">
        <v>-16.179464</v>
      </c>
      <c r="E271" s="1">
        <v>11.0</v>
      </c>
      <c r="F271" s="1">
        <v>5.0</v>
      </c>
      <c r="G271" s="1">
        <v>0.454545</v>
      </c>
      <c r="H271" s="1">
        <v>2.0</v>
      </c>
      <c r="I271" s="1">
        <v>-0.328299</v>
      </c>
      <c r="J271" s="1">
        <v>100.0</v>
      </c>
      <c r="K271" s="1">
        <v>0.0</v>
      </c>
      <c r="L271" s="1">
        <v>0.0</v>
      </c>
      <c r="M271" s="1">
        <v>101.946782</v>
      </c>
    </row>
    <row r="272">
      <c r="A272" s="1" t="s">
        <v>820</v>
      </c>
      <c r="B272" s="1" t="s">
        <v>821</v>
      </c>
      <c r="C272" s="1" t="str">
        <f>IFERROR(__xludf.DUMMYFUNCTION("IFERROR(REGEXEXTRACT(A272, ""res(269|122)""), ""none"")"),"269")</f>
        <v>269</v>
      </c>
      <c r="D272" s="1">
        <v>-15.633367</v>
      </c>
      <c r="E272" s="1">
        <v>7.0</v>
      </c>
      <c r="F272" s="1">
        <v>1.0</v>
      </c>
      <c r="G272" s="1">
        <v>0.285714</v>
      </c>
      <c r="H272" s="1">
        <v>2.0</v>
      </c>
      <c r="I272" s="1">
        <v>-1.709096</v>
      </c>
      <c r="J272" s="1">
        <v>100.0</v>
      </c>
      <c r="K272" s="1">
        <v>0.0</v>
      </c>
      <c r="L272" s="1">
        <v>0.0</v>
      </c>
      <c r="M272" s="1">
        <v>92.943251</v>
      </c>
    </row>
    <row r="273">
      <c r="A273" s="1" t="s">
        <v>822</v>
      </c>
      <c r="B273" s="1" t="s">
        <v>823</v>
      </c>
      <c r="C273" s="1" t="str">
        <f>IFERROR(__xludf.DUMMYFUNCTION("IFERROR(REGEXEXTRACT(A273, ""res(269|122)""), ""none"")"),"269")</f>
        <v>269</v>
      </c>
      <c r="D273" s="1">
        <v>-15.42158</v>
      </c>
      <c r="E273" s="1">
        <v>11.0</v>
      </c>
      <c r="F273" s="1">
        <v>4.0</v>
      </c>
      <c r="G273" s="1">
        <v>0.272727</v>
      </c>
      <c r="H273" s="1">
        <v>3.0</v>
      </c>
      <c r="I273" s="1">
        <v>-1.893395</v>
      </c>
      <c r="J273" s="1">
        <v>100.0</v>
      </c>
      <c r="K273" s="1">
        <v>0.0</v>
      </c>
      <c r="L273" s="1">
        <v>0.0</v>
      </c>
      <c r="M273" s="1">
        <v>100.957752</v>
      </c>
    </row>
    <row r="274">
      <c r="A274" s="1" t="s">
        <v>381</v>
      </c>
      <c r="B274" s="1" t="s">
        <v>177</v>
      </c>
      <c r="C274" s="1" t="str">
        <f>IFERROR(__xludf.DUMMYFUNCTION("IFERROR(REGEXEXTRACT(A274, ""res(269|122)""), ""none"")"),"269")</f>
        <v>269</v>
      </c>
      <c r="D274" s="1">
        <v>-15.935374</v>
      </c>
      <c r="E274" s="1">
        <v>10.0</v>
      </c>
      <c r="F274" s="1">
        <v>2.0</v>
      </c>
      <c r="G274" s="1">
        <v>0.3</v>
      </c>
      <c r="H274" s="1">
        <v>3.0</v>
      </c>
      <c r="I274" s="1">
        <v>-1.849118</v>
      </c>
      <c r="J274" s="1">
        <v>100.0</v>
      </c>
      <c r="K274" s="1">
        <v>0.0</v>
      </c>
      <c r="L274" s="1">
        <v>0.0</v>
      </c>
      <c r="M274" s="1">
        <v>97.515508</v>
      </c>
    </row>
    <row r="275">
      <c r="A275" s="1" t="s">
        <v>824</v>
      </c>
      <c r="B275" s="1" t="s">
        <v>825</v>
      </c>
      <c r="C275" s="1" t="str">
        <f>IFERROR(__xludf.DUMMYFUNCTION("IFERROR(REGEXEXTRACT(A275, ""res(269|122)""), ""none"")"),"269")</f>
        <v>269</v>
      </c>
      <c r="D275" s="1">
        <v>-15.008357</v>
      </c>
      <c r="E275" s="1">
        <v>8.0</v>
      </c>
      <c r="F275" s="1">
        <v>2.0</v>
      </c>
      <c r="G275" s="1">
        <v>0.25</v>
      </c>
      <c r="H275" s="1">
        <v>2.0</v>
      </c>
      <c r="I275" s="1">
        <v>-0.295051</v>
      </c>
      <c r="J275" s="1">
        <v>100.0</v>
      </c>
      <c r="K275" s="1">
        <v>0.0</v>
      </c>
      <c r="L275" s="1">
        <v>0.0</v>
      </c>
      <c r="M275" s="1">
        <v>96.946592</v>
      </c>
    </row>
    <row r="276">
      <c r="A276" s="1" t="s">
        <v>826</v>
      </c>
      <c r="B276" s="1" t="s">
        <v>827</v>
      </c>
      <c r="C276" s="1" t="str">
        <f>IFERROR(__xludf.DUMMYFUNCTION("IFERROR(REGEXEXTRACT(A276, ""res(269|122)""), ""none"")"),"269")</f>
        <v>269</v>
      </c>
      <c r="D276" s="1">
        <v>-16.467141</v>
      </c>
      <c r="E276" s="1">
        <v>9.0</v>
      </c>
      <c r="F276" s="1">
        <v>1.0</v>
      </c>
      <c r="G276" s="1">
        <v>0.333333</v>
      </c>
      <c r="H276" s="1">
        <v>2.0</v>
      </c>
      <c r="I276" s="1">
        <v>-0.424315999999999</v>
      </c>
      <c r="J276" s="1">
        <v>100.0</v>
      </c>
      <c r="K276" s="1">
        <v>0.0</v>
      </c>
      <c r="L276" s="1">
        <v>0.0</v>
      </c>
      <c r="M276" s="1">
        <v>95.441876</v>
      </c>
    </row>
    <row r="277">
      <c r="A277" s="1" t="s">
        <v>828</v>
      </c>
      <c r="B277" s="1" t="s">
        <v>829</v>
      </c>
      <c r="C277" s="1" t="str">
        <f>IFERROR(__xludf.DUMMYFUNCTION("IFERROR(REGEXEXTRACT(A277, ""res(269|122)""), ""none"")"),"269")</f>
        <v>269</v>
      </c>
      <c r="D277" s="1">
        <v>-15.535685</v>
      </c>
      <c r="E277" s="1">
        <v>8.0</v>
      </c>
      <c r="F277" s="1">
        <v>2.0</v>
      </c>
      <c r="G277" s="1">
        <v>0.25</v>
      </c>
      <c r="H277" s="1">
        <v>2.0</v>
      </c>
      <c r="I277" s="1">
        <v>-0.527892</v>
      </c>
      <c r="J277" s="1">
        <v>100.0</v>
      </c>
      <c r="K277" s="1">
        <v>0.0</v>
      </c>
      <c r="L277" s="1">
        <v>0.0</v>
      </c>
      <c r="M277" s="1">
        <v>96.186423</v>
      </c>
    </row>
    <row r="278">
      <c r="A278" s="1" t="s">
        <v>830</v>
      </c>
      <c r="B278" s="1" t="s">
        <v>831</v>
      </c>
      <c r="C278" s="1" t="str">
        <f>IFERROR(__xludf.DUMMYFUNCTION("IFERROR(REGEXEXTRACT(A278, ""res(269|122)""), ""none"")"),"269")</f>
        <v>269</v>
      </c>
      <c r="D278" s="1">
        <v>-15.839717</v>
      </c>
      <c r="E278" s="1">
        <v>6.0</v>
      </c>
      <c r="F278" s="1">
        <v>1.0</v>
      </c>
      <c r="G278" s="1">
        <v>0.5</v>
      </c>
      <c r="H278" s="1">
        <v>2.0</v>
      </c>
      <c r="I278" s="1">
        <v>-0.508068</v>
      </c>
      <c r="J278" s="1">
        <v>100.0</v>
      </c>
      <c r="K278" s="1">
        <v>0.0</v>
      </c>
      <c r="L278" s="1">
        <v>0.0</v>
      </c>
      <c r="M278" s="1">
        <v>93.152215</v>
      </c>
    </row>
    <row r="279">
      <c r="A279" s="1" t="s">
        <v>832</v>
      </c>
      <c r="B279" s="1" t="s">
        <v>833</v>
      </c>
      <c r="C279" s="1" t="str">
        <f>IFERROR(__xludf.DUMMYFUNCTION("IFERROR(REGEXEXTRACT(A279, ""res(269|122)""), ""none"")"),"269")</f>
        <v>269</v>
      </c>
      <c r="D279" s="1">
        <v>-15.836233</v>
      </c>
      <c r="E279" s="1">
        <v>7.0</v>
      </c>
      <c r="F279" s="1">
        <v>3.0</v>
      </c>
      <c r="G279" s="1">
        <v>0.428571</v>
      </c>
      <c r="H279" s="1">
        <v>2.0</v>
      </c>
      <c r="I279" s="1">
        <v>-0.436698</v>
      </c>
      <c r="J279" s="1">
        <v>100.0</v>
      </c>
      <c r="K279" s="1">
        <v>0.0</v>
      </c>
      <c r="L279" s="1">
        <v>0.0</v>
      </c>
      <c r="M279" s="1">
        <v>96.15564</v>
      </c>
    </row>
    <row r="280">
      <c r="A280" s="1" t="s">
        <v>382</v>
      </c>
      <c r="B280" s="1" t="s">
        <v>180</v>
      </c>
      <c r="C280" s="1" t="str">
        <f>IFERROR(__xludf.DUMMYFUNCTION("IFERROR(REGEXEXTRACT(A280, ""res(269|122)""), ""none"")"),"269")</f>
        <v>269</v>
      </c>
      <c r="D280" s="1">
        <v>-15.953649</v>
      </c>
      <c r="E280" s="1">
        <v>12.0</v>
      </c>
      <c r="F280" s="1">
        <v>5.0</v>
      </c>
      <c r="G280" s="1">
        <v>0.416667</v>
      </c>
      <c r="H280" s="1">
        <v>3.0</v>
      </c>
      <c r="I280" s="1">
        <v>-0.584621</v>
      </c>
      <c r="J280" s="1">
        <v>100.0</v>
      </c>
      <c r="K280" s="1">
        <v>0.0</v>
      </c>
      <c r="L280" s="1">
        <v>0.0</v>
      </c>
      <c r="M280" s="1">
        <v>103.878397</v>
      </c>
    </row>
    <row r="281">
      <c r="A281" s="1" t="s">
        <v>383</v>
      </c>
      <c r="B281" s="1" t="s">
        <v>183</v>
      </c>
      <c r="C281" s="1" t="str">
        <f>IFERROR(__xludf.DUMMYFUNCTION("IFERROR(REGEXEXTRACT(A281, ""res(269|122)""), ""none"")"),"269")</f>
        <v>269</v>
      </c>
      <c r="D281" s="1">
        <v>-15.953649</v>
      </c>
      <c r="E281" s="1">
        <v>12.0</v>
      </c>
      <c r="F281" s="1">
        <v>5.0</v>
      </c>
      <c r="G281" s="1">
        <v>0.416667</v>
      </c>
      <c r="H281" s="1">
        <v>3.0</v>
      </c>
      <c r="I281" s="1">
        <v>-0.584621</v>
      </c>
      <c r="J281" s="1">
        <v>100.0</v>
      </c>
      <c r="K281" s="1">
        <v>0.0</v>
      </c>
      <c r="L281" s="1">
        <v>0.0</v>
      </c>
      <c r="M281" s="1">
        <v>103.878397</v>
      </c>
    </row>
    <row r="282">
      <c r="A282" s="1" t="s">
        <v>834</v>
      </c>
      <c r="B282" s="1" t="s">
        <v>835</v>
      </c>
      <c r="C282" s="1" t="str">
        <f>IFERROR(__xludf.DUMMYFUNCTION("IFERROR(REGEXEXTRACT(A282, ""res(269|122)""), ""none"")"),"269")</f>
        <v>269</v>
      </c>
      <c r="D282" s="1">
        <v>-16.225663</v>
      </c>
      <c r="E282" s="1">
        <v>8.0</v>
      </c>
      <c r="F282" s="1">
        <v>2.0</v>
      </c>
      <c r="G282" s="1">
        <v>0.375</v>
      </c>
      <c r="H282" s="1">
        <v>2.0</v>
      </c>
      <c r="I282" s="1">
        <v>-0.720027</v>
      </c>
      <c r="J282" s="1">
        <v>100.0</v>
      </c>
      <c r="K282" s="1">
        <v>0.0</v>
      </c>
      <c r="L282" s="1">
        <v>0.0</v>
      </c>
      <c r="M282" s="1">
        <v>95.42931</v>
      </c>
    </row>
    <row r="283">
      <c r="A283" s="1" t="s">
        <v>836</v>
      </c>
      <c r="B283" s="1" t="s">
        <v>837</v>
      </c>
      <c r="C283" s="1" t="str">
        <f>IFERROR(__xludf.DUMMYFUNCTION("IFERROR(REGEXEXTRACT(A283, ""res(269|122)""), ""none"")"),"269")</f>
        <v>269</v>
      </c>
      <c r="D283" s="1">
        <v>-15.207792</v>
      </c>
      <c r="E283" s="1">
        <v>10.0</v>
      </c>
      <c r="F283" s="1">
        <v>5.0</v>
      </c>
      <c r="G283" s="1">
        <v>0.5</v>
      </c>
      <c r="H283" s="1">
        <v>2.0</v>
      </c>
      <c r="I283" s="1">
        <v>-0.487261</v>
      </c>
      <c r="J283" s="1">
        <v>100.0</v>
      </c>
      <c r="K283" s="1">
        <v>0.0</v>
      </c>
      <c r="L283" s="1">
        <v>0.0</v>
      </c>
      <c r="M283" s="1">
        <v>101.804947</v>
      </c>
    </row>
    <row r="284">
      <c r="A284" s="1" t="s">
        <v>384</v>
      </c>
      <c r="B284" s="1" t="s">
        <v>385</v>
      </c>
      <c r="C284" s="1" t="str">
        <f>IFERROR(__xludf.DUMMYFUNCTION("IFERROR(REGEXEXTRACT(A284, ""res(269|122)""), ""none"")"),"269")</f>
        <v>269</v>
      </c>
      <c r="D284" s="1">
        <v>-15.47128</v>
      </c>
      <c r="E284" s="1">
        <v>8.0</v>
      </c>
      <c r="F284" s="1">
        <v>5.0</v>
      </c>
      <c r="G284" s="1">
        <v>0.5</v>
      </c>
      <c r="H284" s="1">
        <v>2.0</v>
      </c>
      <c r="I284" s="1">
        <v>-0.38008</v>
      </c>
      <c r="J284" s="1">
        <v>100.0</v>
      </c>
      <c r="K284" s="1">
        <v>0.0</v>
      </c>
      <c r="L284" s="1">
        <v>0.0</v>
      </c>
      <c r="M284" s="1">
        <v>99.64864</v>
      </c>
    </row>
    <row r="285">
      <c r="A285" s="1" t="s">
        <v>386</v>
      </c>
      <c r="B285" s="1" t="s">
        <v>185</v>
      </c>
      <c r="C285" s="1" t="str">
        <f>IFERROR(__xludf.DUMMYFUNCTION("IFERROR(REGEXEXTRACT(A285, ""res(269|122)""), ""none"")"),"269")</f>
        <v>269</v>
      </c>
      <c r="D285" s="1">
        <v>-15.47128</v>
      </c>
      <c r="E285" s="1">
        <v>8.0</v>
      </c>
      <c r="F285" s="1">
        <v>5.0</v>
      </c>
      <c r="G285" s="1">
        <v>0.5</v>
      </c>
      <c r="H285" s="1">
        <v>2.0</v>
      </c>
      <c r="I285" s="1">
        <v>-0.38008</v>
      </c>
      <c r="J285" s="1">
        <v>100.0</v>
      </c>
      <c r="K285" s="1">
        <v>0.0</v>
      </c>
      <c r="L285" s="1">
        <v>0.0</v>
      </c>
      <c r="M285" s="1">
        <v>99.64864</v>
      </c>
    </row>
    <row r="286">
      <c r="A286" s="1" t="s">
        <v>387</v>
      </c>
      <c r="B286" s="1" t="s">
        <v>388</v>
      </c>
      <c r="C286" s="1" t="str">
        <f>IFERROR(__xludf.DUMMYFUNCTION("IFERROR(REGEXEXTRACT(A286, ""res(269|122)""), ""none"")"),"269")</f>
        <v>269</v>
      </c>
      <c r="D286" s="1">
        <v>-15.350062</v>
      </c>
      <c r="E286" s="1">
        <v>8.0</v>
      </c>
      <c r="F286" s="1">
        <v>3.0</v>
      </c>
      <c r="G286" s="1">
        <v>0.375</v>
      </c>
      <c r="H286" s="1">
        <v>2.0</v>
      </c>
      <c r="I286" s="1">
        <v>-1.00126</v>
      </c>
      <c r="J286" s="1">
        <v>100.0</v>
      </c>
      <c r="K286" s="1">
        <v>0.0</v>
      </c>
      <c r="L286" s="1">
        <v>0.0</v>
      </c>
      <c r="M286" s="1">
        <v>97.023678</v>
      </c>
    </row>
    <row r="287">
      <c r="A287" s="1" t="s">
        <v>838</v>
      </c>
      <c r="B287" s="1" t="s">
        <v>839</v>
      </c>
      <c r="C287" s="1" t="str">
        <f>IFERROR(__xludf.DUMMYFUNCTION("IFERROR(REGEXEXTRACT(A287, ""res(269|122)""), ""none"")"),"269")</f>
        <v>269</v>
      </c>
      <c r="D287" s="1">
        <v>-15.388725</v>
      </c>
      <c r="E287" s="1">
        <v>8.0</v>
      </c>
      <c r="F287" s="1">
        <v>2.0</v>
      </c>
      <c r="G287" s="1">
        <v>0.25</v>
      </c>
      <c r="H287" s="1">
        <v>2.0</v>
      </c>
      <c r="I287" s="1">
        <v>-0.538614</v>
      </c>
      <c r="J287" s="1">
        <v>100.0</v>
      </c>
      <c r="K287" s="1">
        <v>0.0</v>
      </c>
      <c r="L287" s="1">
        <v>0.0</v>
      </c>
      <c r="M287" s="1">
        <v>96.322661</v>
      </c>
    </row>
    <row r="288">
      <c r="A288" s="1" t="s">
        <v>840</v>
      </c>
      <c r="B288" s="1" t="s">
        <v>841</v>
      </c>
      <c r="C288" s="1" t="str">
        <f>IFERROR(__xludf.DUMMYFUNCTION("IFERROR(REGEXEXTRACT(A288, ""res(269|122)""), ""none"")"),"269")</f>
        <v>269</v>
      </c>
      <c r="D288" s="1">
        <v>-15.208228</v>
      </c>
      <c r="E288" s="1">
        <v>7.0</v>
      </c>
      <c r="F288" s="1">
        <v>1.0</v>
      </c>
      <c r="G288" s="1">
        <v>0.285714</v>
      </c>
      <c r="H288" s="1">
        <v>2.0</v>
      </c>
      <c r="I288" s="1">
        <v>-0.319762</v>
      </c>
      <c r="J288" s="1">
        <v>100.0</v>
      </c>
      <c r="K288" s="1">
        <v>0.0</v>
      </c>
      <c r="L288" s="1">
        <v>0.0</v>
      </c>
      <c r="M288" s="1">
        <v>94.757724</v>
      </c>
    </row>
    <row r="289">
      <c r="A289" s="1" t="s">
        <v>842</v>
      </c>
      <c r="B289" s="1" t="s">
        <v>843</v>
      </c>
      <c r="C289" s="1" t="str">
        <f>IFERROR(__xludf.DUMMYFUNCTION("IFERROR(REGEXEXTRACT(A289, ""res(269|122)""), ""none"")"),"269")</f>
        <v>269</v>
      </c>
      <c r="D289" s="1">
        <v>-15.313395</v>
      </c>
      <c r="E289" s="1">
        <v>8.0</v>
      </c>
      <c r="F289" s="1">
        <v>3.0</v>
      </c>
      <c r="G289" s="1">
        <v>0.25</v>
      </c>
      <c r="H289" s="1">
        <v>2.0</v>
      </c>
      <c r="I289" s="1">
        <v>-0.692413</v>
      </c>
      <c r="J289" s="1">
        <v>100.0</v>
      </c>
      <c r="K289" s="1">
        <v>0.0</v>
      </c>
      <c r="L289" s="1">
        <v>0.0</v>
      </c>
      <c r="M289" s="1">
        <v>97.244192</v>
      </c>
    </row>
    <row r="290">
      <c r="A290" s="1" t="s">
        <v>844</v>
      </c>
      <c r="B290" s="1" t="s">
        <v>845</v>
      </c>
      <c r="C290" s="1" t="str">
        <f>IFERROR(__xludf.DUMMYFUNCTION("IFERROR(REGEXEXTRACT(A290, ""res(269|122)""), ""none"")"),"269")</f>
        <v>269</v>
      </c>
      <c r="D290" s="1">
        <v>-15.721708</v>
      </c>
      <c r="E290" s="1">
        <v>8.0</v>
      </c>
      <c r="F290" s="1">
        <v>2.0</v>
      </c>
      <c r="G290" s="1">
        <v>0.25</v>
      </c>
      <c r="H290" s="1">
        <v>2.0</v>
      </c>
      <c r="I290" s="1">
        <v>-0.627078</v>
      </c>
      <c r="J290" s="1">
        <v>100.0</v>
      </c>
      <c r="K290" s="1">
        <v>0.0</v>
      </c>
      <c r="L290" s="1">
        <v>0.0</v>
      </c>
      <c r="M290" s="1">
        <v>95.901214</v>
      </c>
    </row>
    <row r="291">
      <c r="A291" s="1" t="s">
        <v>389</v>
      </c>
      <c r="B291" s="1" t="s">
        <v>390</v>
      </c>
      <c r="C291" s="1" t="str">
        <f>IFERROR(__xludf.DUMMYFUNCTION("IFERROR(REGEXEXTRACT(A291, ""res(269|122)""), ""none"")"),"269")</f>
        <v>269</v>
      </c>
      <c r="D291" s="1">
        <v>-17.013166</v>
      </c>
      <c r="E291" s="1">
        <v>10.0</v>
      </c>
      <c r="F291" s="1">
        <v>3.0</v>
      </c>
      <c r="G291" s="1">
        <v>0.4</v>
      </c>
      <c r="H291" s="1">
        <v>2.0</v>
      </c>
      <c r="I291" s="1">
        <v>-0.429581</v>
      </c>
      <c r="J291" s="1">
        <v>100.0</v>
      </c>
      <c r="K291" s="1">
        <v>0.0</v>
      </c>
      <c r="L291" s="1">
        <v>0.0</v>
      </c>
      <c r="M291" s="1">
        <v>97.957253</v>
      </c>
    </row>
    <row r="292">
      <c r="A292" s="1" t="s">
        <v>846</v>
      </c>
      <c r="B292" s="1" t="s">
        <v>847</v>
      </c>
      <c r="C292" s="1" t="str">
        <f>IFERROR(__xludf.DUMMYFUNCTION("IFERROR(REGEXEXTRACT(A292, ""res(269|122)""), ""none"")"),"269")</f>
        <v>269</v>
      </c>
      <c r="D292" s="1">
        <v>-15.366705</v>
      </c>
      <c r="E292" s="1">
        <v>8.0</v>
      </c>
      <c r="F292" s="1">
        <v>5.0</v>
      </c>
      <c r="G292" s="1">
        <v>0.375</v>
      </c>
      <c r="H292" s="1">
        <v>2.0</v>
      </c>
      <c r="I292" s="1">
        <v>-1.175689</v>
      </c>
      <c r="J292" s="1">
        <v>100.0</v>
      </c>
      <c r="K292" s="1">
        <v>0.0</v>
      </c>
      <c r="L292" s="1">
        <v>0.0</v>
      </c>
      <c r="M292" s="1">
        <v>98.832606</v>
      </c>
    </row>
    <row r="293">
      <c r="A293" s="1" t="s">
        <v>848</v>
      </c>
      <c r="B293" s="1" t="s">
        <v>849</v>
      </c>
      <c r="C293" s="1" t="str">
        <f>IFERROR(__xludf.DUMMYFUNCTION("IFERROR(REGEXEXTRACT(A293, ""res(269|122)""), ""none"")"),"269")</f>
        <v>269</v>
      </c>
      <c r="D293" s="1">
        <v>-16.609541</v>
      </c>
      <c r="E293" s="1">
        <v>13.0</v>
      </c>
      <c r="F293" s="1">
        <v>3.0</v>
      </c>
      <c r="G293" s="1">
        <v>0.307692</v>
      </c>
      <c r="H293" s="1">
        <v>2.0</v>
      </c>
      <c r="I293" s="1">
        <v>-0.78753</v>
      </c>
      <c r="J293" s="1">
        <v>100.0</v>
      </c>
      <c r="K293" s="1">
        <v>0.0</v>
      </c>
      <c r="L293" s="1">
        <v>0.0</v>
      </c>
      <c r="M293" s="1">
        <v>100.910621</v>
      </c>
    </row>
    <row r="294">
      <c r="A294" s="1" t="s">
        <v>391</v>
      </c>
      <c r="B294" s="1" t="s">
        <v>392</v>
      </c>
      <c r="C294" s="1" t="str">
        <f>IFERROR(__xludf.DUMMYFUNCTION("IFERROR(REGEXEXTRACT(A294, ""res(269|122)""), ""none"")"),"269")</f>
        <v>269</v>
      </c>
      <c r="D294" s="1">
        <v>-17.033126</v>
      </c>
      <c r="E294" s="1">
        <v>11.0</v>
      </c>
      <c r="F294" s="1">
        <v>5.0</v>
      </c>
      <c r="G294" s="1">
        <v>0.363636</v>
      </c>
      <c r="H294" s="1">
        <v>2.0</v>
      </c>
      <c r="I294" s="1">
        <v>-1.0082</v>
      </c>
      <c r="J294" s="1">
        <v>100.0</v>
      </c>
      <c r="K294" s="1">
        <v>0.0</v>
      </c>
      <c r="L294" s="1">
        <v>0.0</v>
      </c>
      <c r="M294" s="1">
        <v>100.32231</v>
      </c>
    </row>
    <row r="295">
      <c r="A295" s="1" t="s">
        <v>850</v>
      </c>
      <c r="B295" s="1" t="s">
        <v>851</v>
      </c>
      <c r="C295" s="1" t="str">
        <f>IFERROR(__xludf.DUMMYFUNCTION("IFERROR(REGEXEXTRACT(A295, ""res(269|122)""), ""none"")"),"269")</f>
        <v>269</v>
      </c>
      <c r="D295" s="1">
        <v>-17.462623</v>
      </c>
      <c r="E295" s="1">
        <v>7.0</v>
      </c>
      <c r="F295" s="1">
        <v>3.0</v>
      </c>
      <c r="G295" s="1">
        <v>0.571429</v>
      </c>
      <c r="H295" s="1">
        <v>2.0</v>
      </c>
      <c r="I295" s="1">
        <v>-0.909463</v>
      </c>
      <c r="J295" s="1">
        <v>100.0</v>
      </c>
      <c r="K295" s="1">
        <v>0.0</v>
      </c>
      <c r="L295" s="1">
        <v>0.0</v>
      </c>
      <c r="M295" s="1">
        <v>94.199343</v>
      </c>
    </row>
    <row r="296">
      <c r="A296" s="1" t="s">
        <v>852</v>
      </c>
      <c r="B296" s="1" t="s">
        <v>853</v>
      </c>
      <c r="C296" s="1" t="str">
        <f>IFERROR(__xludf.DUMMYFUNCTION("IFERROR(REGEXEXTRACT(A296, ""res(269|122)""), ""none"")"),"269")</f>
        <v>269</v>
      </c>
      <c r="D296" s="1">
        <v>-16.083759</v>
      </c>
      <c r="E296" s="1">
        <v>8.0</v>
      </c>
      <c r="F296" s="1">
        <v>3.0</v>
      </c>
      <c r="G296" s="1">
        <v>0.25</v>
      </c>
      <c r="H296" s="1">
        <v>3.0</v>
      </c>
      <c r="I296" s="1">
        <v>-1.577405</v>
      </c>
      <c r="J296" s="1">
        <v>100.0</v>
      </c>
      <c r="K296" s="1">
        <v>0.0</v>
      </c>
      <c r="L296" s="1">
        <v>0.0</v>
      </c>
      <c r="M296" s="1">
        <v>96.588836</v>
      </c>
    </row>
    <row r="297">
      <c r="A297" s="1" t="s">
        <v>854</v>
      </c>
      <c r="B297" s="1" t="s">
        <v>855</v>
      </c>
      <c r="C297" s="1" t="str">
        <f>IFERROR(__xludf.DUMMYFUNCTION("IFERROR(REGEXEXTRACT(A297, ""res(269|122)""), ""none"")"),"269")</f>
        <v>269</v>
      </c>
      <c r="D297" s="1">
        <v>-15.73636</v>
      </c>
      <c r="E297" s="1">
        <v>6.0</v>
      </c>
      <c r="F297" s="1">
        <v>3.0</v>
      </c>
      <c r="G297" s="1">
        <v>0.5</v>
      </c>
      <c r="H297" s="1">
        <v>2.0</v>
      </c>
      <c r="I297" s="1">
        <v>-0.341348999999999</v>
      </c>
      <c r="J297" s="1">
        <v>100.0</v>
      </c>
      <c r="K297" s="1">
        <v>0.0</v>
      </c>
      <c r="L297" s="1">
        <v>0.0</v>
      </c>
      <c r="M297" s="1">
        <v>95.422291</v>
      </c>
    </row>
    <row r="298">
      <c r="A298" s="1" t="s">
        <v>856</v>
      </c>
      <c r="B298" s="1" t="s">
        <v>857</v>
      </c>
      <c r="C298" s="1" t="str">
        <f>IFERROR(__xludf.DUMMYFUNCTION("IFERROR(REGEXEXTRACT(A298, ""res(269|122)""), ""none"")"),"269")</f>
        <v>269</v>
      </c>
      <c r="D298" s="1">
        <v>-15.16839</v>
      </c>
      <c r="E298" s="1">
        <v>10.0</v>
      </c>
      <c r="F298" s="1">
        <v>3.0</v>
      </c>
      <c r="G298" s="1">
        <v>0.4</v>
      </c>
      <c r="H298" s="1">
        <v>2.0</v>
      </c>
      <c r="I298" s="1">
        <v>-1.293499</v>
      </c>
      <c r="J298" s="1">
        <v>100.0</v>
      </c>
      <c r="K298" s="1">
        <v>0.0</v>
      </c>
      <c r="L298" s="1">
        <v>0.0</v>
      </c>
      <c r="M298" s="1">
        <v>98.938111</v>
      </c>
    </row>
    <row r="299">
      <c r="A299" s="1" t="s">
        <v>858</v>
      </c>
      <c r="B299" s="1" t="s">
        <v>859</v>
      </c>
      <c r="C299" s="1" t="str">
        <f>IFERROR(__xludf.DUMMYFUNCTION("IFERROR(REGEXEXTRACT(A299, ""res(269|122)""), ""none"")"),"269")</f>
        <v>269</v>
      </c>
      <c r="D299" s="1">
        <v>-15.267258</v>
      </c>
      <c r="E299" s="1">
        <v>10.0</v>
      </c>
      <c r="F299" s="1">
        <v>3.0</v>
      </c>
      <c r="G299" s="1">
        <v>0.4</v>
      </c>
      <c r="H299" s="1">
        <v>2.0</v>
      </c>
      <c r="I299" s="1">
        <v>-0.752593</v>
      </c>
      <c r="J299" s="1">
        <v>100.0</v>
      </c>
      <c r="K299" s="1">
        <v>0.0</v>
      </c>
      <c r="L299" s="1">
        <v>0.0</v>
      </c>
      <c r="M299" s="1">
        <v>99.380149</v>
      </c>
    </row>
    <row r="300">
      <c r="A300" s="1" t="s">
        <v>860</v>
      </c>
      <c r="B300" s="1" t="s">
        <v>861</v>
      </c>
      <c r="C300" s="1" t="str">
        <f>IFERROR(__xludf.DUMMYFUNCTION("IFERROR(REGEXEXTRACT(A300, ""res(269|122)""), ""none"")"),"269")</f>
        <v>269</v>
      </c>
      <c r="D300" s="1">
        <v>-15.466833</v>
      </c>
      <c r="E300" s="1">
        <v>8.0</v>
      </c>
      <c r="F300" s="1">
        <v>3.0</v>
      </c>
      <c r="G300" s="1">
        <v>0.5</v>
      </c>
      <c r="H300" s="1">
        <v>2.0</v>
      </c>
      <c r="I300" s="1">
        <v>-0.908309</v>
      </c>
      <c r="J300" s="1">
        <v>100.0</v>
      </c>
      <c r="K300" s="1">
        <v>0.0</v>
      </c>
      <c r="L300" s="1">
        <v>0.0</v>
      </c>
      <c r="M300" s="1">
        <v>97.124858</v>
      </c>
    </row>
    <row r="301">
      <c r="A301" s="1" t="s">
        <v>862</v>
      </c>
      <c r="B301" s="1" t="s">
        <v>863</v>
      </c>
      <c r="C301" s="1" t="str">
        <f>IFERROR(__xludf.DUMMYFUNCTION("IFERROR(REGEXEXTRACT(A301, ""res(269|122)""), ""none"")"),"269")</f>
        <v>269</v>
      </c>
      <c r="D301" s="1">
        <v>-15.440269</v>
      </c>
      <c r="E301" s="1">
        <v>9.0</v>
      </c>
      <c r="F301" s="1">
        <v>2.0</v>
      </c>
      <c r="G301" s="1">
        <v>0.333333</v>
      </c>
      <c r="H301" s="1">
        <v>2.0</v>
      </c>
      <c r="I301" s="1">
        <v>-0.877261</v>
      </c>
      <c r="J301" s="1">
        <v>100.0</v>
      </c>
      <c r="K301" s="1">
        <v>0.0</v>
      </c>
      <c r="L301" s="1">
        <v>0.0</v>
      </c>
      <c r="M301" s="1">
        <v>97.015803</v>
      </c>
    </row>
    <row r="302">
      <c r="A302" s="1" t="s">
        <v>864</v>
      </c>
      <c r="B302" s="1" t="s">
        <v>865</v>
      </c>
      <c r="C302" s="1" t="str">
        <f>IFERROR(__xludf.DUMMYFUNCTION("IFERROR(REGEXEXTRACT(A302, ""res(269|122)""), ""none"")"),"269")</f>
        <v>269</v>
      </c>
      <c r="D302" s="1">
        <v>-15.95213</v>
      </c>
      <c r="E302" s="1">
        <v>10.0</v>
      </c>
      <c r="F302" s="1">
        <v>2.0</v>
      </c>
      <c r="G302" s="1">
        <v>0.3</v>
      </c>
      <c r="H302" s="1">
        <v>3.0</v>
      </c>
      <c r="I302" s="1">
        <v>-0.719791</v>
      </c>
      <c r="J302" s="1">
        <v>100.0</v>
      </c>
      <c r="K302" s="1">
        <v>0.0</v>
      </c>
      <c r="L302" s="1">
        <v>0.0</v>
      </c>
      <c r="M302" s="1">
        <v>98.628079</v>
      </c>
    </row>
    <row r="303">
      <c r="A303" s="1" t="s">
        <v>866</v>
      </c>
      <c r="B303" s="1" t="s">
        <v>867</v>
      </c>
      <c r="C303" s="1" t="str">
        <f>IFERROR(__xludf.DUMMYFUNCTION("IFERROR(REGEXEXTRACT(A303, ""res(269|122)""), ""none"")"),"269")</f>
        <v>269</v>
      </c>
      <c r="D303" s="1">
        <v>-15.017663</v>
      </c>
      <c r="E303" s="1">
        <v>9.0</v>
      </c>
      <c r="F303" s="1">
        <v>2.0</v>
      </c>
      <c r="G303" s="1">
        <v>0.333333</v>
      </c>
      <c r="H303" s="1">
        <v>2.0</v>
      </c>
      <c r="I303" s="1">
        <v>-0.893776999999999</v>
      </c>
      <c r="J303" s="1">
        <v>100.0</v>
      </c>
      <c r="K303" s="1">
        <v>0.0</v>
      </c>
      <c r="L303" s="1">
        <v>0.0</v>
      </c>
      <c r="M303" s="1">
        <v>97.421893</v>
      </c>
    </row>
    <row r="304">
      <c r="A304" s="1" t="s">
        <v>393</v>
      </c>
      <c r="B304" s="1" t="s">
        <v>394</v>
      </c>
      <c r="C304" s="1" t="str">
        <f>IFERROR(__xludf.DUMMYFUNCTION("IFERROR(REGEXEXTRACT(A304, ""res(269|122)""), ""none"")"),"269")</f>
        <v>269</v>
      </c>
      <c r="D304" s="1">
        <v>-15.889195</v>
      </c>
      <c r="E304" s="1">
        <v>10.0</v>
      </c>
      <c r="F304" s="1">
        <v>4.0</v>
      </c>
      <c r="G304" s="1">
        <v>0.3</v>
      </c>
      <c r="H304" s="1">
        <v>2.0</v>
      </c>
      <c r="I304" s="1">
        <v>-1.177871</v>
      </c>
      <c r="J304" s="1">
        <v>100.0</v>
      </c>
      <c r="K304" s="1">
        <v>0.0</v>
      </c>
      <c r="L304" s="1">
        <v>0.0</v>
      </c>
      <c r="M304" s="1">
        <v>99.232934</v>
      </c>
    </row>
    <row r="305">
      <c r="A305" s="1" t="s">
        <v>868</v>
      </c>
      <c r="B305" s="1" t="s">
        <v>869</v>
      </c>
      <c r="C305" s="1" t="str">
        <f>IFERROR(__xludf.DUMMYFUNCTION("IFERROR(REGEXEXTRACT(A305, ""res(269|122)""), ""none"")"),"269")</f>
        <v>269</v>
      </c>
      <c r="D305" s="1">
        <v>-15.798237</v>
      </c>
      <c r="E305" s="1">
        <v>10.0</v>
      </c>
      <c r="F305" s="1">
        <v>5.0</v>
      </c>
      <c r="G305" s="1">
        <v>0.3</v>
      </c>
      <c r="H305" s="1">
        <v>2.0</v>
      </c>
      <c r="I305" s="1">
        <v>-0.411076</v>
      </c>
      <c r="J305" s="1">
        <v>100.0</v>
      </c>
      <c r="K305" s="1">
        <v>0.0</v>
      </c>
      <c r="L305" s="1">
        <v>0.0</v>
      </c>
      <c r="M305" s="1">
        <v>101.090687</v>
      </c>
    </row>
    <row r="306">
      <c r="A306" s="1" t="s">
        <v>870</v>
      </c>
      <c r="B306" s="1" t="s">
        <v>871</v>
      </c>
      <c r="C306" s="1" t="str">
        <f>IFERROR(__xludf.DUMMYFUNCTION("IFERROR(REGEXEXTRACT(A306, ""res(269|122)""), ""none"")"),"269")</f>
        <v>269</v>
      </c>
      <c r="D306" s="1">
        <v>-16.621533</v>
      </c>
      <c r="E306" s="1">
        <v>7.0</v>
      </c>
      <c r="F306" s="1">
        <v>4.0</v>
      </c>
      <c r="G306" s="1">
        <v>0.285714</v>
      </c>
      <c r="H306" s="1">
        <v>2.0</v>
      </c>
      <c r="I306" s="1">
        <v>-0.270832</v>
      </c>
      <c r="J306" s="1">
        <v>100.0</v>
      </c>
      <c r="K306" s="1">
        <v>0.0</v>
      </c>
      <c r="L306" s="1">
        <v>0.0</v>
      </c>
      <c r="M306" s="1">
        <v>96.393349</v>
      </c>
    </row>
    <row r="307">
      <c r="A307" s="1" t="s">
        <v>872</v>
      </c>
      <c r="B307" s="1" t="s">
        <v>873</v>
      </c>
      <c r="C307" s="1" t="str">
        <f>IFERROR(__xludf.DUMMYFUNCTION("IFERROR(REGEXEXTRACT(A307, ""res(269|122)""), ""none"")"),"269")</f>
        <v>269</v>
      </c>
      <c r="D307" s="1">
        <v>-16.35205</v>
      </c>
      <c r="E307" s="1">
        <v>8.0</v>
      </c>
      <c r="F307" s="1">
        <v>2.0</v>
      </c>
      <c r="G307" s="1">
        <v>0.25</v>
      </c>
      <c r="H307" s="1">
        <v>2.0</v>
      </c>
      <c r="I307" s="1">
        <v>-0.15387</v>
      </c>
      <c r="J307" s="1">
        <v>100.0</v>
      </c>
      <c r="K307" s="1">
        <v>0.0</v>
      </c>
      <c r="L307" s="1">
        <v>0.0</v>
      </c>
      <c r="M307" s="1">
        <v>95.74408</v>
      </c>
    </row>
    <row r="308">
      <c r="A308" s="1" t="s">
        <v>874</v>
      </c>
      <c r="B308" s="1" t="s">
        <v>875</v>
      </c>
      <c r="C308" s="1" t="str">
        <f>IFERROR(__xludf.DUMMYFUNCTION("IFERROR(REGEXEXTRACT(A308, ""res(269|122)""), ""none"")"),"269")</f>
        <v>269</v>
      </c>
      <c r="D308" s="1">
        <v>-15.406217</v>
      </c>
      <c r="E308" s="1">
        <v>8.0</v>
      </c>
      <c r="F308" s="1">
        <v>5.0</v>
      </c>
      <c r="G308" s="1">
        <v>0.25</v>
      </c>
      <c r="H308" s="1">
        <v>2.0</v>
      </c>
      <c r="I308" s="1">
        <v>-0.966931</v>
      </c>
      <c r="J308" s="1">
        <v>100.0</v>
      </c>
      <c r="K308" s="1">
        <v>0.0</v>
      </c>
      <c r="L308" s="1">
        <v>0.0</v>
      </c>
      <c r="M308" s="1">
        <v>98.876852</v>
      </c>
    </row>
    <row r="309">
      <c r="A309" s="1" t="s">
        <v>876</v>
      </c>
      <c r="B309" s="1" t="s">
        <v>877</v>
      </c>
      <c r="C309" s="1" t="str">
        <f>IFERROR(__xludf.DUMMYFUNCTION("IFERROR(REGEXEXTRACT(A309, ""res(269|122)""), ""none"")"),"269")</f>
        <v>269</v>
      </c>
      <c r="D309" s="1">
        <v>-17.556171</v>
      </c>
      <c r="E309" s="1">
        <v>8.0</v>
      </c>
      <c r="F309" s="1">
        <v>3.0</v>
      </c>
      <c r="G309" s="1">
        <v>0.25</v>
      </c>
      <c r="H309" s="1">
        <v>2.0</v>
      </c>
      <c r="I309" s="1">
        <v>-1.35943</v>
      </c>
      <c r="J309" s="1">
        <v>100.0</v>
      </c>
      <c r="K309" s="1">
        <v>0.0</v>
      </c>
      <c r="L309" s="1">
        <v>0.0</v>
      </c>
      <c r="M309" s="1">
        <v>94.334399</v>
      </c>
    </row>
    <row r="310">
      <c r="A310" s="1" t="s">
        <v>878</v>
      </c>
      <c r="B310" s="1" t="s">
        <v>879</v>
      </c>
      <c r="C310" s="1" t="str">
        <f>IFERROR(__xludf.DUMMYFUNCTION("IFERROR(REGEXEXTRACT(A310, ""res(269|122)""), ""none"")"),"269")</f>
        <v>269</v>
      </c>
      <c r="D310" s="1">
        <v>-15.508555</v>
      </c>
      <c r="E310" s="1">
        <v>11.0</v>
      </c>
      <c r="F310" s="1">
        <v>1.0</v>
      </c>
      <c r="G310" s="1">
        <v>0.272727</v>
      </c>
      <c r="H310" s="1">
        <v>2.0</v>
      </c>
      <c r="I310" s="1">
        <v>-0.8107</v>
      </c>
      <c r="J310" s="1">
        <v>100.0</v>
      </c>
      <c r="K310" s="1">
        <v>0.0</v>
      </c>
      <c r="L310" s="1">
        <v>0.0</v>
      </c>
      <c r="M310" s="1">
        <v>97.953472</v>
      </c>
    </row>
    <row r="311">
      <c r="A311" s="1" t="s">
        <v>880</v>
      </c>
      <c r="B311" s="1" t="s">
        <v>881</v>
      </c>
      <c r="C311" s="1" t="str">
        <f>IFERROR(__xludf.DUMMYFUNCTION("IFERROR(REGEXEXTRACT(A311, ""res(269|122)""), ""none"")"),"269")</f>
        <v>269</v>
      </c>
      <c r="D311" s="1">
        <v>-16.108989</v>
      </c>
      <c r="E311" s="1">
        <v>9.0</v>
      </c>
      <c r="F311" s="1">
        <v>4.0</v>
      </c>
      <c r="G311" s="1">
        <v>0.333333</v>
      </c>
      <c r="H311" s="1">
        <v>2.0</v>
      </c>
      <c r="I311" s="1">
        <v>-0.91906</v>
      </c>
      <c r="J311" s="1">
        <v>100.0</v>
      </c>
      <c r="K311" s="1">
        <v>0.0</v>
      </c>
      <c r="L311" s="1">
        <v>0.0</v>
      </c>
      <c r="M311" s="1">
        <v>98.305284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</v>
      </c>
    </row>
    <row r="2">
      <c r="A2" s="1" t="s">
        <v>430</v>
      </c>
      <c r="B2" s="1" t="str">
        <f>IFERROR(__xludf.DUMMYFUNCTION("IFERROR(REGEXEXTRACT(A2, ""res(269|122)""), ""none"")"),"269")</f>
        <v>269</v>
      </c>
      <c r="C2" s="1">
        <v>-15.73021</v>
      </c>
      <c r="D2" s="1">
        <v>8.0</v>
      </c>
      <c r="E2" s="1">
        <v>2.0</v>
      </c>
      <c r="F2" s="1">
        <v>0.25</v>
      </c>
      <c r="G2" s="1">
        <v>2.0</v>
      </c>
      <c r="H2" s="1">
        <v>-0.653344</v>
      </c>
      <c r="I2" s="1">
        <v>100.0</v>
      </c>
      <c r="J2" s="1">
        <v>0.0</v>
      </c>
      <c r="K2" s="1">
        <v>0.0</v>
      </c>
      <c r="L2" s="1">
        <v>95.866446</v>
      </c>
      <c r="M2" s="1" t="s">
        <v>431</v>
      </c>
    </row>
    <row r="3">
      <c r="A3" s="1" t="s">
        <v>257</v>
      </c>
      <c r="B3" s="1" t="str">
        <f>IFERROR(__xludf.DUMMYFUNCTION("IFERROR(REGEXEXTRACT(A3, ""res(269|122)""), ""none"")"),"269")</f>
        <v>269</v>
      </c>
      <c r="C3" s="1">
        <v>-16.620105</v>
      </c>
      <c r="D3" s="1">
        <v>12.0</v>
      </c>
      <c r="E3" s="1">
        <v>3.0</v>
      </c>
      <c r="F3" s="1">
        <v>0.416667</v>
      </c>
      <c r="G3" s="1">
        <v>2.0</v>
      </c>
      <c r="H3" s="1">
        <v>-0.664324</v>
      </c>
      <c r="I3" s="1">
        <v>100.0</v>
      </c>
      <c r="J3" s="1">
        <v>0.0</v>
      </c>
      <c r="K3" s="1">
        <v>0.0</v>
      </c>
      <c r="L3" s="1">
        <v>100.132238</v>
      </c>
      <c r="M3" s="1" t="s">
        <v>117</v>
      </c>
    </row>
    <row r="4">
      <c r="A4" s="1" t="s">
        <v>258</v>
      </c>
      <c r="B4" s="1" t="str">
        <f>IFERROR(__xludf.DUMMYFUNCTION("IFERROR(REGEXEXTRACT(A4, ""res(269|122)""), ""none"")"),"269")</f>
        <v>269</v>
      </c>
      <c r="C4" s="1">
        <v>-16.020646</v>
      </c>
      <c r="D4" s="1">
        <v>9.0</v>
      </c>
      <c r="E4" s="1">
        <v>1.0</v>
      </c>
      <c r="F4" s="1">
        <v>0.333333</v>
      </c>
      <c r="G4" s="1">
        <v>3.0</v>
      </c>
      <c r="H4" s="1">
        <v>-2.057194</v>
      </c>
      <c r="I4" s="1">
        <v>100.0</v>
      </c>
      <c r="J4" s="1">
        <v>0.0</v>
      </c>
      <c r="K4" s="1">
        <v>0.0</v>
      </c>
      <c r="L4" s="1">
        <v>95.255493</v>
      </c>
      <c r="M4" s="1" t="s">
        <v>259</v>
      </c>
    </row>
    <row r="5">
      <c r="A5" s="1" t="s">
        <v>260</v>
      </c>
      <c r="B5" s="1" t="str">
        <f>IFERROR(__xludf.DUMMYFUNCTION("IFERROR(REGEXEXTRACT(A5, ""res(269|122)""), ""none"")"),"269")</f>
        <v>269</v>
      </c>
      <c r="C5" s="1">
        <v>-16.416697</v>
      </c>
      <c r="D5" s="1">
        <v>9.0</v>
      </c>
      <c r="E5" s="1">
        <v>1.0</v>
      </c>
      <c r="F5" s="1">
        <v>0.333333</v>
      </c>
      <c r="G5" s="1">
        <v>3.0</v>
      </c>
      <c r="H5" s="1">
        <v>-2.107731</v>
      </c>
      <c r="I5" s="1">
        <v>100.0</v>
      </c>
      <c r="J5" s="1">
        <v>0.0</v>
      </c>
      <c r="K5" s="1">
        <v>0.0</v>
      </c>
      <c r="L5" s="1">
        <v>94.808905</v>
      </c>
      <c r="M5" s="1" t="s">
        <v>261</v>
      </c>
    </row>
    <row r="6">
      <c r="A6" s="1" t="s">
        <v>432</v>
      </c>
      <c r="B6" s="1" t="str">
        <f>IFERROR(__xludf.DUMMYFUNCTION("IFERROR(REGEXEXTRACT(A6, ""res(269|122)""), ""none"")"),"269")</f>
        <v>269</v>
      </c>
      <c r="C6" s="1">
        <v>-15.147452</v>
      </c>
      <c r="D6" s="1">
        <v>8.0</v>
      </c>
      <c r="E6" s="1">
        <v>1.0</v>
      </c>
      <c r="F6" s="1">
        <v>0.25</v>
      </c>
      <c r="G6" s="1">
        <v>2.0</v>
      </c>
      <c r="H6" s="1">
        <v>-0.294954999999999</v>
      </c>
      <c r="I6" s="1">
        <v>100.0</v>
      </c>
      <c r="J6" s="1">
        <v>0.0</v>
      </c>
      <c r="K6" s="1">
        <v>0.0</v>
      </c>
      <c r="L6" s="1">
        <v>95.807593</v>
      </c>
      <c r="M6" s="1" t="s">
        <v>433</v>
      </c>
    </row>
    <row r="7">
      <c r="A7" s="1" t="s">
        <v>434</v>
      </c>
      <c r="B7" s="1" t="str">
        <f>IFERROR(__xludf.DUMMYFUNCTION("IFERROR(REGEXEXTRACT(A7, ""res(269|122)""), ""none"")"),"269")</f>
        <v>269</v>
      </c>
      <c r="C7" s="1">
        <v>-15.389501</v>
      </c>
      <c r="D7" s="1">
        <v>6.0</v>
      </c>
      <c r="E7" s="1">
        <v>2.0</v>
      </c>
      <c r="F7" s="1">
        <v>0.333333</v>
      </c>
      <c r="G7" s="1">
        <v>2.0</v>
      </c>
      <c r="H7" s="1">
        <v>-0.471907</v>
      </c>
      <c r="I7" s="1">
        <v>100.0</v>
      </c>
      <c r="J7" s="1">
        <v>0.0</v>
      </c>
      <c r="K7" s="1">
        <v>0.0</v>
      </c>
      <c r="L7" s="1">
        <v>94.471925</v>
      </c>
      <c r="M7" s="1" t="s">
        <v>435</v>
      </c>
    </row>
    <row r="8">
      <c r="A8" s="1" t="s">
        <v>262</v>
      </c>
      <c r="B8" s="1" t="str">
        <f>IFERROR(__xludf.DUMMYFUNCTION("IFERROR(REGEXEXTRACT(A8, ""res(269|122)""), ""none"")"),"269")</f>
        <v>269</v>
      </c>
      <c r="C8" s="1">
        <v>-15.124595</v>
      </c>
      <c r="D8" s="1">
        <v>8.0</v>
      </c>
      <c r="E8" s="1">
        <v>5.0</v>
      </c>
      <c r="F8" s="1">
        <v>0.375</v>
      </c>
      <c r="G8" s="1">
        <v>2.0</v>
      </c>
      <c r="H8" s="1">
        <v>-0.84012</v>
      </c>
      <c r="I8" s="1">
        <v>100.0</v>
      </c>
      <c r="J8" s="1">
        <v>0.0</v>
      </c>
      <c r="K8" s="1">
        <v>0.0</v>
      </c>
      <c r="L8" s="1">
        <v>99.410285</v>
      </c>
      <c r="M8" s="1" t="s">
        <v>74</v>
      </c>
    </row>
    <row r="9">
      <c r="A9" s="1" t="s">
        <v>436</v>
      </c>
      <c r="B9" s="1" t="str">
        <f>IFERROR(__xludf.DUMMYFUNCTION("IFERROR(REGEXEXTRACT(A9, ""res(269|122)""), ""none"")"),"269")</f>
        <v>269</v>
      </c>
      <c r="C9" s="1">
        <v>-15.107329</v>
      </c>
      <c r="D9" s="1">
        <v>8.0</v>
      </c>
      <c r="E9" s="1">
        <v>3.0</v>
      </c>
      <c r="F9" s="1">
        <v>0.25</v>
      </c>
      <c r="G9" s="1">
        <v>2.0</v>
      </c>
      <c r="H9" s="1">
        <v>-0.715002</v>
      </c>
      <c r="I9" s="1">
        <v>100.0</v>
      </c>
      <c r="J9" s="1">
        <v>0.0</v>
      </c>
      <c r="K9" s="1">
        <v>0.0</v>
      </c>
      <c r="L9" s="1">
        <v>97.427669</v>
      </c>
      <c r="M9" s="1" t="s">
        <v>437</v>
      </c>
    </row>
    <row r="10">
      <c r="A10" s="1" t="s">
        <v>438</v>
      </c>
      <c r="B10" s="1" t="str">
        <f>IFERROR(__xludf.DUMMYFUNCTION("IFERROR(REGEXEXTRACT(A10, ""res(269|122)""), ""none"")"),"269")</f>
        <v>269</v>
      </c>
      <c r="C10" s="1">
        <v>-16.347377</v>
      </c>
      <c r="D10" s="1">
        <v>7.0</v>
      </c>
      <c r="E10" s="1">
        <v>3.0</v>
      </c>
      <c r="F10" s="1">
        <v>0.428571</v>
      </c>
      <c r="G10" s="1">
        <v>2.0</v>
      </c>
      <c r="H10" s="1">
        <v>-1.047751</v>
      </c>
      <c r="I10" s="1">
        <v>100.0</v>
      </c>
      <c r="J10" s="1">
        <v>0.0</v>
      </c>
      <c r="K10" s="1">
        <v>0.0</v>
      </c>
      <c r="L10" s="1">
        <v>95.033443</v>
      </c>
      <c r="M10" s="1" t="s">
        <v>439</v>
      </c>
    </row>
    <row r="11">
      <c r="A11" s="1" t="s">
        <v>440</v>
      </c>
      <c r="B11" s="1" t="str">
        <f>IFERROR(__xludf.DUMMYFUNCTION("IFERROR(REGEXEXTRACT(A11, ""res(269|122)""), ""none"")"),"269")</f>
        <v>269</v>
      </c>
      <c r="C11" s="1">
        <v>-15.526661</v>
      </c>
      <c r="D11" s="1">
        <v>6.0</v>
      </c>
      <c r="E11" s="1">
        <v>4.0</v>
      </c>
      <c r="F11" s="1">
        <v>0.333333</v>
      </c>
      <c r="G11" s="1">
        <v>2.0</v>
      </c>
      <c r="H11" s="1">
        <v>-0.878894</v>
      </c>
      <c r="I11" s="1">
        <v>100.0</v>
      </c>
      <c r="J11" s="1">
        <v>0.0</v>
      </c>
      <c r="K11" s="1">
        <v>0.0</v>
      </c>
      <c r="L11" s="1">
        <v>95.927778</v>
      </c>
      <c r="M11" s="1" t="s">
        <v>441</v>
      </c>
    </row>
    <row r="12">
      <c r="A12" s="1" t="s">
        <v>263</v>
      </c>
      <c r="B12" s="1" t="str">
        <f>IFERROR(__xludf.DUMMYFUNCTION("IFERROR(REGEXEXTRACT(A12, ""res(269|122)""), ""none"")"),"269")</f>
        <v>269</v>
      </c>
      <c r="C12" s="1">
        <v>-15.247766</v>
      </c>
      <c r="D12" s="1">
        <v>6.0</v>
      </c>
      <c r="E12" s="1">
        <v>2.0</v>
      </c>
      <c r="F12" s="1">
        <v>0.333333</v>
      </c>
      <c r="G12" s="1">
        <v>3.0</v>
      </c>
      <c r="H12" s="1">
        <v>-1.003179</v>
      </c>
      <c r="I12" s="1">
        <v>100.0</v>
      </c>
      <c r="J12" s="1">
        <v>0.0</v>
      </c>
      <c r="K12" s="1">
        <v>0.0</v>
      </c>
      <c r="L12" s="1">
        <v>95.082388</v>
      </c>
      <c r="M12" s="1" t="s">
        <v>264</v>
      </c>
    </row>
    <row r="13">
      <c r="A13" s="1" t="s">
        <v>265</v>
      </c>
      <c r="B13" s="1" t="str">
        <f>IFERROR(__xludf.DUMMYFUNCTION("IFERROR(REGEXEXTRACT(A13, ""res(269|122)""), ""none"")"),"269")</f>
        <v>269</v>
      </c>
      <c r="C13" s="1">
        <v>-15.234041</v>
      </c>
      <c r="D13" s="1">
        <v>8.0</v>
      </c>
      <c r="E13" s="1">
        <v>3.0</v>
      </c>
      <c r="F13" s="1">
        <v>0.25</v>
      </c>
      <c r="G13" s="1">
        <v>3.0</v>
      </c>
      <c r="H13" s="1">
        <v>-0.552818</v>
      </c>
      <c r="I13" s="1">
        <v>100.0</v>
      </c>
      <c r="J13" s="1">
        <v>0.0</v>
      </c>
      <c r="K13" s="1">
        <v>0.0</v>
      </c>
      <c r="L13" s="1">
        <v>98.463141</v>
      </c>
      <c r="M13" s="1" t="s">
        <v>120</v>
      </c>
    </row>
    <row r="14">
      <c r="A14" s="1" t="s">
        <v>266</v>
      </c>
      <c r="B14" s="1" t="str">
        <f>IFERROR(__xludf.DUMMYFUNCTION("IFERROR(REGEXEXTRACT(A14, ""res(269|122)""), ""none"")"),"269")</f>
        <v>269</v>
      </c>
      <c r="C14" s="1">
        <v>-15.196061</v>
      </c>
      <c r="D14" s="1">
        <v>7.0</v>
      </c>
      <c r="E14" s="1">
        <v>2.0</v>
      </c>
      <c r="F14" s="1">
        <v>0.285714</v>
      </c>
      <c r="G14" s="1">
        <v>2.0</v>
      </c>
      <c r="H14" s="1">
        <v>-1.471521</v>
      </c>
      <c r="I14" s="1">
        <v>100.0</v>
      </c>
      <c r="J14" s="1">
        <v>0.0</v>
      </c>
      <c r="K14" s="1">
        <v>0.0</v>
      </c>
      <c r="L14" s="1">
        <v>94.618132</v>
      </c>
      <c r="M14" s="1" t="s">
        <v>77</v>
      </c>
    </row>
    <row r="15">
      <c r="A15" s="1" t="s">
        <v>442</v>
      </c>
      <c r="B15" s="1" t="str">
        <f>IFERROR(__xludf.DUMMYFUNCTION("IFERROR(REGEXEXTRACT(A15, ""res(269|122)""), ""none"")"),"269")</f>
        <v>269</v>
      </c>
      <c r="C15" s="1">
        <v>-15.140799</v>
      </c>
      <c r="D15" s="1">
        <v>6.0</v>
      </c>
      <c r="E15" s="1">
        <v>2.0</v>
      </c>
      <c r="F15" s="1">
        <v>0.333333</v>
      </c>
      <c r="G15" s="1">
        <v>2.0</v>
      </c>
      <c r="H15" s="1">
        <v>-0.893388</v>
      </c>
      <c r="I15" s="1">
        <v>100.0</v>
      </c>
      <c r="J15" s="1">
        <v>0.0</v>
      </c>
      <c r="K15" s="1">
        <v>0.0</v>
      </c>
      <c r="L15" s="1">
        <v>94.299146</v>
      </c>
      <c r="M15" s="1" t="s">
        <v>443</v>
      </c>
    </row>
    <row r="16">
      <c r="A16" s="1" t="s">
        <v>444</v>
      </c>
      <c r="B16" s="1" t="str">
        <f>IFERROR(__xludf.DUMMYFUNCTION("IFERROR(REGEXEXTRACT(A16, ""res(269|122)""), ""none"")"),"269")</f>
        <v>269</v>
      </c>
      <c r="C16" s="1">
        <v>-15.673892</v>
      </c>
      <c r="D16" s="1">
        <v>6.0</v>
      </c>
      <c r="E16" s="1">
        <v>4.0</v>
      </c>
      <c r="F16" s="1">
        <v>0.5</v>
      </c>
      <c r="G16" s="1">
        <v>2.0</v>
      </c>
      <c r="H16" s="1">
        <v>-0.675629</v>
      </c>
      <c r="I16" s="1">
        <v>100.0</v>
      </c>
      <c r="J16" s="1">
        <v>0.0</v>
      </c>
      <c r="K16" s="1">
        <v>0.0</v>
      </c>
      <c r="L16" s="1">
        <v>96.150479</v>
      </c>
      <c r="M16" s="1" t="s">
        <v>445</v>
      </c>
    </row>
    <row r="17">
      <c r="A17" s="1" t="s">
        <v>267</v>
      </c>
      <c r="B17" s="1" t="str">
        <f>IFERROR(__xludf.DUMMYFUNCTION("IFERROR(REGEXEXTRACT(A17, ""res(269|122)""), ""none"")"),"269")</f>
        <v>269</v>
      </c>
      <c r="C17" s="1">
        <v>-15.475748</v>
      </c>
      <c r="D17" s="1">
        <v>11.0</v>
      </c>
      <c r="E17" s="1">
        <v>1.0</v>
      </c>
      <c r="F17" s="1">
        <v>0.272727</v>
      </c>
      <c r="G17" s="1">
        <v>2.0</v>
      </c>
      <c r="H17" s="1">
        <v>-0.318571</v>
      </c>
      <c r="I17" s="1">
        <v>100.0</v>
      </c>
      <c r="J17" s="1">
        <v>0.0</v>
      </c>
      <c r="K17" s="1">
        <v>0.0</v>
      </c>
      <c r="L17" s="1">
        <v>98.478408</v>
      </c>
      <c r="M17" s="1" t="s">
        <v>268</v>
      </c>
    </row>
    <row r="18">
      <c r="A18" s="1" t="s">
        <v>188</v>
      </c>
      <c r="B18" s="1" t="str">
        <f>IFERROR(__xludf.DUMMYFUNCTION("IFERROR(REGEXEXTRACT(A18, ""res(269|122)""), ""none"")"),"122")</f>
        <v>122</v>
      </c>
      <c r="C18" s="1">
        <v>-15.535781</v>
      </c>
      <c r="D18" s="1">
        <v>9.0</v>
      </c>
      <c r="E18" s="1">
        <v>3.0</v>
      </c>
      <c r="F18" s="1">
        <v>0.444444</v>
      </c>
      <c r="G18" s="1">
        <v>2.0</v>
      </c>
      <c r="H18" s="1">
        <v>-1.719191</v>
      </c>
      <c r="I18" s="1">
        <v>100.0</v>
      </c>
      <c r="J18" s="1">
        <v>0.0</v>
      </c>
      <c r="K18" s="1">
        <v>0.0</v>
      </c>
      <c r="L18" s="1">
        <v>97.189472</v>
      </c>
      <c r="M18" s="1" t="s">
        <v>22</v>
      </c>
    </row>
    <row r="19">
      <c r="A19" s="1" t="s">
        <v>446</v>
      </c>
      <c r="B19" s="1" t="str">
        <f>IFERROR(__xludf.DUMMYFUNCTION("IFERROR(REGEXEXTRACT(A19, ""res(269|122)""), ""none"")"),"269")</f>
        <v>269</v>
      </c>
      <c r="C19" s="1">
        <v>-15.850201</v>
      </c>
      <c r="D19" s="1">
        <v>7.0</v>
      </c>
      <c r="E19" s="1">
        <v>2.0</v>
      </c>
      <c r="F19" s="1">
        <v>0.285714</v>
      </c>
      <c r="G19" s="1">
        <v>2.0</v>
      </c>
      <c r="H19" s="1">
        <v>-0.774898</v>
      </c>
      <c r="I19" s="1">
        <v>100.0</v>
      </c>
      <c r="J19" s="1">
        <v>0.0</v>
      </c>
      <c r="K19" s="1">
        <v>0.0</v>
      </c>
      <c r="L19" s="1">
        <v>94.660615</v>
      </c>
      <c r="M19" s="1" t="s">
        <v>447</v>
      </c>
    </row>
    <row r="20">
      <c r="A20" s="1" t="s">
        <v>269</v>
      </c>
      <c r="B20" s="1" t="str">
        <f>IFERROR(__xludf.DUMMYFUNCTION("IFERROR(REGEXEXTRACT(A20, ""res(269|122)""), ""none"")"),"269")</f>
        <v>269</v>
      </c>
      <c r="C20" s="1">
        <v>-15.217109</v>
      </c>
      <c r="D20" s="1">
        <v>8.0</v>
      </c>
      <c r="E20" s="1">
        <v>2.0</v>
      </c>
      <c r="F20" s="1">
        <v>0.25</v>
      </c>
      <c r="G20" s="1">
        <v>3.0</v>
      </c>
      <c r="H20" s="1">
        <v>-1.096035</v>
      </c>
      <c r="I20" s="1">
        <v>100.0</v>
      </c>
      <c r="J20" s="1">
        <v>0.0</v>
      </c>
      <c r="K20" s="1">
        <v>0.0</v>
      </c>
      <c r="L20" s="1">
        <v>96.936856</v>
      </c>
      <c r="M20" s="1" t="s">
        <v>270</v>
      </c>
    </row>
    <row r="21">
      <c r="A21" s="1" t="s">
        <v>448</v>
      </c>
      <c r="B21" s="1" t="str">
        <f>IFERROR(__xludf.DUMMYFUNCTION("IFERROR(REGEXEXTRACT(A21, ""res(269|122)""), ""none"")"),"269")</f>
        <v>269</v>
      </c>
      <c r="C21" s="1">
        <v>-18.627045</v>
      </c>
      <c r="D21" s="1">
        <v>9.0</v>
      </c>
      <c r="E21" s="1">
        <v>2.0</v>
      </c>
      <c r="F21" s="1">
        <v>0.333333</v>
      </c>
      <c r="G21" s="1">
        <v>2.0</v>
      </c>
      <c r="H21" s="1">
        <v>-1.464442</v>
      </c>
      <c r="I21" s="1">
        <v>100.0</v>
      </c>
      <c r="J21" s="1">
        <v>0.0</v>
      </c>
      <c r="K21" s="1">
        <v>0.0</v>
      </c>
      <c r="L21" s="1">
        <v>93.241846</v>
      </c>
      <c r="M21" s="1" t="s">
        <v>449</v>
      </c>
    </row>
    <row r="22">
      <c r="A22" s="1" t="s">
        <v>450</v>
      </c>
      <c r="B22" s="1" t="str">
        <f>IFERROR(__xludf.DUMMYFUNCTION("IFERROR(REGEXEXTRACT(A22, ""res(269|122)""), ""none"")"),"269")</f>
        <v>269</v>
      </c>
      <c r="C22" s="1">
        <v>-18.627045</v>
      </c>
      <c r="D22" s="1">
        <v>9.0</v>
      </c>
      <c r="E22" s="1">
        <v>2.0</v>
      </c>
      <c r="F22" s="1">
        <v>0.333333</v>
      </c>
      <c r="G22" s="1">
        <v>2.0</v>
      </c>
      <c r="H22" s="1">
        <v>-1.464442</v>
      </c>
      <c r="I22" s="1">
        <v>100.0</v>
      </c>
      <c r="J22" s="1">
        <v>0.0</v>
      </c>
      <c r="K22" s="1">
        <v>0.0</v>
      </c>
      <c r="L22" s="1">
        <v>93.241846</v>
      </c>
      <c r="M22" s="1" t="s">
        <v>451</v>
      </c>
    </row>
    <row r="23">
      <c r="A23" s="1" t="s">
        <v>452</v>
      </c>
      <c r="B23" s="1" t="str">
        <f>IFERROR(__xludf.DUMMYFUNCTION("IFERROR(REGEXEXTRACT(A23, ""res(269|122)""), ""none"")"),"269")</f>
        <v>269</v>
      </c>
      <c r="C23" s="1">
        <v>-15.471061</v>
      </c>
      <c r="D23" s="1">
        <v>11.0</v>
      </c>
      <c r="E23" s="1">
        <v>5.0</v>
      </c>
      <c r="F23" s="1">
        <v>0.272727</v>
      </c>
      <c r="G23" s="1">
        <v>3.0</v>
      </c>
      <c r="H23" s="1">
        <v>-1.955025</v>
      </c>
      <c r="I23" s="1">
        <v>100.0</v>
      </c>
      <c r="J23" s="1">
        <v>0.0</v>
      </c>
      <c r="K23" s="1">
        <v>0.0</v>
      </c>
      <c r="L23" s="1">
        <v>101.846641</v>
      </c>
      <c r="M23" s="1" t="s">
        <v>453</v>
      </c>
    </row>
    <row r="24">
      <c r="A24" s="1" t="s">
        <v>882</v>
      </c>
      <c r="B24" s="1" t="str">
        <f>IFERROR(__xludf.DUMMYFUNCTION("IFERROR(REGEXEXTRACT(A24, ""res(269|122)""), ""none"")"),"122")</f>
        <v>122</v>
      </c>
      <c r="C24" s="1">
        <v>-15.909327</v>
      </c>
      <c r="D24" s="1">
        <v>10.0</v>
      </c>
      <c r="E24" s="1">
        <v>4.0</v>
      </c>
      <c r="F24" s="1">
        <v>0.3</v>
      </c>
      <c r="G24" s="1">
        <v>2.0</v>
      </c>
      <c r="H24" s="1">
        <v>-0.838915</v>
      </c>
      <c r="I24" s="1">
        <v>100.0</v>
      </c>
      <c r="J24" s="1">
        <v>0.0</v>
      </c>
      <c r="K24" s="1">
        <v>0.0</v>
      </c>
      <c r="L24" s="1">
        <v>99.551758</v>
      </c>
      <c r="M24" s="1" t="s">
        <v>883</v>
      </c>
    </row>
    <row r="25">
      <c r="A25" s="1" t="s">
        <v>884</v>
      </c>
      <c r="B25" s="1" t="str">
        <f>IFERROR(__xludf.DUMMYFUNCTION("IFERROR(REGEXEXTRACT(A25, ""res(269|122)""), ""none"")"),"122")</f>
        <v>122</v>
      </c>
      <c r="C25" s="1">
        <v>-15.853293</v>
      </c>
      <c r="D25" s="1">
        <v>10.0</v>
      </c>
      <c r="E25" s="1">
        <v>3.0</v>
      </c>
      <c r="F25" s="1">
        <v>0.3</v>
      </c>
      <c r="G25" s="1">
        <v>3.0</v>
      </c>
      <c r="H25" s="1">
        <v>-0.169824</v>
      </c>
      <c r="I25" s="1">
        <v>100.0</v>
      </c>
      <c r="J25" s="1">
        <v>0.0</v>
      </c>
      <c r="K25" s="1">
        <v>0.0</v>
      </c>
      <c r="L25" s="1">
        <v>100.276883</v>
      </c>
      <c r="M25" s="1" t="s">
        <v>885</v>
      </c>
    </row>
    <row r="26">
      <c r="A26" s="1" t="s">
        <v>886</v>
      </c>
      <c r="B26" s="1" t="str">
        <f>IFERROR(__xludf.DUMMYFUNCTION("IFERROR(REGEXEXTRACT(A26, ""res(269|122)""), ""none"")"),"122")</f>
        <v>122</v>
      </c>
      <c r="C26" s="1">
        <v>-15.314097</v>
      </c>
      <c r="D26" s="1">
        <v>10.0</v>
      </c>
      <c r="E26" s="1">
        <v>4.0</v>
      </c>
      <c r="F26" s="1">
        <v>0.3</v>
      </c>
      <c r="G26" s="1">
        <v>2.0</v>
      </c>
      <c r="H26" s="1">
        <v>-1.339481</v>
      </c>
      <c r="I26" s="1">
        <v>100.0</v>
      </c>
      <c r="J26" s="1">
        <v>0.0</v>
      </c>
      <c r="K26" s="1">
        <v>0.0</v>
      </c>
      <c r="L26" s="1">
        <v>99.646422</v>
      </c>
      <c r="M26" s="1" t="s">
        <v>887</v>
      </c>
    </row>
    <row r="27">
      <c r="A27" s="1" t="s">
        <v>271</v>
      </c>
      <c r="B27" s="1" t="str">
        <f>IFERROR(__xludf.DUMMYFUNCTION("IFERROR(REGEXEXTRACT(A27, ""res(269|122)""), ""none"")"),"269")</f>
        <v>269</v>
      </c>
      <c r="C27" s="1">
        <v>-16.067978</v>
      </c>
      <c r="D27" s="1">
        <v>10.0</v>
      </c>
      <c r="E27" s="1">
        <v>3.0</v>
      </c>
      <c r="F27" s="1">
        <v>0.4</v>
      </c>
      <c r="G27" s="1">
        <v>4.0</v>
      </c>
      <c r="H27" s="1">
        <v>-1.686262</v>
      </c>
      <c r="I27" s="1">
        <v>100.0</v>
      </c>
      <c r="J27" s="1">
        <v>0.0</v>
      </c>
      <c r="K27" s="1">
        <v>0.0</v>
      </c>
      <c r="L27" s="1">
        <v>99.64576</v>
      </c>
      <c r="M27" s="1" t="s">
        <v>272</v>
      </c>
    </row>
    <row r="28">
      <c r="A28" s="1" t="s">
        <v>273</v>
      </c>
      <c r="B28" s="1" t="str">
        <f>IFERROR(__xludf.DUMMYFUNCTION("IFERROR(REGEXEXTRACT(A28, ""res(269|122)""), ""none"")"),"269")</f>
        <v>269</v>
      </c>
      <c r="C28" s="1">
        <v>-16.067978</v>
      </c>
      <c r="D28" s="1">
        <v>10.0</v>
      </c>
      <c r="E28" s="1">
        <v>3.0</v>
      </c>
      <c r="F28" s="1">
        <v>0.4</v>
      </c>
      <c r="G28" s="1">
        <v>4.0</v>
      </c>
      <c r="H28" s="1">
        <v>-1.686262</v>
      </c>
      <c r="I28" s="1">
        <v>100.0</v>
      </c>
      <c r="J28" s="1">
        <v>0.0</v>
      </c>
      <c r="K28" s="1">
        <v>0.0</v>
      </c>
      <c r="L28" s="1">
        <v>99.64576</v>
      </c>
      <c r="M28" s="1" t="s">
        <v>274</v>
      </c>
    </row>
    <row r="29">
      <c r="A29" s="1" t="s">
        <v>189</v>
      </c>
      <c r="B29" s="1" t="str">
        <f>IFERROR(__xludf.DUMMYFUNCTION("IFERROR(REGEXEXTRACT(A29, ""res(269|122)""), ""none"")"),"122")</f>
        <v>122</v>
      </c>
      <c r="C29" s="1">
        <v>-17.372141</v>
      </c>
      <c r="D29" s="1">
        <v>10.0</v>
      </c>
      <c r="E29" s="1">
        <v>2.0</v>
      </c>
      <c r="F29" s="1">
        <v>0.3</v>
      </c>
      <c r="G29" s="1">
        <v>2.0</v>
      </c>
      <c r="H29" s="1">
        <v>-1.44699499999999</v>
      </c>
      <c r="I29" s="1">
        <v>100.0</v>
      </c>
      <c r="J29" s="1">
        <v>0.0</v>
      </c>
      <c r="K29" s="1">
        <v>0.0</v>
      </c>
      <c r="L29" s="1">
        <v>95.480864</v>
      </c>
      <c r="M29" s="1" t="s">
        <v>190</v>
      </c>
    </row>
    <row r="30">
      <c r="A30" s="1" t="s">
        <v>275</v>
      </c>
      <c r="B30" s="1" t="str">
        <f>IFERROR(__xludf.DUMMYFUNCTION("IFERROR(REGEXEXTRACT(A30, ""res(269|122)""), ""none"")"),"269")</f>
        <v>269</v>
      </c>
      <c r="C30" s="1">
        <v>-15.296307</v>
      </c>
      <c r="D30" s="1">
        <v>7.0</v>
      </c>
      <c r="E30" s="1">
        <v>3.0</v>
      </c>
      <c r="F30" s="1">
        <v>0.285714</v>
      </c>
      <c r="G30" s="1">
        <v>2.0</v>
      </c>
      <c r="H30" s="1">
        <v>-1.992376</v>
      </c>
      <c r="I30" s="1">
        <v>100.0</v>
      </c>
      <c r="J30" s="1">
        <v>0.0</v>
      </c>
      <c r="K30" s="1">
        <v>0.0</v>
      </c>
      <c r="L30" s="1">
        <v>94.997031</v>
      </c>
      <c r="M30" s="1" t="s">
        <v>276</v>
      </c>
    </row>
    <row r="31">
      <c r="A31" s="1" t="s">
        <v>888</v>
      </c>
      <c r="B31" s="1" t="str">
        <f>IFERROR(__xludf.DUMMYFUNCTION("IFERROR(REGEXEXTRACT(A31, ""res(269|122)""), ""none"")"),"122")</f>
        <v>122</v>
      </c>
      <c r="C31" s="1">
        <v>-15.270707</v>
      </c>
      <c r="D31" s="1">
        <v>10.0</v>
      </c>
      <c r="E31" s="1">
        <v>3.0</v>
      </c>
      <c r="F31" s="1">
        <v>0.4</v>
      </c>
      <c r="G31" s="1">
        <v>2.0</v>
      </c>
      <c r="H31" s="1">
        <v>-1.180542</v>
      </c>
      <c r="I31" s="1">
        <v>100.0</v>
      </c>
      <c r="J31" s="1">
        <v>0.0</v>
      </c>
      <c r="K31" s="1">
        <v>0.0</v>
      </c>
      <c r="L31" s="1">
        <v>98.948751</v>
      </c>
      <c r="M31" s="1" t="s">
        <v>889</v>
      </c>
    </row>
    <row r="32">
      <c r="A32" s="1" t="s">
        <v>890</v>
      </c>
      <c r="B32" s="1" t="str">
        <f>IFERROR(__xludf.DUMMYFUNCTION("IFERROR(REGEXEXTRACT(A32, ""res(269|122)""), ""none"")"),"122")</f>
        <v>122</v>
      </c>
      <c r="C32" s="1">
        <v>-15.966543</v>
      </c>
      <c r="D32" s="1">
        <v>7.0</v>
      </c>
      <c r="E32" s="1">
        <v>5.0</v>
      </c>
      <c r="F32" s="1">
        <v>0.571429</v>
      </c>
      <c r="G32" s="1">
        <v>2.0</v>
      </c>
      <c r="H32" s="1">
        <v>-0.746181</v>
      </c>
      <c r="I32" s="1">
        <v>100.0</v>
      </c>
      <c r="J32" s="1">
        <v>0.0</v>
      </c>
      <c r="K32" s="1">
        <v>0.0</v>
      </c>
      <c r="L32" s="1">
        <v>97.858705</v>
      </c>
      <c r="M32" s="1" t="s">
        <v>891</v>
      </c>
    </row>
    <row r="33">
      <c r="A33" s="1" t="s">
        <v>454</v>
      </c>
      <c r="B33" s="1" t="str">
        <f>IFERROR(__xludf.DUMMYFUNCTION("IFERROR(REGEXEXTRACT(A33, ""res(269|122)""), ""none"")"),"269")</f>
        <v>269</v>
      </c>
      <c r="C33" s="1">
        <v>-16.253596</v>
      </c>
      <c r="D33" s="1">
        <v>10.0</v>
      </c>
      <c r="E33" s="1">
        <v>3.0</v>
      </c>
      <c r="F33" s="1">
        <v>0.3</v>
      </c>
      <c r="G33" s="1">
        <v>2.0</v>
      </c>
      <c r="H33" s="1">
        <v>-0.741444</v>
      </c>
      <c r="I33" s="1">
        <v>100.0</v>
      </c>
      <c r="J33" s="1">
        <v>0.0</v>
      </c>
      <c r="K33" s="1">
        <v>0.0</v>
      </c>
      <c r="L33" s="1">
        <v>98.30496</v>
      </c>
      <c r="M33" s="1" t="s">
        <v>455</v>
      </c>
    </row>
    <row r="34">
      <c r="A34" s="1" t="s">
        <v>191</v>
      </c>
      <c r="B34" s="1" t="str">
        <f>IFERROR(__xludf.DUMMYFUNCTION("IFERROR(REGEXEXTRACT(A34, ""res(269|122)""), ""none"")"),"122")</f>
        <v>122</v>
      </c>
      <c r="C34" s="1">
        <v>-15.13854</v>
      </c>
      <c r="D34" s="1">
        <v>9.0</v>
      </c>
      <c r="E34" s="1">
        <v>4.0</v>
      </c>
      <c r="F34" s="1">
        <v>0.333333</v>
      </c>
      <c r="G34" s="1">
        <v>2.0</v>
      </c>
      <c r="H34" s="1">
        <v>-1.065005</v>
      </c>
      <c r="I34" s="1">
        <v>100.0</v>
      </c>
      <c r="J34" s="1">
        <v>0.0</v>
      </c>
      <c r="K34" s="1">
        <v>0.0</v>
      </c>
      <c r="L34" s="1">
        <v>99.129788</v>
      </c>
      <c r="M34" s="1" t="s">
        <v>192</v>
      </c>
    </row>
    <row r="35">
      <c r="A35" s="1" t="s">
        <v>193</v>
      </c>
      <c r="B35" s="1" t="str">
        <f>IFERROR(__xludf.DUMMYFUNCTION("IFERROR(REGEXEXTRACT(A35, ""res(269|122)""), ""none"")"),"122")</f>
        <v>122</v>
      </c>
      <c r="C35" s="1">
        <v>-15.55909</v>
      </c>
      <c r="D35" s="1">
        <v>12.0</v>
      </c>
      <c r="E35" s="1">
        <v>4.0</v>
      </c>
      <c r="F35" s="1">
        <v>0.25</v>
      </c>
      <c r="G35" s="1">
        <v>2.0</v>
      </c>
      <c r="H35" s="1">
        <v>-0.857348</v>
      </c>
      <c r="I35" s="1">
        <v>100.0</v>
      </c>
      <c r="J35" s="1">
        <v>0.0</v>
      </c>
      <c r="K35" s="1">
        <v>0.0</v>
      </c>
      <c r="L35" s="1">
        <v>101.833562</v>
      </c>
      <c r="M35" s="1" t="s">
        <v>194</v>
      </c>
    </row>
    <row r="36">
      <c r="A36" s="1" t="s">
        <v>456</v>
      </c>
      <c r="B36" s="1" t="str">
        <f>IFERROR(__xludf.DUMMYFUNCTION("IFERROR(REGEXEXTRACT(A36, ""res(269|122)""), ""none"")"),"269")</f>
        <v>269</v>
      </c>
      <c r="C36" s="1">
        <v>-15.009468</v>
      </c>
      <c r="D36" s="1">
        <v>12.0</v>
      </c>
      <c r="E36" s="1">
        <v>3.0</v>
      </c>
      <c r="F36" s="1">
        <v>0.25</v>
      </c>
      <c r="G36" s="1">
        <v>2.0</v>
      </c>
      <c r="H36" s="1">
        <v>-0.890163</v>
      </c>
      <c r="I36" s="1">
        <v>100.0</v>
      </c>
      <c r="J36" s="1">
        <v>0.0</v>
      </c>
      <c r="K36" s="1">
        <v>0.0</v>
      </c>
      <c r="L36" s="1">
        <v>101.350369</v>
      </c>
      <c r="M36" s="1" t="s">
        <v>457</v>
      </c>
    </row>
    <row r="37">
      <c r="A37" s="1" t="s">
        <v>277</v>
      </c>
      <c r="B37" s="1" t="str">
        <f>IFERROR(__xludf.DUMMYFUNCTION("IFERROR(REGEXEXTRACT(A37, ""res(269|122)""), ""none"")"),"269")</f>
        <v>269</v>
      </c>
      <c r="C37" s="1">
        <v>-15.325992</v>
      </c>
      <c r="D37" s="1">
        <v>8.0</v>
      </c>
      <c r="E37" s="1">
        <v>2.0</v>
      </c>
      <c r="F37" s="1">
        <v>0.25</v>
      </c>
      <c r="G37" s="1">
        <v>2.0</v>
      </c>
      <c r="H37" s="1">
        <v>-0.597145</v>
      </c>
      <c r="I37" s="1">
        <v>100.0</v>
      </c>
      <c r="J37" s="1">
        <v>0.0</v>
      </c>
      <c r="K37" s="1">
        <v>0.0</v>
      </c>
      <c r="L37" s="1">
        <v>96.326863</v>
      </c>
      <c r="M37" s="1" t="s">
        <v>278</v>
      </c>
    </row>
    <row r="38">
      <c r="A38" s="1" t="s">
        <v>892</v>
      </c>
      <c r="B38" s="1" t="str">
        <f>IFERROR(__xludf.DUMMYFUNCTION("IFERROR(REGEXEXTRACT(A38, ""res(269|122)""), ""none"")"),"122")</f>
        <v>122</v>
      </c>
      <c r="C38" s="1">
        <v>-15.352621</v>
      </c>
      <c r="D38" s="1">
        <v>9.0</v>
      </c>
      <c r="E38" s="1">
        <v>3.0</v>
      </c>
      <c r="F38" s="1">
        <v>0.333333</v>
      </c>
      <c r="G38" s="1">
        <v>2.0</v>
      </c>
      <c r="H38" s="1">
        <v>-0.609783</v>
      </c>
      <c r="I38" s="1">
        <v>100.0</v>
      </c>
      <c r="J38" s="1">
        <v>0.0</v>
      </c>
      <c r="K38" s="1">
        <v>0.0</v>
      </c>
      <c r="L38" s="1">
        <v>98.370929</v>
      </c>
      <c r="M38" s="1" t="s">
        <v>893</v>
      </c>
    </row>
    <row r="39">
      <c r="A39" s="1" t="s">
        <v>894</v>
      </c>
      <c r="B39" s="1" t="str">
        <f>IFERROR(__xludf.DUMMYFUNCTION("IFERROR(REGEXEXTRACT(A39, ""res(269|122)""), ""none"")"),"122")</f>
        <v>122</v>
      </c>
      <c r="C39" s="1">
        <v>-16.976415</v>
      </c>
      <c r="D39" s="1">
        <v>10.0</v>
      </c>
      <c r="E39" s="1">
        <v>3.0</v>
      </c>
      <c r="F39" s="1">
        <v>0.3</v>
      </c>
      <c r="G39" s="1">
        <v>2.0</v>
      </c>
      <c r="H39" s="1">
        <v>-0.947909</v>
      </c>
      <c r="I39" s="1">
        <v>100.0</v>
      </c>
      <c r="J39" s="1">
        <v>0.0</v>
      </c>
      <c r="K39" s="1">
        <v>0.0</v>
      </c>
      <c r="L39" s="1">
        <v>97.375676</v>
      </c>
      <c r="M39" s="1" t="s">
        <v>895</v>
      </c>
    </row>
    <row r="40">
      <c r="A40" s="1" t="s">
        <v>458</v>
      </c>
      <c r="B40" s="1" t="str">
        <f>IFERROR(__xludf.DUMMYFUNCTION("IFERROR(REGEXEXTRACT(A40, ""res(269|122)""), ""none"")"),"269")</f>
        <v>269</v>
      </c>
      <c r="C40" s="1">
        <v>-15.102863</v>
      </c>
      <c r="D40" s="1">
        <v>7.0</v>
      </c>
      <c r="E40" s="1">
        <v>4.0</v>
      </c>
      <c r="F40" s="1">
        <v>0.285714</v>
      </c>
      <c r="G40" s="1">
        <v>2.0</v>
      </c>
      <c r="H40" s="1">
        <v>-0.739385</v>
      </c>
      <c r="I40" s="1">
        <v>100.0</v>
      </c>
      <c r="J40" s="1">
        <v>0.0</v>
      </c>
      <c r="K40" s="1">
        <v>0.0</v>
      </c>
      <c r="L40" s="1">
        <v>97.443466</v>
      </c>
      <c r="M40" s="1" t="s">
        <v>459</v>
      </c>
    </row>
    <row r="41">
      <c r="A41" s="1" t="s">
        <v>460</v>
      </c>
      <c r="B41" s="1" t="str">
        <f>IFERROR(__xludf.DUMMYFUNCTION("IFERROR(REGEXEXTRACT(A41, ""res(269|122)""), ""none"")"),"269")</f>
        <v>269</v>
      </c>
      <c r="C41" s="1">
        <v>-16.336018</v>
      </c>
      <c r="D41" s="1">
        <v>7.0</v>
      </c>
      <c r="E41" s="1">
        <v>2.0</v>
      </c>
      <c r="F41" s="1">
        <v>0.428571</v>
      </c>
      <c r="G41" s="1">
        <v>2.0</v>
      </c>
      <c r="H41" s="1">
        <v>-1.549677</v>
      </c>
      <c r="I41" s="1">
        <v>100.0</v>
      </c>
      <c r="J41" s="1">
        <v>0.0</v>
      </c>
      <c r="K41" s="1">
        <v>0.0</v>
      </c>
      <c r="L41" s="1">
        <v>93.542876</v>
      </c>
      <c r="M41" s="1" t="s">
        <v>461</v>
      </c>
    </row>
    <row r="42">
      <c r="A42" s="1" t="s">
        <v>195</v>
      </c>
      <c r="B42" s="1" t="str">
        <f>IFERROR(__xludf.DUMMYFUNCTION("IFERROR(REGEXEXTRACT(A42, ""res(269|122)""), ""none"")"),"122")</f>
        <v>122</v>
      </c>
      <c r="C42" s="1">
        <v>-16.502904</v>
      </c>
      <c r="D42" s="1">
        <v>8.0</v>
      </c>
      <c r="E42" s="1">
        <v>3.0</v>
      </c>
      <c r="F42" s="1">
        <v>0.25</v>
      </c>
      <c r="G42" s="1">
        <v>3.0</v>
      </c>
      <c r="H42" s="1">
        <v>-0.998347</v>
      </c>
      <c r="I42" s="1">
        <v>100.0</v>
      </c>
      <c r="J42" s="1">
        <v>0.0</v>
      </c>
      <c r="K42" s="1">
        <v>0.0</v>
      </c>
      <c r="L42" s="1">
        <v>96.748749</v>
      </c>
      <c r="M42" s="1" t="s">
        <v>196</v>
      </c>
    </row>
    <row r="43">
      <c r="A43" s="1" t="s">
        <v>197</v>
      </c>
      <c r="B43" s="1" t="str">
        <f>IFERROR(__xludf.DUMMYFUNCTION("IFERROR(REGEXEXTRACT(A43, ""res(269|122)""), ""none"")"),"122")</f>
        <v>122</v>
      </c>
      <c r="C43" s="1">
        <v>-16.222639</v>
      </c>
      <c r="D43" s="1">
        <v>10.0</v>
      </c>
      <c r="E43" s="1">
        <v>3.0</v>
      </c>
      <c r="F43" s="1">
        <v>0.3</v>
      </c>
      <c r="G43" s="1">
        <v>2.0</v>
      </c>
      <c r="H43" s="1">
        <v>-1.763647</v>
      </c>
      <c r="I43" s="1">
        <v>100.0</v>
      </c>
      <c r="J43" s="1">
        <v>0.0</v>
      </c>
      <c r="K43" s="1">
        <v>0.0</v>
      </c>
      <c r="L43" s="1">
        <v>97.313714</v>
      </c>
      <c r="M43" s="1" t="s">
        <v>94</v>
      </c>
    </row>
    <row r="44">
      <c r="A44" s="1" t="s">
        <v>198</v>
      </c>
      <c r="B44" s="1" t="str">
        <f>IFERROR(__xludf.DUMMYFUNCTION("IFERROR(REGEXEXTRACT(A44, ""res(269|122)""), ""none"")"),"122")</f>
        <v>122</v>
      </c>
      <c r="C44" s="1">
        <v>-15.296063</v>
      </c>
      <c r="D44" s="1">
        <v>8.0</v>
      </c>
      <c r="E44" s="1">
        <v>3.0</v>
      </c>
      <c r="F44" s="1">
        <v>0.25</v>
      </c>
      <c r="G44" s="1">
        <v>2.0</v>
      </c>
      <c r="H44" s="1">
        <v>-1.293353</v>
      </c>
      <c r="I44" s="1">
        <v>100.0</v>
      </c>
      <c r="J44" s="1">
        <v>0.0</v>
      </c>
      <c r="K44" s="1">
        <v>0.0</v>
      </c>
      <c r="L44" s="1">
        <v>96.660584</v>
      </c>
      <c r="M44" s="1" t="s">
        <v>30</v>
      </c>
    </row>
    <row r="45">
      <c r="A45" s="1" t="s">
        <v>896</v>
      </c>
      <c r="B45" s="1" t="str">
        <f>IFERROR(__xludf.DUMMYFUNCTION("IFERROR(REGEXEXTRACT(A45, ""res(269|122)""), ""none"")"),"122")</f>
        <v>122</v>
      </c>
      <c r="C45" s="1">
        <v>-15.173012</v>
      </c>
      <c r="D45" s="1">
        <v>10.0</v>
      </c>
      <c r="E45" s="1">
        <v>4.0</v>
      </c>
      <c r="F45" s="1">
        <v>0.3</v>
      </c>
      <c r="G45" s="1">
        <v>2.0</v>
      </c>
      <c r="H45" s="1">
        <v>-1.39177</v>
      </c>
      <c r="I45" s="1">
        <v>100.0</v>
      </c>
      <c r="J45" s="1">
        <v>0.0</v>
      </c>
      <c r="K45" s="1">
        <v>0.0</v>
      </c>
      <c r="L45" s="1">
        <v>99.735218</v>
      </c>
      <c r="M45" s="1" t="s">
        <v>897</v>
      </c>
    </row>
    <row r="46">
      <c r="A46" s="1" t="s">
        <v>279</v>
      </c>
      <c r="B46" s="1" t="str">
        <f>IFERROR(__xludf.DUMMYFUNCTION("IFERROR(REGEXEXTRACT(A46, ""res(269|122)""), ""none"")"),"269")</f>
        <v>269</v>
      </c>
      <c r="C46" s="1">
        <v>-15.778424</v>
      </c>
      <c r="D46" s="1">
        <v>10.0</v>
      </c>
      <c r="E46" s="1">
        <v>4.0</v>
      </c>
      <c r="F46" s="1">
        <v>0.3</v>
      </c>
      <c r="G46" s="1">
        <v>2.0</v>
      </c>
      <c r="H46" s="1">
        <v>-0.444144</v>
      </c>
      <c r="I46" s="1">
        <v>100.0</v>
      </c>
      <c r="J46" s="1">
        <v>0.0</v>
      </c>
      <c r="K46" s="1">
        <v>0.0</v>
      </c>
      <c r="L46" s="1">
        <v>100.077432</v>
      </c>
      <c r="M46" s="1" t="s">
        <v>123</v>
      </c>
    </row>
    <row r="47">
      <c r="A47" s="1" t="s">
        <v>199</v>
      </c>
      <c r="B47" s="1" t="str">
        <f>IFERROR(__xludf.DUMMYFUNCTION("IFERROR(REGEXEXTRACT(A47, ""res(269|122)""), ""none"")"),"122")</f>
        <v>122</v>
      </c>
      <c r="C47" s="1">
        <v>-15.047575</v>
      </c>
      <c r="D47" s="1">
        <v>8.0</v>
      </c>
      <c r="E47" s="1">
        <v>4.0</v>
      </c>
      <c r="F47" s="1">
        <v>0.25</v>
      </c>
      <c r="G47" s="1">
        <v>2.0</v>
      </c>
      <c r="H47" s="1">
        <v>-1.824829</v>
      </c>
      <c r="I47" s="1">
        <v>100.0</v>
      </c>
      <c r="J47" s="1">
        <v>0.0</v>
      </c>
      <c r="K47" s="1">
        <v>0.0</v>
      </c>
      <c r="L47" s="1">
        <v>97.377596</v>
      </c>
      <c r="M47" s="1" t="s">
        <v>200</v>
      </c>
    </row>
    <row r="48">
      <c r="A48" s="1" t="s">
        <v>462</v>
      </c>
      <c r="B48" s="1" t="str">
        <f>IFERROR(__xludf.DUMMYFUNCTION("IFERROR(REGEXEXTRACT(A48, ""res(269|122)""), ""none"")"),"269")</f>
        <v>269</v>
      </c>
      <c r="C48" s="1">
        <v>-15.125422</v>
      </c>
      <c r="D48" s="1">
        <v>8.0</v>
      </c>
      <c r="E48" s="1">
        <v>2.0</v>
      </c>
      <c r="F48" s="1">
        <v>0.25</v>
      </c>
      <c r="G48" s="1">
        <v>2.0</v>
      </c>
      <c r="H48" s="1">
        <v>-0.988743</v>
      </c>
      <c r="I48" s="1">
        <v>100.0</v>
      </c>
      <c r="J48" s="1">
        <v>0.0</v>
      </c>
      <c r="K48" s="1">
        <v>0.0</v>
      </c>
      <c r="L48" s="1">
        <v>96.135835</v>
      </c>
      <c r="M48" s="1" t="s">
        <v>463</v>
      </c>
    </row>
    <row r="49">
      <c r="A49" s="1" t="s">
        <v>464</v>
      </c>
      <c r="B49" s="1" t="str">
        <f>IFERROR(__xludf.DUMMYFUNCTION("IFERROR(REGEXEXTRACT(A49, ""res(269|122)""), ""none"")"),"269")</f>
        <v>269</v>
      </c>
      <c r="C49" s="1">
        <v>-16.19124</v>
      </c>
      <c r="D49" s="1">
        <v>11.0</v>
      </c>
      <c r="E49" s="1">
        <v>2.0</v>
      </c>
      <c r="F49" s="1">
        <v>0.272727</v>
      </c>
      <c r="G49" s="1">
        <v>2.0</v>
      </c>
      <c r="H49" s="1">
        <v>-0.467883</v>
      </c>
      <c r="I49" s="1">
        <v>100.0</v>
      </c>
      <c r="J49" s="1">
        <v>0.0</v>
      </c>
      <c r="K49" s="1">
        <v>0.0</v>
      </c>
      <c r="L49" s="1">
        <v>98.613604</v>
      </c>
      <c r="M49" s="1" t="s">
        <v>465</v>
      </c>
    </row>
    <row r="50">
      <c r="A50" s="1" t="s">
        <v>466</v>
      </c>
      <c r="B50" s="1" t="str">
        <f>IFERROR(__xludf.DUMMYFUNCTION("IFERROR(REGEXEXTRACT(A50, ""res(269|122)""), ""none"")"),"269")</f>
        <v>269</v>
      </c>
      <c r="C50" s="1">
        <v>-16.072605</v>
      </c>
      <c r="D50" s="1">
        <v>7.0</v>
      </c>
      <c r="E50" s="1">
        <v>3.0</v>
      </c>
      <c r="F50" s="1">
        <v>0.285714</v>
      </c>
      <c r="G50" s="1">
        <v>3.0</v>
      </c>
      <c r="H50" s="1">
        <v>-1.341939</v>
      </c>
      <c r="I50" s="1">
        <v>100.0</v>
      </c>
      <c r="J50" s="1">
        <v>0.0</v>
      </c>
      <c r="K50" s="1">
        <v>0.0</v>
      </c>
      <c r="L50" s="1">
        <v>95.87117</v>
      </c>
      <c r="M50" s="1" t="s">
        <v>467</v>
      </c>
    </row>
    <row r="51">
      <c r="A51" s="1" t="s">
        <v>898</v>
      </c>
      <c r="B51" s="1" t="str">
        <f>IFERROR(__xludf.DUMMYFUNCTION("IFERROR(REGEXEXTRACT(A51, ""res(269|122)""), ""none"")"),"122")</f>
        <v>122</v>
      </c>
      <c r="C51" s="1">
        <v>-15.089032</v>
      </c>
      <c r="D51" s="1">
        <v>11.0</v>
      </c>
      <c r="E51" s="1">
        <v>4.0</v>
      </c>
      <c r="F51" s="1">
        <v>0.272727</v>
      </c>
      <c r="G51" s="1">
        <v>2.0</v>
      </c>
      <c r="H51" s="1">
        <v>-0.598739999999999</v>
      </c>
      <c r="I51" s="1">
        <v>100.0</v>
      </c>
      <c r="J51" s="1">
        <v>0.0</v>
      </c>
      <c r="K51" s="1">
        <v>0.0</v>
      </c>
      <c r="L51" s="1">
        <v>101.584955</v>
      </c>
      <c r="M51" s="1" t="s">
        <v>899</v>
      </c>
    </row>
    <row r="52">
      <c r="A52" s="1" t="s">
        <v>468</v>
      </c>
      <c r="B52" s="1" t="str">
        <f>IFERROR(__xludf.DUMMYFUNCTION("IFERROR(REGEXEXTRACT(A52, ""res(269|122)""), ""none"")"),"269")</f>
        <v>269</v>
      </c>
      <c r="C52" s="1">
        <v>-15.019141</v>
      </c>
      <c r="D52" s="1">
        <v>7.0</v>
      </c>
      <c r="E52" s="1">
        <v>2.0</v>
      </c>
      <c r="F52" s="1">
        <v>0.285714</v>
      </c>
      <c r="G52" s="1">
        <v>2.0</v>
      </c>
      <c r="H52" s="1">
        <v>-1.307925</v>
      </c>
      <c r="I52" s="1">
        <v>100.0</v>
      </c>
      <c r="J52" s="1">
        <v>0.0</v>
      </c>
      <c r="K52" s="1">
        <v>0.0</v>
      </c>
      <c r="L52" s="1">
        <v>94.958648</v>
      </c>
      <c r="M52" s="1" t="s">
        <v>469</v>
      </c>
    </row>
    <row r="53">
      <c r="A53" s="1" t="s">
        <v>201</v>
      </c>
      <c r="B53" s="1" t="str">
        <f>IFERROR(__xludf.DUMMYFUNCTION("IFERROR(REGEXEXTRACT(A53, ""res(269|122)""), ""none"")"),"122")</f>
        <v>122</v>
      </c>
      <c r="C53" s="1">
        <v>-15.950047</v>
      </c>
      <c r="D53" s="1">
        <v>7.0</v>
      </c>
      <c r="E53" s="1">
        <v>3.0</v>
      </c>
      <c r="F53" s="1">
        <v>0.285714</v>
      </c>
      <c r="G53" s="1">
        <v>3.0</v>
      </c>
      <c r="H53" s="1">
        <v>-1.505897</v>
      </c>
      <c r="I53" s="1">
        <v>100.0</v>
      </c>
      <c r="J53" s="1">
        <v>0.0</v>
      </c>
      <c r="K53" s="1">
        <v>0.0</v>
      </c>
      <c r="L53" s="1">
        <v>95.82977</v>
      </c>
      <c r="M53" s="1" t="s">
        <v>35</v>
      </c>
    </row>
    <row r="54">
      <c r="A54" s="1" t="s">
        <v>470</v>
      </c>
      <c r="B54" s="1" t="str">
        <f>IFERROR(__xludf.DUMMYFUNCTION("IFERROR(REGEXEXTRACT(A54, ""res(269|122)""), ""none"")"),"269")</f>
        <v>269</v>
      </c>
      <c r="C54" s="1">
        <v>-15.694478</v>
      </c>
      <c r="D54" s="1">
        <v>9.0</v>
      </c>
      <c r="E54" s="1">
        <v>2.0</v>
      </c>
      <c r="F54" s="1">
        <v>0.333333</v>
      </c>
      <c r="G54" s="1">
        <v>3.0</v>
      </c>
      <c r="H54" s="1">
        <v>-0.857403999999999</v>
      </c>
      <c r="I54" s="1">
        <v>100.0</v>
      </c>
      <c r="J54" s="1">
        <v>0.0</v>
      </c>
      <c r="K54" s="1">
        <v>0.0</v>
      </c>
      <c r="L54" s="1">
        <v>97.781451</v>
      </c>
      <c r="M54" s="1" t="s">
        <v>471</v>
      </c>
    </row>
    <row r="55">
      <c r="A55" s="1" t="s">
        <v>900</v>
      </c>
      <c r="B55" s="1" t="str">
        <f>IFERROR(__xludf.DUMMYFUNCTION("IFERROR(REGEXEXTRACT(A55, ""res(269|122)""), ""none"")"),"122")</f>
        <v>122</v>
      </c>
      <c r="C55" s="1">
        <v>-15.476784</v>
      </c>
      <c r="D55" s="1">
        <v>9.0</v>
      </c>
      <c r="E55" s="1">
        <v>3.0</v>
      </c>
      <c r="F55" s="1">
        <v>0.333333</v>
      </c>
      <c r="G55" s="1">
        <v>2.0</v>
      </c>
      <c r="H55" s="1">
        <v>-1.337507</v>
      </c>
      <c r="I55" s="1">
        <v>100.0</v>
      </c>
      <c r="J55" s="1">
        <v>0.0</v>
      </c>
      <c r="K55" s="1">
        <v>0.0</v>
      </c>
      <c r="L55" s="1">
        <v>97.519042</v>
      </c>
      <c r="M55" s="1" t="s">
        <v>901</v>
      </c>
    </row>
    <row r="56">
      <c r="A56" s="1" t="s">
        <v>280</v>
      </c>
      <c r="B56" s="1" t="str">
        <f>IFERROR(__xludf.DUMMYFUNCTION("IFERROR(REGEXEXTRACT(A56, ""res(269|122)""), ""none"")"),"269")</f>
        <v>269</v>
      </c>
      <c r="C56" s="1">
        <v>-16.377062</v>
      </c>
      <c r="D56" s="1">
        <v>9.0</v>
      </c>
      <c r="E56" s="1">
        <v>1.0</v>
      </c>
      <c r="F56" s="1">
        <v>0.333333</v>
      </c>
      <c r="G56" s="1">
        <v>2.0</v>
      </c>
      <c r="H56" s="1">
        <v>-1.84415</v>
      </c>
      <c r="I56" s="1">
        <v>100.0</v>
      </c>
      <c r="J56" s="1">
        <v>0.0</v>
      </c>
      <c r="K56" s="1">
        <v>0.0</v>
      </c>
      <c r="L56" s="1">
        <v>94.112121</v>
      </c>
      <c r="M56" s="1" t="s">
        <v>126</v>
      </c>
    </row>
    <row r="57">
      <c r="A57" s="1" t="s">
        <v>472</v>
      </c>
      <c r="B57" s="1" t="str">
        <f>IFERROR(__xludf.DUMMYFUNCTION("IFERROR(REGEXEXTRACT(A57, ""res(269|122)""), ""none"")"),"269")</f>
        <v>269</v>
      </c>
      <c r="C57" s="1">
        <v>-15.903081</v>
      </c>
      <c r="D57" s="1">
        <v>7.0</v>
      </c>
      <c r="E57" s="1">
        <v>3.0</v>
      </c>
      <c r="F57" s="1">
        <v>0.285714</v>
      </c>
      <c r="G57" s="1">
        <v>2.0</v>
      </c>
      <c r="H57" s="1">
        <v>-0.636751</v>
      </c>
      <c r="I57" s="1">
        <v>100.0</v>
      </c>
      <c r="J57" s="1">
        <v>0.0</v>
      </c>
      <c r="K57" s="1">
        <v>0.0</v>
      </c>
      <c r="L57" s="1">
        <v>95.745882</v>
      </c>
      <c r="M57" s="1" t="s">
        <v>473</v>
      </c>
    </row>
    <row r="58">
      <c r="A58" s="1" t="s">
        <v>474</v>
      </c>
      <c r="B58" s="1" t="str">
        <f>IFERROR(__xludf.DUMMYFUNCTION("IFERROR(REGEXEXTRACT(A58, ""res(269|122)""), ""none"")"),"269")</f>
        <v>269</v>
      </c>
      <c r="C58" s="1">
        <v>-15.522765</v>
      </c>
      <c r="D58" s="1">
        <v>7.0</v>
      </c>
      <c r="E58" s="1">
        <v>3.0</v>
      </c>
      <c r="F58" s="1">
        <v>0.285714</v>
      </c>
      <c r="G58" s="1">
        <v>2.0</v>
      </c>
      <c r="H58" s="1">
        <v>-0.647722999999999</v>
      </c>
      <c r="I58" s="1">
        <v>100.0</v>
      </c>
      <c r="J58" s="1">
        <v>0.0</v>
      </c>
      <c r="K58" s="1">
        <v>0.0</v>
      </c>
      <c r="L58" s="1">
        <v>96.115226</v>
      </c>
      <c r="M58" s="1" t="s">
        <v>475</v>
      </c>
    </row>
    <row r="59">
      <c r="A59" s="1" t="s">
        <v>902</v>
      </c>
      <c r="B59" s="1" t="str">
        <f>IFERROR(__xludf.DUMMYFUNCTION("IFERROR(REGEXEXTRACT(A59, ""res(269|122)""), ""none"")"),"122")</f>
        <v>122</v>
      </c>
      <c r="C59" s="1">
        <v>-15.805707</v>
      </c>
      <c r="D59" s="1">
        <v>11.0</v>
      </c>
      <c r="E59" s="1">
        <v>4.0</v>
      </c>
      <c r="F59" s="1">
        <v>0.454545</v>
      </c>
      <c r="G59" s="1">
        <v>2.0</v>
      </c>
      <c r="H59" s="1">
        <v>-1.318406</v>
      </c>
      <c r="I59" s="1">
        <v>100.0</v>
      </c>
      <c r="J59" s="1">
        <v>0.0</v>
      </c>
      <c r="K59" s="1">
        <v>0.0</v>
      </c>
      <c r="L59" s="1">
        <v>100.330432</v>
      </c>
      <c r="M59" s="1" t="s">
        <v>903</v>
      </c>
    </row>
    <row r="60">
      <c r="A60" s="1" t="s">
        <v>202</v>
      </c>
      <c r="B60" s="1" t="str">
        <f>IFERROR(__xludf.DUMMYFUNCTION("IFERROR(REGEXEXTRACT(A60, ""res(269|122)""), ""none"")"),"122")</f>
        <v>122</v>
      </c>
      <c r="C60" s="1">
        <v>-15.642859</v>
      </c>
      <c r="D60" s="1">
        <v>11.0</v>
      </c>
      <c r="E60" s="1">
        <v>3.0</v>
      </c>
      <c r="F60" s="1">
        <v>0.272727</v>
      </c>
      <c r="G60" s="1">
        <v>2.0</v>
      </c>
      <c r="H60" s="1">
        <v>-1.1816</v>
      </c>
      <c r="I60" s="1">
        <v>100.0</v>
      </c>
      <c r="J60" s="1">
        <v>0.0</v>
      </c>
      <c r="K60" s="1">
        <v>0.0</v>
      </c>
      <c r="L60" s="1">
        <v>99.448268</v>
      </c>
      <c r="M60" s="1" t="s">
        <v>203</v>
      </c>
    </row>
    <row r="61">
      <c r="A61" s="1" t="s">
        <v>904</v>
      </c>
      <c r="B61" s="1" t="str">
        <f>IFERROR(__xludf.DUMMYFUNCTION("IFERROR(REGEXEXTRACT(A61, ""res(269|122)""), ""none"")"),"122")</f>
        <v>122</v>
      </c>
      <c r="C61" s="1">
        <v>-15.38509</v>
      </c>
      <c r="D61" s="1">
        <v>9.0</v>
      </c>
      <c r="E61" s="1">
        <v>4.0</v>
      </c>
      <c r="F61" s="1">
        <v>0.333333</v>
      </c>
      <c r="G61" s="1">
        <v>2.0</v>
      </c>
      <c r="H61" s="1">
        <v>-1.023251</v>
      </c>
      <c r="I61" s="1">
        <v>100.0</v>
      </c>
      <c r="J61" s="1">
        <v>0.0</v>
      </c>
      <c r="K61" s="1">
        <v>0.0</v>
      </c>
      <c r="L61" s="1">
        <v>98.924992</v>
      </c>
      <c r="M61" s="1" t="s">
        <v>905</v>
      </c>
    </row>
    <row r="62">
      <c r="A62" s="1" t="s">
        <v>281</v>
      </c>
      <c r="B62" s="1" t="str">
        <f>IFERROR(__xludf.DUMMYFUNCTION("IFERROR(REGEXEXTRACT(A62, ""res(269|122)""), ""none"")"),"269")</f>
        <v>269</v>
      </c>
      <c r="C62" s="1">
        <v>-15.737774</v>
      </c>
      <c r="D62" s="1">
        <v>8.0</v>
      </c>
      <c r="E62" s="1">
        <v>4.0</v>
      </c>
      <c r="F62" s="1">
        <v>0.375</v>
      </c>
      <c r="G62" s="1">
        <v>2.0</v>
      </c>
      <c r="H62" s="1">
        <v>-0.922352</v>
      </c>
      <c r="I62" s="1">
        <v>100.0</v>
      </c>
      <c r="J62" s="1">
        <v>0.0</v>
      </c>
      <c r="K62" s="1">
        <v>0.0</v>
      </c>
      <c r="L62" s="1">
        <v>97.714874</v>
      </c>
      <c r="M62" s="1" t="s">
        <v>282</v>
      </c>
    </row>
    <row r="63">
      <c r="A63" s="1" t="s">
        <v>906</v>
      </c>
      <c r="B63" s="1" t="str">
        <f>IFERROR(__xludf.DUMMYFUNCTION("IFERROR(REGEXEXTRACT(A63, ""res(269|122)""), ""none"")"),"122")</f>
        <v>122</v>
      </c>
      <c r="C63" s="1">
        <v>-15.399542</v>
      </c>
      <c r="D63" s="1">
        <v>10.0</v>
      </c>
      <c r="E63" s="1">
        <v>2.0</v>
      </c>
      <c r="F63" s="1">
        <v>0.6</v>
      </c>
      <c r="G63" s="1">
        <v>2.0</v>
      </c>
      <c r="H63" s="1">
        <v>-0.613366</v>
      </c>
      <c r="I63" s="1">
        <v>100.0</v>
      </c>
      <c r="J63" s="1">
        <v>0.0</v>
      </c>
      <c r="K63" s="1">
        <v>0.0</v>
      </c>
      <c r="L63" s="1">
        <v>98.587092</v>
      </c>
      <c r="M63" s="1" t="s">
        <v>907</v>
      </c>
    </row>
    <row r="64">
      <c r="A64" s="1" t="s">
        <v>283</v>
      </c>
      <c r="B64" s="1" t="str">
        <f>IFERROR(__xludf.DUMMYFUNCTION("IFERROR(REGEXEXTRACT(A64, ""res(269|122)""), ""none"")"),"269")</f>
        <v>269</v>
      </c>
      <c r="C64" s="1">
        <v>-16.004339</v>
      </c>
      <c r="D64" s="1">
        <v>7.0</v>
      </c>
      <c r="E64" s="1">
        <v>1.0</v>
      </c>
      <c r="F64" s="1">
        <v>0.285714</v>
      </c>
      <c r="G64" s="1">
        <v>2.0</v>
      </c>
      <c r="H64" s="1">
        <v>-0.643672</v>
      </c>
      <c r="I64" s="1">
        <v>100.0</v>
      </c>
      <c r="J64" s="1">
        <v>0.0</v>
      </c>
      <c r="K64" s="1">
        <v>0.0</v>
      </c>
      <c r="L64" s="1">
        <v>93.637703</v>
      </c>
      <c r="M64" s="1" t="s">
        <v>129</v>
      </c>
    </row>
    <row r="65">
      <c r="A65" s="1" t="s">
        <v>476</v>
      </c>
      <c r="B65" s="1" t="str">
        <f>IFERROR(__xludf.DUMMYFUNCTION("IFERROR(REGEXEXTRACT(A65, ""res(269|122)""), ""none"")"),"269")</f>
        <v>269</v>
      </c>
      <c r="C65" s="1">
        <v>-15.728531</v>
      </c>
      <c r="D65" s="1">
        <v>8.0</v>
      </c>
      <c r="E65" s="1">
        <v>3.0</v>
      </c>
      <c r="F65" s="1">
        <v>0.25</v>
      </c>
      <c r="G65" s="1">
        <v>2.0</v>
      </c>
      <c r="H65" s="1">
        <v>-1.51629</v>
      </c>
      <c r="I65" s="1">
        <v>100.0</v>
      </c>
      <c r="J65" s="1">
        <v>0.0</v>
      </c>
      <c r="K65" s="1">
        <v>0.0</v>
      </c>
      <c r="L65" s="1">
        <v>96.005179</v>
      </c>
      <c r="M65" s="1" t="s">
        <v>477</v>
      </c>
    </row>
    <row r="66">
      <c r="A66" s="1" t="s">
        <v>204</v>
      </c>
      <c r="B66" s="1" t="str">
        <f>IFERROR(__xludf.DUMMYFUNCTION("IFERROR(REGEXEXTRACT(A66, ""res(269|122)""), ""none"")"),"122")</f>
        <v>122</v>
      </c>
      <c r="C66" s="1">
        <v>-15.476613</v>
      </c>
      <c r="D66" s="1">
        <v>12.0</v>
      </c>
      <c r="E66" s="1">
        <v>4.0</v>
      </c>
      <c r="F66" s="1">
        <v>0.333333</v>
      </c>
      <c r="G66" s="1">
        <v>2.0</v>
      </c>
      <c r="H66" s="1">
        <v>-0.623346</v>
      </c>
      <c r="I66" s="1">
        <v>100.0</v>
      </c>
      <c r="J66" s="1">
        <v>0.0</v>
      </c>
      <c r="K66" s="1">
        <v>0.0</v>
      </c>
      <c r="L66" s="1">
        <v>102.233374</v>
      </c>
      <c r="M66" s="1" t="s">
        <v>99</v>
      </c>
    </row>
    <row r="67">
      <c r="A67" s="1" t="s">
        <v>478</v>
      </c>
      <c r="B67" s="1" t="str">
        <f>IFERROR(__xludf.DUMMYFUNCTION("IFERROR(REGEXEXTRACT(A67, ""res(269|122)""), ""none"")"),"269")</f>
        <v>269</v>
      </c>
      <c r="C67" s="1">
        <v>-15.352353</v>
      </c>
      <c r="D67" s="1">
        <v>8.0</v>
      </c>
      <c r="E67" s="1">
        <v>1.0</v>
      </c>
      <c r="F67" s="1">
        <v>0.25</v>
      </c>
      <c r="G67" s="1">
        <v>2.0</v>
      </c>
      <c r="H67" s="1">
        <v>-0.518455</v>
      </c>
      <c r="I67" s="1">
        <v>100.0</v>
      </c>
      <c r="J67" s="1">
        <v>0.0</v>
      </c>
      <c r="K67" s="1">
        <v>0.0</v>
      </c>
      <c r="L67" s="1">
        <v>95.379192</v>
      </c>
      <c r="M67" s="1" t="s">
        <v>479</v>
      </c>
    </row>
    <row r="68">
      <c r="A68" s="1" t="s">
        <v>205</v>
      </c>
      <c r="B68" s="1" t="str">
        <f>IFERROR(__xludf.DUMMYFUNCTION("IFERROR(REGEXEXTRACT(A68, ""res(269|122)""), ""none"")"),"122")</f>
        <v>122</v>
      </c>
      <c r="C68" s="1">
        <v>-16.216217</v>
      </c>
      <c r="D68" s="1">
        <v>7.0</v>
      </c>
      <c r="E68" s="1">
        <v>4.0</v>
      </c>
      <c r="F68" s="1">
        <v>0.285714</v>
      </c>
      <c r="G68" s="1">
        <v>2.0</v>
      </c>
      <c r="H68" s="1">
        <v>-0.930066</v>
      </c>
      <c r="I68" s="1">
        <v>100.0</v>
      </c>
      <c r="J68" s="1">
        <v>0.0</v>
      </c>
      <c r="K68" s="1">
        <v>0.0</v>
      </c>
      <c r="L68" s="1">
        <v>96.139431</v>
      </c>
      <c r="M68" s="1" t="s">
        <v>206</v>
      </c>
    </row>
    <row r="69">
      <c r="A69" s="1" t="s">
        <v>480</v>
      </c>
      <c r="B69" s="1" t="str">
        <f>IFERROR(__xludf.DUMMYFUNCTION("IFERROR(REGEXEXTRACT(A69, ""res(269|122)""), ""none"")"),"269")</f>
        <v>269</v>
      </c>
      <c r="C69" s="1">
        <v>-15.596951</v>
      </c>
      <c r="D69" s="1">
        <v>10.0</v>
      </c>
      <c r="E69" s="1">
        <v>3.0</v>
      </c>
      <c r="F69" s="1">
        <v>0.3</v>
      </c>
      <c r="G69" s="1">
        <v>2.0</v>
      </c>
      <c r="H69" s="1">
        <v>-0.973844</v>
      </c>
      <c r="I69" s="1">
        <v>100.0</v>
      </c>
      <c r="J69" s="1">
        <v>0.0</v>
      </c>
      <c r="K69" s="1">
        <v>0.0</v>
      </c>
      <c r="L69" s="1">
        <v>98.729205</v>
      </c>
      <c r="M69" s="1" t="s">
        <v>481</v>
      </c>
    </row>
    <row r="70">
      <c r="A70" s="1" t="s">
        <v>207</v>
      </c>
      <c r="B70" s="1" t="str">
        <f>IFERROR(__xludf.DUMMYFUNCTION("IFERROR(REGEXEXTRACT(A70, ""res(269|122)""), ""none"")"),"122")</f>
        <v>122</v>
      </c>
      <c r="C70" s="1">
        <v>-15.113702</v>
      </c>
      <c r="D70" s="1">
        <v>8.0</v>
      </c>
      <c r="E70" s="1">
        <v>3.0</v>
      </c>
      <c r="F70" s="1">
        <v>0.25</v>
      </c>
      <c r="G70" s="1">
        <v>2.0</v>
      </c>
      <c r="H70" s="1">
        <v>-0.761492</v>
      </c>
      <c r="I70" s="1">
        <v>100.0</v>
      </c>
      <c r="J70" s="1">
        <v>0.0</v>
      </c>
      <c r="K70" s="1">
        <v>0.0</v>
      </c>
      <c r="L70" s="1">
        <v>97.374806</v>
      </c>
      <c r="M70" s="1" t="s">
        <v>208</v>
      </c>
    </row>
    <row r="71">
      <c r="A71" s="1" t="s">
        <v>908</v>
      </c>
      <c r="B71" s="1" t="str">
        <f>IFERROR(__xludf.DUMMYFUNCTION("IFERROR(REGEXEXTRACT(A71, ""res(269|122)""), ""none"")"),"122")</f>
        <v>122</v>
      </c>
      <c r="C71" s="1">
        <v>-15.31518</v>
      </c>
      <c r="D71" s="1">
        <v>8.0</v>
      </c>
      <c r="E71" s="1">
        <v>4.0</v>
      </c>
      <c r="F71" s="1">
        <v>0.375</v>
      </c>
      <c r="G71" s="1">
        <v>2.0</v>
      </c>
      <c r="H71" s="1">
        <v>-1.223903</v>
      </c>
      <c r="I71" s="1">
        <v>100.0</v>
      </c>
      <c r="J71" s="1">
        <v>0.0</v>
      </c>
      <c r="K71" s="1">
        <v>0.0</v>
      </c>
      <c r="L71" s="1">
        <v>97.835917</v>
      </c>
      <c r="M71" s="1" t="s">
        <v>909</v>
      </c>
    </row>
    <row r="72">
      <c r="A72" s="1" t="s">
        <v>284</v>
      </c>
      <c r="B72" s="1" t="str">
        <f>IFERROR(__xludf.DUMMYFUNCTION("IFERROR(REGEXEXTRACT(A72, ""res(269|122)""), ""none"")"),"269")</f>
        <v>269</v>
      </c>
      <c r="C72" s="1">
        <v>-15.399039</v>
      </c>
      <c r="D72" s="1">
        <v>6.0</v>
      </c>
      <c r="E72" s="1">
        <v>3.0</v>
      </c>
      <c r="F72" s="1">
        <v>0.333333</v>
      </c>
      <c r="G72" s="1">
        <v>2.0</v>
      </c>
      <c r="H72" s="1">
        <v>-0.254448</v>
      </c>
      <c r="I72" s="1">
        <v>100.0</v>
      </c>
      <c r="J72" s="1">
        <v>0.0</v>
      </c>
      <c r="K72" s="1">
        <v>0.0</v>
      </c>
      <c r="L72" s="1">
        <v>95.679846</v>
      </c>
      <c r="M72" s="1" t="s">
        <v>285</v>
      </c>
    </row>
    <row r="73">
      <c r="A73" s="1" t="s">
        <v>286</v>
      </c>
      <c r="B73" s="1" t="str">
        <f>IFERROR(__xludf.DUMMYFUNCTION("IFERROR(REGEXEXTRACT(A73, ""res(269|122)""), ""none"")"),"269")</f>
        <v>269</v>
      </c>
      <c r="C73" s="1">
        <v>-15.848908</v>
      </c>
      <c r="D73" s="1">
        <v>8.0</v>
      </c>
      <c r="E73" s="1">
        <v>3.0</v>
      </c>
      <c r="F73" s="1">
        <v>0.375</v>
      </c>
      <c r="G73" s="1">
        <v>2.0</v>
      </c>
      <c r="H73" s="1">
        <v>-0.923644</v>
      </c>
      <c r="I73" s="1">
        <v>100.0</v>
      </c>
      <c r="J73" s="1">
        <v>0.0</v>
      </c>
      <c r="K73" s="1">
        <v>0.0</v>
      </c>
      <c r="L73" s="1">
        <v>96.602448</v>
      </c>
      <c r="M73" s="1" t="s">
        <v>287</v>
      </c>
    </row>
    <row r="74">
      <c r="A74" s="1" t="s">
        <v>482</v>
      </c>
      <c r="B74" s="1" t="str">
        <f>IFERROR(__xludf.DUMMYFUNCTION("IFERROR(REGEXEXTRACT(A74, ""res(269|122)""), ""none"")"),"269")</f>
        <v>269</v>
      </c>
      <c r="C74" s="1">
        <v>-15.495405</v>
      </c>
      <c r="D74" s="1">
        <v>9.0</v>
      </c>
      <c r="E74" s="1">
        <v>4.0</v>
      </c>
      <c r="F74" s="1">
        <v>0.333333</v>
      </c>
      <c r="G74" s="1">
        <v>2.0</v>
      </c>
      <c r="H74" s="1">
        <v>-0.620458</v>
      </c>
      <c r="I74" s="1">
        <v>100.0</v>
      </c>
      <c r="J74" s="1">
        <v>0.0</v>
      </c>
      <c r="K74" s="1">
        <v>0.0</v>
      </c>
      <c r="L74" s="1">
        <v>99.21747</v>
      </c>
      <c r="M74" s="1" t="s">
        <v>483</v>
      </c>
    </row>
    <row r="75">
      <c r="A75" s="1" t="s">
        <v>209</v>
      </c>
      <c r="B75" s="1" t="str">
        <f>IFERROR(__xludf.DUMMYFUNCTION("IFERROR(REGEXEXTRACT(A75, ""res(269|122)""), ""none"")"),"122")</f>
        <v>122</v>
      </c>
      <c r="C75" s="1">
        <v>-15.419001</v>
      </c>
      <c r="D75" s="1">
        <v>8.0</v>
      </c>
      <c r="E75" s="1">
        <v>5.0</v>
      </c>
      <c r="F75" s="1">
        <v>0.5</v>
      </c>
      <c r="G75" s="1">
        <v>3.0</v>
      </c>
      <c r="H75" s="1">
        <v>-1.097048</v>
      </c>
      <c r="I75" s="1">
        <v>100.0</v>
      </c>
      <c r="J75" s="1">
        <v>0.0</v>
      </c>
      <c r="K75" s="1">
        <v>0.0</v>
      </c>
      <c r="L75" s="1">
        <v>99.983951</v>
      </c>
      <c r="M75" s="1" t="s">
        <v>210</v>
      </c>
    </row>
    <row r="76">
      <c r="A76" s="1" t="s">
        <v>484</v>
      </c>
      <c r="B76" s="1" t="str">
        <f>IFERROR(__xludf.DUMMYFUNCTION("IFERROR(REGEXEXTRACT(A76, ""res(269|122)""), ""none"")"),"269")</f>
        <v>269</v>
      </c>
      <c r="C76" s="1">
        <v>-15.100581</v>
      </c>
      <c r="D76" s="1">
        <v>10.0</v>
      </c>
      <c r="E76" s="1">
        <v>3.0</v>
      </c>
      <c r="F76" s="1">
        <v>0.3</v>
      </c>
      <c r="G76" s="1">
        <v>2.0</v>
      </c>
      <c r="H76" s="1">
        <v>-0.870712</v>
      </c>
      <c r="I76" s="1">
        <v>100.0</v>
      </c>
      <c r="J76" s="1">
        <v>0.0</v>
      </c>
      <c r="K76" s="1">
        <v>0.0</v>
      </c>
      <c r="L76" s="1">
        <v>99.328707</v>
      </c>
      <c r="M76" s="1" t="s">
        <v>485</v>
      </c>
    </row>
    <row r="77">
      <c r="A77" s="1" t="s">
        <v>486</v>
      </c>
      <c r="B77" s="1" t="str">
        <f>IFERROR(__xludf.DUMMYFUNCTION("IFERROR(REGEXEXTRACT(A77, ""res(269|122)""), ""none"")"),"269")</f>
        <v>269</v>
      </c>
      <c r="C77" s="1">
        <v>-15.478127</v>
      </c>
      <c r="D77" s="1">
        <v>8.0</v>
      </c>
      <c r="E77" s="1">
        <v>3.0</v>
      </c>
      <c r="F77" s="1">
        <v>0.25</v>
      </c>
      <c r="G77" s="1">
        <v>3.0</v>
      </c>
      <c r="H77" s="1">
        <v>-1.86879</v>
      </c>
      <c r="I77" s="1">
        <v>100.0</v>
      </c>
      <c r="J77" s="1">
        <v>0.0</v>
      </c>
      <c r="K77" s="1">
        <v>0.0</v>
      </c>
      <c r="L77" s="1">
        <v>96.903083</v>
      </c>
      <c r="M77" s="1" t="s">
        <v>487</v>
      </c>
    </row>
    <row r="78">
      <c r="A78" s="1" t="s">
        <v>488</v>
      </c>
      <c r="B78" s="1" t="str">
        <f>IFERROR(__xludf.DUMMYFUNCTION("IFERROR(REGEXEXTRACT(A78, ""res(269|122)""), ""none"")"),"269")</f>
        <v>269</v>
      </c>
      <c r="C78" s="1">
        <v>-15.530742</v>
      </c>
      <c r="D78" s="1">
        <v>9.0</v>
      </c>
      <c r="E78" s="1">
        <v>2.0</v>
      </c>
      <c r="F78" s="1">
        <v>0.333333</v>
      </c>
      <c r="G78" s="1">
        <v>2.0</v>
      </c>
      <c r="H78" s="1">
        <v>-1.463579</v>
      </c>
      <c r="I78" s="1">
        <v>100.0</v>
      </c>
      <c r="J78" s="1">
        <v>0.0</v>
      </c>
      <c r="K78" s="1">
        <v>0.0</v>
      </c>
      <c r="L78" s="1">
        <v>96.339012</v>
      </c>
      <c r="M78" s="1" t="s">
        <v>489</v>
      </c>
    </row>
    <row r="79">
      <c r="A79" s="1" t="s">
        <v>910</v>
      </c>
      <c r="B79" s="1" t="str">
        <f>IFERROR(__xludf.DUMMYFUNCTION("IFERROR(REGEXEXTRACT(A79, ""res(269|122)""), ""none"")"),"122")</f>
        <v>122</v>
      </c>
      <c r="C79" s="1">
        <v>-15.898066</v>
      </c>
      <c r="D79" s="1">
        <v>10.0</v>
      </c>
      <c r="E79" s="1">
        <v>5.0</v>
      </c>
      <c r="F79" s="1">
        <v>0.3</v>
      </c>
      <c r="G79" s="1">
        <v>2.0</v>
      </c>
      <c r="H79" s="1">
        <v>-0.756596</v>
      </c>
      <c r="I79" s="1">
        <v>100.0</v>
      </c>
      <c r="J79" s="1">
        <v>0.0</v>
      </c>
      <c r="K79" s="1">
        <v>0.0</v>
      </c>
      <c r="L79" s="1">
        <v>100.645338</v>
      </c>
      <c r="M79" s="1" t="s">
        <v>911</v>
      </c>
    </row>
    <row r="80">
      <c r="A80" s="1" t="s">
        <v>912</v>
      </c>
      <c r="B80" s="1" t="str">
        <f>IFERROR(__xludf.DUMMYFUNCTION("IFERROR(REGEXEXTRACT(A80, ""res(269|122)""), ""none"")"),"122")</f>
        <v>122</v>
      </c>
      <c r="C80" s="1">
        <v>-15.987933</v>
      </c>
      <c r="D80" s="1">
        <v>8.0</v>
      </c>
      <c r="E80" s="1">
        <v>4.0</v>
      </c>
      <c r="F80" s="1">
        <v>0.25</v>
      </c>
      <c r="G80" s="1">
        <v>2.0</v>
      </c>
      <c r="H80" s="1">
        <v>-1.336909</v>
      </c>
      <c r="I80" s="1">
        <v>100.0</v>
      </c>
      <c r="J80" s="1">
        <v>0.0</v>
      </c>
      <c r="K80" s="1">
        <v>0.0</v>
      </c>
      <c r="L80" s="1">
        <v>96.925158</v>
      </c>
      <c r="M80" s="1" t="s">
        <v>913</v>
      </c>
    </row>
    <row r="81">
      <c r="A81" s="1" t="s">
        <v>490</v>
      </c>
      <c r="B81" s="1" t="str">
        <f>IFERROR(__xludf.DUMMYFUNCTION("IFERROR(REGEXEXTRACT(A81, ""res(269|122)""), ""none"")"),"269")</f>
        <v>269</v>
      </c>
      <c r="C81" s="1">
        <v>-15.026162</v>
      </c>
      <c r="D81" s="1">
        <v>8.0</v>
      </c>
      <c r="E81" s="1">
        <v>2.0</v>
      </c>
      <c r="F81" s="1">
        <v>0.5</v>
      </c>
      <c r="G81" s="1">
        <v>2.0</v>
      </c>
      <c r="H81" s="1">
        <v>-1.219584</v>
      </c>
      <c r="I81" s="1">
        <v>100.0</v>
      </c>
      <c r="J81" s="1">
        <v>0.0</v>
      </c>
      <c r="K81" s="1">
        <v>0.0</v>
      </c>
      <c r="L81" s="1">
        <v>96.254254</v>
      </c>
      <c r="M81" s="1" t="s">
        <v>491</v>
      </c>
    </row>
    <row r="82">
      <c r="A82" s="1" t="s">
        <v>492</v>
      </c>
      <c r="B82" s="1" t="str">
        <f>IFERROR(__xludf.DUMMYFUNCTION("IFERROR(REGEXEXTRACT(A82, ""res(269|122)""), ""none"")"),"269")</f>
        <v>269</v>
      </c>
      <c r="C82" s="1">
        <v>-15.026162</v>
      </c>
      <c r="D82" s="1">
        <v>8.0</v>
      </c>
      <c r="E82" s="1">
        <v>2.0</v>
      </c>
      <c r="F82" s="1">
        <v>0.5</v>
      </c>
      <c r="G82" s="1">
        <v>2.0</v>
      </c>
      <c r="H82" s="1">
        <v>-1.219584</v>
      </c>
      <c r="I82" s="1">
        <v>100.0</v>
      </c>
      <c r="J82" s="1">
        <v>0.0</v>
      </c>
      <c r="K82" s="1">
        <v>0.0</v>
      </c>
      <c r="L82" s="1">
        <v>96.254254</v>
      </c>
      <c r="M82" s="1" t="s">
        <v>493</v>
      </c>
    </row>
    <row r="83">
      <c r="A83" s="1" t="s">
        <v>914</v>
      </c>
      <c r="B83" s="1" t="str">
        <f>IFERROR(__xludf.DUMMYFUNCTION("IFERROR(REGEXEXTRACT(A83, ""res(269|122)""), ""none"")"),"122")</f>
        <v>122</v>
      </c>
      <c r="C83" s="1">
        <v>-15.292696</v>
      </c>
      <c r="D83" s="1">
        <v>11.0</v>
      </c>
      <c r="E83" s="1">
        <v>2.0</v>
      </c>
      <c r="F83" s="1">
        <v>0.272727</v>
      </c>
      <c r="G83" s="1">
        <v>2.0</v>
      </c>
      <c r="H83" s="1">
        <v>-0.566388</v>
      </c>
      <c r="I83" s="1">
        <v>100.0</v>
      </c>
      <c r="J83" s="1">
        <v>0.0</v>
      </c>
      <c r="K83" s="1">
        <v>0.0</v>
      </c>
      <c r="L83" s="1">
        <v>99.413643</v>
      </c>
      <c r="M83" s="1" t="s">
        <v>915</v>
      </c>
    </row>
    <row r="84">
      <c r="A84" s="1" t="s">
        <v>494</v>
      </c>
      <c r="B84" s="1" t="str">
        <f>IFERROR(__xludf.DUMMYFUNCTION("IFERROR(REGEXEXTRACT(A84, ""res(269|122)""), ""none"")"),"269")</f>
        <v>269</v>
      </c>
      <c r="C84" s="1">
        <v>-15.558252</v>
      </c>
      <c r="D84" s="1">
        <v>8.0</v>
      </c>
      <c r="E84" s="1">
        <v>5.0</v>
      </c>
      <c r="F84" s="1">
        <v>0.25</v>
      </c>
      <c r="G84" s="1">
        <v>2.0</v>
      </c>
      <c r="H84" s="1">
        <v>-0.605641</v>
      </c>
      <c r="I84" s="1">
        <v>100.0</v>
      </c>
      <c r="J84" s="1">
        <v>0.0</v>
      </c>
      <c r="K84" s="1">
        <v>0.0</v>
      </c>
      <c r="L84" s="1">
        <v>99.086107</v>
      </c>
      <c r="M84" s="1" t="s">
        <v>495</v>
      </c>
    </row>
    <row r="85">
      <c r="A85" s="1" t="s">
        <v>496</v>
      </c>
      <c r="B85" s="1" t="str">
        <f>IFERROR(__xludf.DUMMYFUNCTION("IFERROR(REGEXEXTRACT(A85, ""res(269|122)""), ""none"")"),"269")</f>
        <v>269</v>
      </c>
      <c r="C85" s="1">
        <v>-15.806081</v>
      </c>
      <c r="D85" s="1">
        <v>8.0</v>
      </c>
      <c r="E85" s="1">
        <v>2.0</v>
      </c>
      <c r="F85" s="1">
        <v>0.25</v>
      </c>
      <c r="G85" s="1">
        <v>2.0</v>
      </c>
      <c r="H85" s="1">
        <v>-1.085431</v>
      </c>
      <c r="I85" s="1">
        <v>100.0</v>
      </c>
      <c r="J85" s="1">
        <v>0.0</v>
      </c>
      <c r="K85" s="1">
        <v>0.0</v>
      </c>
      <c r="L85" s="1">
        <v>95.358488</v>
      </c>
      <c r="M85" s="1" t="s">
        <v>497</v>
      </c>
    </row>
    <row r="86">
      <c r="A86" s="1" t="s">
        <v>916</v>
      </c>
      <c r="B86" s="1" t="str">
        <f>IFERROR(__xludf.DUMMYFUNCTION("IFERROR(REGEXEXTRACT(A86, ""res(269|122)""), ""none"")"),"122")</f>
        <v>122</v>
      </c>
      <c r="C86" s="1">
        <v>-15.186457</v>
      </c>
      <c r="D86" s="1">
        <v>8.0</v>
      </c>
      <c r="E86" s="1">
        <v>2.0</v>
      </c>
      <c r="F86" s="1">
        <v>0.25</v>
      </c>
      <c r="G86" s="1">
        <v>2.0</v>
      </c>
      <c r="H86" s="1">
        <v>-1.2613</v>
      </c>
      <c r="I86" s="1">
        <v>100.0</v>
      </c>
      <c r="J86" s="1">
        <v>0.0</v>
      </c>
      <c r="K86" s="1">
        <v>0.0</v>
      </c>
      <c r="L86" s="1">
        <v>95.802243</v>
      </c>
      <c r="M86" s="1" t="s">
        <v>917</v>
      </c>
    </row>
    <row r="87">
      <c r="A87" s="1" t="s">
        <v>288</v>
      </c>
      <c r="B87" s="1" t="str">
        <f>IFERROR(__xludf.DUMMYFUNCTION("IFERROR(REGEXEXTRACT(A87, ""res(269|122)""), ""none"")"),"269")</f>
        <v>269</v>
      </c>
      <c r="C87" s="1">
        <v>-15.111049</v>
      </c>
      <c r="D87" s="1">
        <v>8.0</v>
      </c>
      <c r="E87" s="1">
        <v>4.0</v>
      </c>
      <c r="F87" s="1">
        <v>0.5</v>
      </c>
      <c r="G87" s="1">
        <v>3.0</v>
      </c>
      <c r="H87" s="1">
        <v>-1.48802099999999</v>
      </c>
      <c r="I87" s="1">
        <v>100.0</v>
      </c>
      <c r="J87" s="1">
        <v>0.0</v>
      </c>
      <c r="K87" s="1">
        <v>0.0</v>
      </c>
      <c r="L87" s="1">
        <v>98.90093</v>
      </c>
      <c r="M87" s="1" t="s">
        <v>80</v>
      </c>
    </row>
    <row r="88">
      <c r="A88" s="1" t="s">
        <v>918</v>
      </c>
      <c r="B88" s="1" t="str">
        <f>IFERROR(__xludf.DUMMYFUNCTION("IFERROR(REGEXEXTRACT(A88, ""res(269|122)""), ""none"")"),"122")</f>
        <v>122</v>
      </c>
      <c r="C88" s="1">
        <v>-16.198358</v>
      </c>
      <c r="D88" s="1">
        <v>8.0</v>
      </c>
      <c r="E88" s="1">
        <v>4.0</v>
      </c>
      <c r="F88" s="1">
        <v>0.25</v>
      </c>
      <c r="G88" s="1">
        <v>2.0</v>
      </c>
      <c r="H88" s="1">
        <v>-0.652775</v>
      </c>
      <c r="I88" s="1">
        <v>100.0</v>
      </c>
      <c r="J88" s="1">
        <v>0.0</v>
      </c>
      <c r="K88" s="1">
        <v>0.0</v>
      </c>
      <c r="L88" s="1">
        <v>97.398867</v>
      </c>
      <c r="M88" s="1" t="s">
        <v>919</v>
      </c>
    </row>
    <row r="89">
      <c r="A89" s="1" t="s">
        <v>920</v>
      </c>
      <c r="B89" s="1" t="str">
        <f>IFERROR(__xludf.DUMMYFUNCTION("IFERROR(REGEXEXTRACT(A89, ""res(269|122)""), ""none"")"),"122")</f>
        <v>122</v>
      </c>
      <c r="C89" s="1">
        <v>-16.731063</v>
      </c>
      <c r="D89" s="1">
        <v>8.0</v>
      </c>
      <c r="E89" s="1">
        <v>4.0</v>
      </c>
      <c r="F89" s="1">
        <v>0.25</v>
      </c>
      <c r="G89" s="1">
        <v>2.0</v>
      </c>
      <c r="H89" s="1">
        <v>-0.330589</v>
      </c>
      <c r="I89" s="1">
        <v>100.0</v>
      </c>
      <c r="J89" s="1">
        <v>0.0</v>
      </c>
      <c r="K89" s="1">
        <v>0.0</v>
      </c>
      <c r="L89" s="1">
        <v>97.188348</v>
      </c>
      <c r="M89" s="1" t="s">
        <v>921</v>
      </c>
    </row>
    <row r="90">
      <c r="A90" s="1" t="s">
        <v>498</v>
      </c>
      <c r="B90" s="1" t="str">
        <f>IFERROR(__xludf.DUMMYFUNCTION("IFERROR(REGEXEXTRACT(A90, ""res(269|122)""), ""none"")"),"269")</f>
        <v>269</v>
      </c>
      <c r="C90" s="1">
        <v>-15.229256</v>
      </c>
      <c r="D90" s="1">
        <v>7.0</v>
      </c>
      <c r="E90" s="1">
        <v>3.0</v>
      </c>
      <c r="F90" s="1">
        <v>0.428571</v>
      </c>
      <c r="G90" s="1">
        <v>2.0</v>
      </c>
      <c r="H90" s="1">
        <v>-0.96092</v>
      </c>
      <c r="I90" s="1">
        <v>100.0</v>
      </c>
      <c r="J90" s="1">
        <v>0.0</v>
      </c>
      <c r="K90" s="1">
        <v>0.0</v>
      </c>
      <c r="L90" s="1">
        <v>96.238395</v>
      </c>
      <c r="M90" s="1" t="s">
        <v>499</v>
      </c>
    </row>
    <row r="91">
      <c r="A91" s="1" t="s">
        <v>211</v>
      </c>
      <c r="B91" s="1" t="str">
        <f>IFERROR(__xludf.DUMMYFUNCTION("IFERROR(REGEXEXTRACT(A91, ""res(269|122)""), ""none"")"),"122")</f>
        <v>122</v>
      </c>
      <c r="C91" s="1">
        <v>-15.695975</v>
      </c>
      <c r="D91" s="1">
        <v>7.0</v>
      </c>
      <c r="E91" s="1">
        <v>5.0</v>
      </c>
      <c r="F91" s="1">
        <v>0.428571</v>
      </c>
      <c r="G91" s="1">
        <v>2.0</v>
      </c>
      <c r="H91" s="1">
        <v>-0.51858</v>
      </c>
      <c r="I91" s="1">
        <v>100.0</v>
      </c>
      <c r="J91" s="1">
        <v>0.0</v>
      </c>
      <c r="K91" s="1">
        <v>0.0</v>
      </c>
      <c r="L91" s="1">
        <v>98.214016</v>
      </c>
      <c r="M91" s="1" t="s">
        <v>212</v>
      </c>
    </row>
    <row r="92">
      <c r="A92" s="1" t="s">
        <v>922</v>
      </c>
      <c r="B92" s="1" t="str">
        <f>IFERROR(__xludf.DUMMYFUNCTION("IFERROR(REGEXEXTRACT(A92, ""res(269|122)""), ""none"")"),"122")</f>
        <v>122</v>
      </c>
      <c r="C92" s="1">
        <v>-15.855765</v>
      </c>
      <c r="D92" s="1">
        <v>7.0</v>
      </c>
      <c r="E92" s="1">
        <v>3.0</v>
      </c>
      <c r="F92" s="1">
        <v>0.285714</v>
      </c>
      <c r="G92" s="1">
        <v>2.0</v>
      </c>
      <c r="H92" s="1">
        <v>-0.404817</v>
      </c>
      <c r="I92" s="1">
        <v>100.0</v>
      </c>
      <c r="J92" s="1">
        <v>0.0</v>
      </c>
      <c r="K92" s="1">
        <v>0.0</v>
      </c>
      <c r="L92" s="1">
        <v>96.025132</v>
      </c>
      <c r="M92" s="1" t="s">
        <v>923</v>
      </c>
    </row>
    <row r="93">
      <c r="A93" s="1" t="s">
        <v>924</v>
      </c>
      <c r="B93" s="1" t="str">
        <f>IFERROR(__xludf.DUMMYFUNCTION("IFERROR(REGEXEXTRACT(A93, ""res(269|122)""), ""none"")"),"122")</f>
        <v>122</v>
      </c>
      <c r="C93" s="1">
        <v>-16.725242</v>
      </c>
      <c r="D93" s="1">
        <v>10.0</v>
      </c>
      <c r="E93" s="1">
        <v>4.0</v>
      </c>
      <c r="F93" s="1">
        <v>0.3</v>
      </c>
      <c r="G93" s="1">
        <v>2.0</v>
      </c>
      <c r="H93" s="1">
        <v>-1.11447299999999</v>
      </c>
      <c r="I93" s="1">
        <v>100.0</v>
      </c>
      <c r="J93" s="1">
        <v>0.0</v>
      </c>
      <c r="K93" s="1">
        <v>0.0</v>
      </c>
      <c r="L93" s="1">
        <v>98.460285</v>
      </c>
      <c r="M93" s="1" t="s">
        <v>925</v>
      </c>
    </row>
    <row r="94">
      <c r="A94" s="1" t="s">
        <v>926</v>
      </c>
      <c r="B94" s="1" t="str">
        <f>IFERROR(__xludf.DUMMYFUNCTION("IFERROR(REGEXEXTRACT(A94, ""res(269|122)""), ""none"")"),"122")</f>
        <v>122</v>
      </c>
      <c r="C94" s="1">
        <v>-15.350543</v>
      </c>
      <c r="D94" s="1">
        <v>9.0</v>
      </c>
      <c r="E94" s="1">
        <v>4.0</v>
      </c>
      <c r="F94" s="1">
        <v>0.333333</v>
      </c>
      <c r="G94" s="1">
        <v>2.0</v>
      </c>
      <c r="H94" s="1">
        <v>-0.784927</v>
      </c>
      <c r="I94" s="1">
        <v>100.0</v>
      </c>
      <c r="J94" s="1">
        <v>0.0</v>
      </c>
      <c r="K94" s="1">
        <v>0.0</v>
      </c>
      <c r="L94" s="1">
        <v>99.197863</v>
      </c>
      <c r="M94" s="1" t="s">
        <v>927</v>
      </c>
    </row>
    <row r="95">
      <c r="A95" s="1" t="s">
        <v>500</v>
      </c>
      <c r="B95" s="1" t="str">
        <f>IFERROR(__xludf.DUMMYFUNCTION("IFERROR(REGEXEXTRACT(A95, ""res(269|122)""), ""none"")"),"269")</f>
        <v>269</v>
      </c>
      <c r="C95" s="1">
        <v>-16.557156</v>
      </c>
      <c r="D95" s="1">
        <v>8.0</v>
      </c>
      <c r="E95" s="1">
        <v>2.0</v>
      </c>
      <c r="F95" s="1">
        <v>0.25</v>
      </c>
      <c r="G95" s="1">
        <v>2.0</v>
      </c>
      <c r="H95" s="1">
        <v>-0.52554</v>
      </c>
      <c r="I95" s="1">
        <v>100.0</v>
      </c>
      <c r="J95" s="1">
        <v>0.0</v>
      </c>
      <c r="K95" s="1">
        <v>0.0</v>
      </c>
      <c r="L95" s="1">
        <v>95.167304</v>
      </c>
      <c r="M95" s="1" t="s">
        <v>501</v>
      </c>
    </row>
    <row r="96">
      <c r="A96" s="1" t="s">
        <v>289</v>
      </c>
      <c r="B96" s="1" t="str">
        <f>IFERROR(__xludf.DUMMYFUNCTION("IFERROR(REGEXEXTRACT(A96, ""res(269|122)""), ""none"")"),"269")</f>
        <v>269</v>
      </c>
      <c r="C96" s="1">
        <v>-15.62437</v>
      </c>
      <c r="D96" s="1">
        <v>8.0</v>
      </c>
      <c r="E96" s="1">
        <v>3.0</v>
      </c>
      <c r="F96" s="1">
        <v>0.25</v>
      </c>
      <c r="G96" s="1">
        <v>2.0</v>
      </c>
      <c r="H96" s="1">
        <v>-0.578782</v>
      </c>
      <c r="I96" s="1">
        <v>100.0</v>
      </c>
      <c r="J96" s="1">
        <v>0.0</v>
      </c>
      <c r="K96" s="1">
        <v>0.0</v>
      </c>
      <c r="L96" s="1">
        <v>97.046848</v>
      </c>
      <c r="M96" s="1" t="s">
        <v>290</v>
      </c>
    </row>
    <row r="97">
      <c r="A97" s="1" t="s">
        <v>928</v>
      </c>
      <c r="B97" s="1" t="str">
        <f>IFERROR(__xludf.DUMMYFUNCTION("IFERROR(REGEXEXTRACT(A97, ""res(269|122)""), ""none"")"),"122")</f>
        <v>122</v>
      </c>
      <c r="C97" s="1">
        <v>-16.543963</v>
      </c>
      <c r="D97" s="1">
        <v>7.0</v>
      </c>
      <c r="E97" s="1">
        <v>4.0</v>
      </c>
      <c r="F97" s="1">
        <v>0.285714</v>
      </c>
      <c r="G97" s="1">
        <v>2.0</v>
      </c>
      <c r="H97" s="1">
        <v>-1.827052</v>
      </c>
      <c r="I97" s="1">
        <v>100.0</v>
      </c>
      <c r="J97" s="1">
        <v>0.0</v>
      </c>
      <c r="K97" s="1">
        <v>0.0</v>
      </c>
      <c r="L97" s="1">
        <v>94.914699</v>
      </c>
      <c r="M97" s="1" t="s">
        <v>929</v>
      </c>
    </row>
    <row r="98">
      <c r="A98" s="1" t="s">
        <v>930</v>
      </c>
      <c r="B98" s="1" t="str">
        <f>IFERROR(__xludf.DUMMYFUNCTION("IFERROR(REGEXEXTRACT(A98, ""res(269|122)""), ""none"")"),"122")</f>
        <v>122</v>
      </c>
      <c r="C98" s="1">
        <v>-16.543963</v>
      </c>
      <c r="D98" s="1">
        <v>7.0</v>
      </c>
      <c r="E98" s="1">
        <v>4.0</v>
      </c>
      <c r="F98" s="1">
        <v>0.285714</v>
      </c>
      <c r="G98" s="1">
        <v>2.0</v>
      </c>
      <c r="H98" s="1">
        <v>-1.827052</v>
      </c>
      <c r="I98" s="1">
        <v>100.0</v>
      </c>
      <c r="J98" s="1">
        <v>0.0</v>
      </c>
      <c r="K98" s="1">
        <v>0.0</v>
      </c>
      <c r="L98" s="1">
        <v>94.914699</v>
      </c>
      <c r="M98" s="1" t="s">
        <v>931</v>
      </c>
    </row>
    <row r="99">
      <c r="A99" s="1" t="s">
        <v>502</v>
      </c>
      <c r="B99" s="1" t="str">
        <f>IFERROR(__xludf.DUMMYFUNCTION("IFERROR(REGEXEXTRACT(A99, ""res(269|122)""), ""none"")"),"269")</f>
        <v>269</v>
      </c>
      <c r="C99" s="1">
        <v>-15.732571</v>
      </c>
      <c r="D99" s="1">
        <v>7.0</v>
      </c>
      <c r="E99" s="1">
        <v>2.0</v>
      </c>
      <c r="F99" s="1">
        <v>0.428571</v>
      </c>
      <c r="G99" s="1">
        <v>2.0</v>
      </c>
      <c r="H99" s="1">
        <v>-0.385637</v>
      </c>
      <c r="I99" s="1">
        <v>100.0</v>
      </c>
      <c r="J99" s="1">
        <v>0.0</v>
      </c>
      <c r="K99" s="1">
        <v>0.0</v>
      </c>
      <c r="L99" s="1">
        <v>95.310363</v>
      </c>
      <c r="M99" s="1" t="s">
        <v>503</v>
      </c>
    </row>
    <row r="100">
      <c r="A100" s="1" t="s">
        <v>504</v>
      </c>
      <c r="B100" s="1" t="str">
        <f>IFERROR(__xludf.DUMMYFUNCTION("IFERROR(REGEXEXTRACT(A100, ""res(269|122)""), ""none"")"),"269")</f>
        <v>269</v>
      </c>
      <c r="C100" s="1">
        <v>-17.047287</v>
      </c>
      <c r="D100" s="1">
        <v>8.0</v>
      </c>
      <c r="E100" s="1">
        <v>2.0</v>
      </c>
      <c r="F100" s="1">
        <v>0.25</v>
      </c>
      <c r="G100" s="1">
        <v>2.0</v>
      </c>
      <c r="H100" s="1">
        <v>-1.214723</v>
      </c>
      <c r="I100" s="1">
        <v>100.0</v>
      </c>
      <c r="J100" s="1">
        <v>0.0</v>
      </c>
      <c r="K100" s="1">
        <v>0.0</v>
      </c>
      <c r="L100" s="1">
        <v>93.98799</v>
      </c>
      <c r="M100" s="1" t="s">
        <v>505</v>
      </c>
    </row>
    <row r="101">
      <c r="A101" s="1" t="s">
        <v>291</v>
      </c>
      <c r="B101" s="1" t="str">
        <f>IFERROR(__xludf.DUMMYFUNCTION("IFERROR(REGEXEXTRACT(A101, ""res(269|122)""), ""none"")"),"269")</f>
        <v>269</v>
      </c>
      <c r="C101" s="1">
        <v>-16.657537</v>
      </c>
      <c r="D101" s="1">
        <v>10.0</v>
      </c>
      <c r="E101" s="1">
        <v>3.0</v>
      </c>
      <c r="F101" s="1">
        <v>0.3</v>
      </c>
      <c r="G101" s="1">
        <v>2.0</v>
      </c>
      <c r="H101" s="1">
        <v>-1.135125</v>
      </c>
      <c r="I101" s="1">
        <v>100.0</v>
      </c>
      <c r="J101" s="1">
        <v>0.0</v>
      </c>
      <c r="K101" s="1">
        <v>0.0</v>
      </c>
      <c r="L101" s="1">
        <v>97.507338</v>
      </c>
      <c r="M101" s="1" t="s">
        <v>292</v>
      </c>
    </row>
    <row r="102">
      <c r="A102" s="1" t="s">
        <v>293</v>
      </c>
      <c r="B102" s="1" t="str">
        <f>IFERROR(__xludf.DUMMYFUNCTION("IFERROR(REGEXEXTRACT(A102, ""res(269|122)""), ""none"")"),"269")</f>
        <v>269</v>
      </c>
      <c r="C102" s="1">
        <v>-15.0051</v>
      </c>
      <c r="D102" s="1">
        <v>8.0</v>
      </c>
      <c r="E102" s="1">
        <v>1.0</v>
      </c>
      <c r="F102" s="1">
        <v>0.25</v>
      </c>
      <c r="G102" s="1">
        <v>3.0</v>
      </c>
      <c r="H102" s="1">
        <v>-2.024033</v>
      </c>
      <c r="I102" s="1">
        <v>100.0</v>
      </c>
      <c r="J102" s="1">
        <v>0.0</v>
      </c>
      <c r="K102" s="1">
        <v>0.0</v>
      </c>
      <c r="L102" s="1">
        <v>95.220867</v>
      </c>
      <c r="M102" s="1" t="s">
        <v>294</v>
      </c>
    </row>
    <row r="103">
      <c r="A103" s="1" t="s">
        <v>295</v>
      </c>
      <c r="B103" s="1" t="str">
        <f>IFERROR(__xludf.DUMMYFUNCTION("IFERROR(REGEXEXTRACT(A103, ""res(269|122)""), ""none"")"),"269")</f>
        <v>269</v>
      </c>
      <c r="C103" s="1">
        <v>-15.787491</v>
      </c>
      <c r="D103" s="1">
        <v>6.0</v>
      </c>
      <c r="E103" s="1">
        <v>2.0</v>
      </c>
      <c r="F103" s="1">
        <v>0.333333</v>
      </c>
      <c r="G103" s="1">
        <v>3.0</v>
      </c>
      <c r="H103" s="1">
        <v>-1.153959</v>
      </c>
      <c r="I103" s="1">
        <v>100.0</v>
      </c>
      <c r="J103" s="1">
        <v>0.0</v>
      </c>
      <c r="K103" s="1">
        <v>0.0</v>
      </c>
      <c r="L103" s="1">
        <v>94.391883</v>
      </c>
      <c r="M103" s="1" t="s">
        <v>132</v>
      </c>
    </row>
    <row r="104">
      <c r="A104" s="1" t="s">
        <v>296</v>
      </c>
      <c r="B104" s="1" t="str">
        <f>IFERROR(__xludf.DUMMYFUNCTION("IFERROR(REGEXEXTRACT(A104, ""res(269|122)""), ""none"")"),"269")</f>
        <v>269</v>
      </c>
      <c r="C104" s="1">
        <v>-16.526444</v>
      </c>
      <c r="D104" s="1">
        <v>7.0</v>
      </c>
      <c r="E104" s="1">
        <v>3.0</v>
      </c>
      <c r="F104" s="1">
        <v>0.428571</v>
      </c>
      <c r="G104" s="1">
        <v>3.0</v>
      </c>
      <c r="H104" s="1">
        <v>-1.370961</v>
      </c>
      <c r="I104" s="1">
        <v>100.0</v>
      </c>
      <c r="J104" s="1">
        <v>0.0</v>
      </c>
      <c r="K104" s="1">
        <v>0.0</v>
      </c>
      <c r="L104" s="1">
        <v>95.531166</v>
      </c>
      <c r="M104" s="1" t="s">
        <v>135</v>
      </c>
    </row>
    <row r="105">
      <c r="A105" s="1" t="s">
        <v>506</v>
      </c>
      <c r="B105" s="1" t="str">
        <f>IFERROR(__xludf.DUMMYFUNCTION("IFERROR(REGEXEXTRACT(A105, ""res(269|122)""), ""none"")"),"269")</f>
        <v>269</v>
      </c>
      <c r="C105" s="1">
        <v>-15.26509</v>
      </c>
      <c r="D105" s="1">
        <v>12.0</v>
      </c>
      <c r="E105" s="1">
        <v>4.0</v>
      </c>
      <c r="F105" s="1">
        <v>0.25</v>
      </c>
      <c r="G105" s="1">
        <v>3.0</v>
      </c>
      <c r="H105" s="1">
        <v>-1.724141</v>
      </c>
      <c r="I105" s="1">
        <v>100.0</v>
      </c>
      <c r="J105" s="1">
        <v>0.0</v>
      </c>
      <c r="K105" s="1">
        <v>0.0</v>
      </c>
      <c r="L105" s="1">
        <v>102.260769</v>
      </c>
      <c r="M105" s="1" t="s">
        <v>507</v>
      </c>
    </row>
    <row r="106">
      <c r="A106" s="1" t="s">
        <v>213</v>
      </c>
      <c r="B106" s="1" t="str">
        <f>IFERROR(__xludf.DUMMYFUNCTION("IFERROR(REGEXEXTRACT(A106, ""res(269|122)""), ""none"")"),"122")</f>
        <v>122</v>
      </c>
      <c r="C106" s="1">
        <v>-15.040718</v>
      </c>
      <c r="D106" s="1">
        <v>6.0</v>
      </c>
      <c r="E106" s="1">
        <v>3.0</v>
      </c>
      <c r="F106" s="1">
        <v>0.333333</v>
      </c>
      <c r="G106" s="1">
        <v>2.0</v>
      </c>
      <c r="H106" s="1">
        <v>-1.138986</v>
      </c>
      <c r="I106" s="1">
        <v>100.0</v>
      </c>
      <c r="J106" s="1">
        <v>0.0</v>
      </c>
      <c r="K106" s="1">
        <v>0.0</v>
      </c>
      <c r="L106" s="1">
        <v>95.153629</v>
      </c>
      <c r="M106" s="1" t="s">
        <v>40</v>
      </c>
    </row>
    <row r="107">
      <c r="A107" s="1" t="s">
        <v>508</v>
      </c>
      <c r="B107" s="1" t="str">
        <f>IFERROR(__xludf.DUMMYFUNCTION("IFERROR(REGEXEXTRACT(A107, ""res(269|122)""), ""none"")"),"269")</f>
        <v>269</v>
      </c>
      <c r="C107" s="1">
        <v>-15.34782</v>
      </c>
      <c r="D107" s="1">
        <v>10.0</v>
      </c>
      <c r="E107" s="1">
        <v>2.0</v>
      </c>
      <c r="F107" s="1">
        <v>0.3</v>
      </c>
      <c r="G107" s="1">
        <v>2.0</v>
      </c>
      <c r="H107" s="1">
        <v>-0.762442</v>
      </c>
      <c r="I107" s="1">
        <v>100.0</v>
      </c>
      <c r="J107" s="1">
        <v>0.0</v>
      </c>
      <c r="K107" s="1">
        <v>0.0</v>
      </c>
      <c r="L107" s="1">
        <v>98.189738</v>
      </c>
      <c r="M107" s="1" t="s">
        <v>509</v>
      </c>
    </row>
    <row r="108">
      <c r="A108" s="1" t="s">
        <v>932</v>
      </c>
      <c r="B108" s="1" t="str">
        <f>IFERROR(__xludf.DUMMYFUNCTION("IFERROR(REGEXEXTRACT(A108, ""res(269|122)""), ""none"")"),"122")</f>
        <v>122</v>
      </c>
      <c r="C108" s="1">
        <v>-15.00123</v>
      </c>
      <c r="D108" s="1">
        <v>9.0</v>
      </c>
      <c r="E108" s="1">
        <v>4.0</v>
      </c>
      <c r="F108" s="1">
        <v>0.333333</v>
      </c>
      <c r="G108" s="1">
        <v>2.0</v>
      </c>
      <c r="H108" s="1">
        <v>-0.988256</v>
      </c>
      <c r="I108" s="1">
        <v>100.0</v>
      </c>
      <c r="J108" s="1">
        <v>0.0</v>
      </c>
      <c r="K108" s="1">
        <v>0.0</v>
      </c>
      <c r="L108" s="1">
        <v>99.343847</v>
      </c>
      <c r="M108" s="1" t="s">
        <v>933</v>
      </c>
    </row>
    <row r="109">
      <c r="A109" s="1" t="s">
        <v>297</v>
      </c>
      <c r="B109" s="1" t="str">
        <f>IFERROR(__xludf.DUMMYFUNCTION("IFERROR(REGEXEXTRACT(A109, ""res(269|122)""), ""none"")"),"269")</f>
        <v>269</v>
      </c>
      <c r="C109" s="1">
        <v>-15.442965</v>
      </c>
      <c r="D109" s="1">
        <v>7.0</v>
      </c>
      <c r="E109" s="1">
        <v>3.0</v>
      </c>
      <c r="F109" s="1">
        <v>0.285714</v>
      </c>
      <c r="G109" s="1">
        <v>2.0</v>
      </c>
      <c r="H109" s="1">
        <v>-0.995888</v>
      </c>
      <c r="I109" s="1">
        <v>100.0</v>
      </c>
      <c r="J109" s="1">
        <v>0.0</v>
      </c>
      <c r="K109" s="1">
        <v>0.0</v>
      </c>
      <c r="L109" s="1">
        <v>95.846861</v>
      </c>
      <c r="M109" s="1" t="s">
        <v>138</v>
      </c>
    </row>
    <row r="110">
      <c r="A110" s="1" t="s">
        <v>298</v>
      </c>
      <c r="B110" s="1" t="str">
        <f>IFERROR(__xludf.DUMMYFUNCTION("IFERROR(REGEXEXTRACT(A110, ""res(269|122)""), ""none"")"),"269")</f>
        <v>269</v>
      </c>
      <c r="C110" s="1">
        <v>-15.442965</v>
      </c>
      <c r="D110" s="1">
        <v>7.0</v>
      </c>
      <c r="E110" s="1">
        <v>3.0</v>
      </c>
      <c r="F110" s="1">
        <v>0.285714</v>
      </c>
      <c r="G110" s="1">
        <v>2.0</v>
      </c>
      <c r="H110" s="1">
        <v>-0.995888</v>
      </c>
      <c r="I110" s="1">
        <v>100.0</v>
      </c>
      <c r="J110" s="1">
        <v>0.0</v>
      </c>
      <c r="K110" s="1">
        <v>0.0</v>
      </c>
      <c r="L110" s="1">
        <v>95.846861</v>
      </c>
      <c r="M110" s="1" t="s">
        <v>299</v>
      </c>
    </row>
    <row r="111">
      <c r="A111" s="1" t="s">
        <v>300</v>
      </c>
      <c r="B111" s="1" t="str">
        <f>IFERROR(__xludf.DUMMYFUNCTION("IFERROR(REGEXEXTRACT(A111, ""res(269|122)""), ""none"")"),"269")</f>
        <v>269</v>
      </c>
      <c r="C111" s="1">
        <v>-16.187871</v>
      </c>
      <c r="D111" s="1">
        <v>8.0</v>
      </c>
      <c r="E111" s="1">
        <v>2.0</v>
      </c>
      <c r="F111" s="1">
        <v>0.25</v>
      </c>
      <c r="G111" s="1">
        <v>2.0</v>
      </c>
      <c r="H111" s="1">
        <v>-1.664296</v>
      </c>
      <c r="I111" s="1">
        <v>100.0</v>
      </c>
      <c r="J111" s="1">
        <v>0.0</v>
      </c>
      <c r="K111" s="1">
        <v>0.0</v>
      </c>
      <c r="L111" s="1">
        <v>94.397833</v>
      </c>
      <c r="M111" s="1" t="s">
        <v>301</v>
      </c>
    </row>
    <row r="112">
      <c r="A112" s="1" t="s">
        <v>302</v>
      </c>
      <c r="B112" s="1" t="str">
        <f>IFERROR(__xludf.DUMMYFUNCTION("IFERROR(REGEXEXTRACT(A112, ""res(269|122)""), ""none"")"),"269")</f>
        <v>269</v>
      </c>
      <c r="C112" s="1">
        <v>-15.122502</v>
      </c>
      <c r="D112" s="1">
        <v>9.0</v>
      </c>
      <c r="E112" s="1">
        <v>1.0</v>
      </c>
      <c r="F112" s="1">
        <v>0.333333</v>
      </c>
      <c r="G112" s="1">
        <v>2.0</v>
      </c>
      <c r="H112" s="1">
        <v>-1.2518</v>
      </c>
      <c r="I112" s="1">
        <v>100.0</v>
      </c>
      <c r="J112" s="1">
        <v>0.0</v>
      </c>
      <c r="K112" s="1">
        <v>0.0</v>
      </c>
      <c r="L112" s="1">
        <v>95.959031</v>
      </c>
      <c r="M112" s="1" t="s">
        <v>303</v>
      </c>
    </row>
    <row r="113">
      <c r="A113" s="1" t="s">
        <v>510</v>
      </c>
      <c r="B113" s="1" t="str">
        <f>IFERROR(__xludf.DUMMYFUNCTION("IFERROR(REGEXEXTRACT(A113, ""res(269|122)""), ""none"")"),"269")</f>
        <v>269</v>
      </c>
      <c r="C113" s="1">
        <v>-15.348449</v>
      </c>
      <c r="D113" s="1">
        <v>9.0</v>
      </c>
      <c r="E113" s="1">
        <v>2.0</v>
      </c>
      <c r="F113" s="1">
        <v>0.333333</v>
      </c>
      <c r="G113" s="1">
        <v>3.0</v>
      </c>
      <c r="H113" s="1">
        <v>-0.898482</v>
      </c>
      <c r="I113" s="1">
        <v>100.0</v>
      </c>
      <c r="J113" s="1">
        <v>0.0</v>
      </c>
      <c r="K113" s="1">
        <v>0.0</v>
      </c>
      <c r="L113" s="1">
        <v>98.086402</v>
      </c>
      <c r="M113" s="1" t="s">
        <v>511</v>
      </c>
    </row>
    <row r="114">
      <c r="A114" s="1" t="s">
        <v>214</v>
      </c>
      <c r="B114" s="1" t="str">
        <f>IFERROR(__xludf.DUMMYFUNCTION("IFERROR(REGEXEXTRACT(A114, ""res(269|122)""), ""none"")"),"122")</f>
        <v>122</v>
      </c>
      <c r="C114" s="1">
        <v>-15.260381</v>
      </c>
      <c r="D114" s="1">
        <v>8.0</v>
      </c>
      <c r="E114" s="1">
        <v>3.0</v>
      </c>
      <c r="F114" s="1">
        <v>0.25</v>
      </c>
      <c r="G114" s="1">
        <v>3.0</v>
      </c>
      <c r="H114" s="1">
        <v>-1.428861</v>
      </c>
      <c r="I114" s="1">
        <v>100.0</v>
      </c>
      <c r="J114" s="1">
        <v>0.0</v>
      </c>
      <c r="K114" s="1">
        <v>0.0</v>
      </c>
      <c r="L114" s="1">
        <v>97.560758</v>
      </c>
      <c r="M114" s="1" t="s">
        <v>44</v>
      </c>
    </row>
    <row r="115">
      <c r="A115" s="1" t="s">
        <v>512</v>
      </c>
      <c r="B115" s="1" t="str">
        <f>IFERROR(__xludf.DUMMYFUNCTION("IFERROR(REGEXEXTRACT(A115, ""res(269|122)""), ""none"")"),"269")</f>
        <v>269</v>
      </c>
      <c r="C115" s="1">
        <v>-15.025488</v>
      </c>
      <c r="D115" s="1">
        <v>7.0</v>
      </c>
      <c r="E115" s="1">
        <v>2.0</v>
      </c>
      <c r="F115" s="1">
        <v>0.285714</v>
      </c>
      <c r="G115" s="1">
        <v>2.0</v>
      </c>
      <c r="H115" s="1">
        <v>-0.824596</v>
      </c>
      <c r="I115" s="1">
        <v>100.0</v>
      </c>
      <c r="J115" s="1">
        <v>0.0</v>
      </c>
      <c r="K115" s="1">
        <v>0.0</v>
      </c>
      <c r="L115" s="1">
        <v>95.43563</v>
      </c>
      <c r="M115" s="1" t="s">
        <v>513</v>
      </c>
    </row>
    <row r="116">
      <c r="A116" s="1" t="s">
        <v>934</v>
      </c>
      <c r="B116" s="1" t="str">
        <f>IFERROR(__xludf.DUMMYFUNCTION("IFERROR(REGEXEXTRACT(A116, ""res(269|122)""), ""none"")"),"122")</f>
        <v>122</v>
      </c>
      <c r="C116" s="1">
        <v>-15.938727</v>
      </c>
      <c r="D116" s="1">
        <v>8.0</v>
      </c>
      <c r="E116" s="1">
        <v>1.0</v>
      </c>
      <c r="F116" s="1">
        <v>0.25</v>
      </c>
      <c r="G116" s="1">
        <v>2.0</v>
      </c>
      <c r="H116" s="1">
        <v>-0.174925</v>
      </c>
      <c r="I116" s="1">
        <v>100.0</v>
      </c>
      <c r="J116" s="1">
        <v>0.0</v>
      </c>
      <c r="K116" s="1">
        <v>0.0</v>
      </c>
      <c r="L116" s="1">
        <v>95.136348</v>
      </c>
      <c r="M116" s="1" t="s">
        <v>935</v>
      </c>
    </row>
    <row r="117">
      <c r="A117" s="1" t="s">
        <v>514</v>
      </c>
      <c r="B117" s="1" t="str">
        <f>IFERROR(__xludf.DUMMYFUNCTION("IFERROR(REGEXEXTRACT(A117, ""res(269|122)""), ""none"")"),"269")</f>
        <v>269</v>
      </c>
      <c r="C117" s="1">
        <v>-15.791781</v>
      </c>
      <c r="D117" s="1">
        <v>8.0</v>
      </c>
      <c r="E117" s="1">
        <v>3.0</v>
      </c>
      <c r="F117" s="1">
        <v>0.25</v>
      </c>
      <c r="G117" s="1">
        <v>2.0</v>
      </c>
      <c r="H117" s="1">
        <v>-0.755884</v>
      </c>
      <c r="I117" s="1">
        <v>100.0</v>
      </c>
      <c r="J117" s="1">
        <v>0.0</v>
      </c>
      <c r="K117" s="1">
        <v>0.0</v>
      </c>
      <c r="L117" s="1">
        <v>96.702335</v>
      </c>
      <c r="M117" s="1" t="s">
        <v>515</v>
      </c>
    </row>
    <row r="118">
      <c r="A118" s="1" t="s">
        <v>516</v>
      </c>
      <c r="B118" s="1" t="str">
        <f>IFERROR(__xludf.DUMMYFUNCTION("IFERROR(REGEXEXTRACT(A118, ""res(269|122)""), ""none"")"),"269")</f>
        <v>269</v>
      </c>
      <c r="C118" s="1">
        <v>-15.031921</v>
      </c>
      <c r="D118" s="1">
        <v>8.0</v>
      </c>
      <c r="E118" s="1">
        <v>2.0</v>
      </c>
      <c r="F118" s="1">
        <v>0.25</v>
      </c>
      <c r="G118" s="1">
        <v>2.0</v>
      </c>
      <c r="H118" s="1">
        <v>-1.229831</v>
      </c>
      <c r="I118" s="1">
        <v>100.0</v>
      </c>
      <c r="J118" s="1">
        <v>0.0</v>
      </c>
      <c r="K118" s="1">
        <v>0.0</v>
      </c>
      <c r="L118" s="1">
        <v>95.988248</v>
      </c>
      <c r="M118" s="1" t="s">
        <v>517</v>
      </c>
    </row>
    <row r="119">
      <c r="A119" s="1" t="s">
        <v>518</v>
      </c>
      <c r="B119" s="1" t="str">
        <f>IFERROR(__xludf.DUMMYFUNCTION("IFERROR(REGEXEXTRACT(A119, ""res(269|122)""), ""none"")"),"269")</f>
        <v>269</v>
      </c>
      <c r="C119" s="1">
        <v>-15.408612</v>
      </c>
      <c r="D119" s="1">
        <v>7.0</v>
      </c>
      <c r="E119" s="1">
        <v>2.0</v>
      </c>
      <c r="F119" s="1">
        <v>0.285714</v>
      </c>
      <c r="G119" s="1">
        <v>2.0</v>
      </c>
      <c r="H119" s="1">
        <v>-0.850939</v>
      </c>
      <c r="I119" s="1">
        <v>100.0</v>
      </c>
      <c r="J119" s="1">
        <v>0.0</v>
      </c>
      <c r="K119" s="1">
        <v>0.0</v>
      </c>
      <c r="L119" s="1">
        <v>95.026163</v>
      </c>
      <c r="M119" s="1" t="s">
        <v>519</v>
      </c>
    </row>
    <row r="120">
      <c r="A120" s="1" t="s">
        <v>936</v>
      </c>
      <c r="B120" s="1" t="str">
        <f>IFERROR(__xludf.DUMMYFUNCTION("IFERROR(REGEXEXTRACT(A120, ""res(269|122)""), ""none"")"),"122")</f>
        <v>122</v>
      </c>
      <c r="C120" s="1">
        <v>-15.860614</v>
      </c>
      <c r="D120" s="1">
        <v>10.0</v>
      </c>
      <c r="E120" s="1">
        <v>4.0</v>
      </c>
      <c r="F120" s="1">
        <v>0.3</v>
      </c>
      <c r="G120" s="1">
        <v>2.0</v>
      </c>
      <c r="H120" s="1">
        <v>-1.47230399999999</v>
      </c>
      <c r="I120" s="1">
        <v>100.0</v>
      </c>
      <c r="J120" s="1">
        <v>0.0</v>
      </c>
      <c r="K120" s="1">
        <v>0.0</v>
      </c>
      <c r="L120" s="1">
        <v>98.967082</v>
      </c>
      <c r="M120" s="1" t="s">
        <v>937</v>
      </c>
    </row>
    <row r="121">
      <c r="A121" s="1" t="s">
        <v>938</v>
      </c>
      <c r="B121" s="1" t="str">
        <f>IFERROR(__xludf.DUMMYFUNCTION("IFERROR(REGEXEXTRACT(A121, ""res(269|122)""), ""none"")"),"122")</f>
        <v>122</v>
      </c>
      <c r="C121" s="1">
        <v>-15.843518</v>
      </c>
      <c r="D121" s="1">
        <v>6.0</v>
      </c>
      <c r="E121" s="1">
        <v>3.0</v>
      </c>
      <c r="F121" s="1">
        <v>0.333333</v>
      </c>
      <c r="G121" s="1">
        <v>2.0</v>
      </c>
      <c r="H121" s="1">
        <v>-0.907249</v>
      </c>
      <c r="I121" s="1">
        <v>100.0</v>
      </c>
      <c r="J121" s="1">
        <v>0.0</v>
      </c>
      <c r="K121" s="1">
        <v>0.0</v>
      </c>
      <c r="L121" s="1">
        <v>94.582566</v>
      </c>
      <c r="M121" s="1" t="s">
        <v>939</v>
      </c>
    </row>
    <row r="122">
      <c r="A122" s="1" t="s">
        <v>304</v>
      </c>
      <c r="B122" s="1" t="str">
        <f>IFERROR(__xludf.DUMMYFUNCTION("IFERROR(REGEXEXTRACT(A122, ""res(269|122)""), ""none"")"),"269")</f>
        <v>269</v>
      </c>
      <c r="C122" s="1">
        <v>-16.909101</v>
      </c>
      <c r="D122" s="1">
        <v>8.0</v>
      </c>
      <c r="E122" s="1">
        <v>3.0</v>
      </c>
      <c r="F122" s="1">
        <v>0.5</v>
      </c>
      <c r="G122" s="1">
        <v>2.0</v>
      </c>
      <c r="H122" s="1">
        <v>-1.107364</v>
      </c>
      <c r="I122" s="1">
        <v>100.0</v>
      </c>
      <c r="J122" s="1">
        <v>0.0</v>
      </c>
      <c r="K122" s="1">
        <v>0.0</v>
      </c>
      <c r="L122" s="1">
        <v>95.483535</v>
      </c>
      <c r="M122" s="1" t="s">
        <v>305</v>
      </c>
    </row>
    <row r="123">
      <c r="A123" s="1" t="s">
        <v>940</v>
      </c>
      <c r="B123" s="1" t="str">
        <f>IFERROR(__xludf.DUMMYFUNCTION("IFERROR(REGEXEXTRACT(A123, ""res(269|122)""), ""none"")"),"122")</f>
        <v>122</v>
      </c>
      <c r="C123" s="1">
        <v>-15.895796</v>
      </c>
      <c r="D123" s="1">
        <v>7.0</v>
      </c>
      <c r="E123" s="1">
        <v>3.0</v>
      </c>
      <c r="F123" s="1">
        <v>0.285714</v>
      </c>
      <c r="G123" s="1">
        <v>2.0</v>
      </c>
      <c r="H123" s="1">
        <v>-1.042085</v>
      </c>
      <c r="I123" s="1">
        <v>100.0</v>
      </c>
      <c r="J123" s="1">
        <v>0.0</v>
      </c>
      <c r="K123" s="1">
        <v>0.0</v>
      </c>
      <c r="L123" s="1">
        <v>95.347833</v>
      </c>
      <c r="M123" s="1" t="s">
        <v>941</v>
      </c>
    </row>
    <row r="124">
      <c r="A124" s="1" t="s">
        <v>520</v>
      </c>
      <c r="B124" s="1" t="str">
        <f>IFERROR(__xludf.DUMMYFUNCTION("IFERROR(REGEXEXTRACT(A124, ""res(269|122)""), ""none"")"),"269")</f>
        <v>269</v>
      </c>
      <c r="C124" s="1">
        <v>-15.175735</v>
      </c>
      <c r="D124" s="1">
        <v>9.0</v>
      </c>
      <c r="E124" s="1">
        <v>4.0</v>
      </c>
      <c r="F124" s="1">
        <v>0.333333</v>
      </c>
      <c r="G124" s="1">
        <v>2.0</v>
      </c>
      <c r="H124" s="1">
        <v>-1.041475</v>
      </c>
      <c r="I124" s="1">
        <v>100.0</v>
      </c>
      <c r="J124" s="1">
        <v>0.0</v>
      </c>
      <c r="K124" s="1">
        <v>0.0</v>
      </c>
      <c r="L124" s="1">
        <v>99.116123</v>
      </c>
      <c r="M124" s="1" t="s">
        <v>521</v>
      </c>
    </row>
    <row r="125">
      <c r="A125" s="1" t="s">
        <v>942</v>
      </c>
      <c r="B125" s="1" t="str">
        <f>IFERROR(__xludf.DUMMYFUNCTION("IFERROR(REGEXEXTRACT(A125, ""res(269|122)""), ""none"")"),"122")</f>
        <v>122</v>
      </c>
      <c r="C125" s="1">
        <v>-17.273811</v>
      </c>
      <c r="D125" s="1">
        <v>7.0</v>
      </c>
      <c r="E125" s="1">
        <v>3.0</v>
      </c>
      <c r="F125" s="1">
        <v>0.285714</v>
      </c>
      <c r="G125" s="1">
        <v>2.0</v>
      </c>
      <c r="H125" s="1">
        <v>-0.836087999999999</v>
      </c>
      <c r="I125" s="1">
        <v>100.0</v>
      </c>
      <c r="J125" s="1">
        <v>0.0</v>
      </c>
      <c r="K125" s="1">
        <v>0.0</v>
      </c>
      <c r="L125" s="1">
        <v>94.175815</v>
      </c>
      <c r="M125" s="1" t="s">
        <v>943</v>
      </c>
    </row>
    <row r="126">
      <c r="A126" s="1" t="s">
        <v>215</v>
      </c>
      <c r="B126" s="1" t="str">
        <f>IFERROR(__xludf.DUMMYFUNCTION("IFERROR(REGEXEXTRACT(A126, ""res(269|122)""), ""none"")"),"122")</f>
        <v>122</v>
      </c>
      <c r="C126" s="1">
        <v>-16.747691</v>
      </c>
      <c r="D126" s="1">
        <v>10.0</v>
      </c>
      <c r="E126" s="1">
        <v>4.0</v>
      </c>
      <c r="F126" s="1">
        <v>0.4</v>
      </c>
      <c r="G126" s="1">
        <v>2.0</v>
      </c>
      <c r="H126" s="1">
        <v>-1.533959</v>
      </c>
      <c r="I126" s="1">
        <v>100.0</v>
      </c>
      <c r="J126" s="1">
        <v>0.0</v>
      </c>
      <c r="K126" s="1">
        <v>0.0</v>
      </c>
      <c r="L126" s="1">
        <v>98.11835</v>
      </c>
      <c r="M126" s="1" t="s">
        <v>216</v>
      </c>
    </row>
    <row r="127">
      <c r="A127" s="1" t="s">
        <v>217</v>
      </c>
      <c r="B127" s="1" t="str">
        <f>IFERROR(__xludf.DUMMYFUNCTION("IFERROR(REGEXEXTRACT(A127, ""res(269|122)""), ""none"")"),"122")</f>
        <v>122</v>
      </c>
      <c r="C127" s="1">
        <v>-15.251888</v>
      </c>
      <c r="D127" s="1">
        <v>10.0</v>
      </c>
      <c r="E127" s="1">
        <v>4.0</v>
      </c>
      <c r="F127" s="1">
        <v>0.4</v>
      </c>
      <c r="G127" s="1">
        <v>2.0</v>
      </c>
      <c r="H127" s="1">
        <v>-0.922495</v>
      </c>
      <c r="I127" s="1">
        <v>100.0</v>
      </c>
      <c r="J127" s="1">
        <v>0.0</v>
      </c>
      <c r="K127" s="1">
        <v>0.0</v>
      </c>
      <c r="L127" s="1">
        <v>100.225617</v>
      </c>
      <c r="M127" s="1" t="s">
        <v>218</v>
      </c>
    </row>
    <row r="128">
      <c r="A128" s="1" t="s">
        <v>219</v>
      </c>
      <c r="B128" s="1" t="str">
        <f>IFERROR(__xludf.DUMMYFUNCTION("IFERROR(REGEXEXTRACT(A128, ""res(269|122)""), ""none"")"),"122")</f>
        <v>122</v>
      </c>
      <c r="C128" s="1">
        <v>-15.933583</v>
      </c>
      <c r="D128" s="1">
        <v>10.0</v>
      </c>
      <c r="E128" s="1">
        <v>4.0</v>
      </c>
      <c r="F128" s="1">
        <v>0.4</v>
      </c>
      <c r="G128" s="1">
        <v>3.0</v>
      </c>
      <c r="H128" s="1">
        <v>-0.861401</v>
      </c>
      <c r="I128" s="1">
        <v>100.0</v>
      </c>
      <c r="J128" s="1">
        <v>0.0</v>
      </c>
      <c r="K128" s="1">
        <v>0.0</v>
      </c>
      <c r="L128" s="1">
        <v>100.605016</v>
      </c>
      <c r="M128" s="1" t="s">
        <v>220</v>
      </c>
    </row>
    <row r="129">
      <c r="A129" s="1" t="s">
        <v>306</v>
      </c>
      <c r="B129" s="1" t="str">
        <f>IFERROR(__xludf.DUMMYFUNCTION("IFERROR(REGEXEXTRACT(A129, ""res(269|122)""), ""none"")"),"269")</f>
        <v>269</v>
      </c>
      <c r="C129" s="1">
        <v>-15.785852</v>
      </c>
      <c r="D129" s="1">
        <v>7.0</v>
      </c>
      <c r="E129" s="1">
        <v>5.0</v>
      </c>
      <c r="F129" s="1">
        <v>0.285714</v>
      </c>
      <c r="G129" s="1">
        <v>2.0</v>
      </c>
      <c r="H129" s="1">
        <v>-0.799353999999999</v>
      </c>
      <c r="I129" s="1">
        <v>100.0</v>
      </c>
      <c r="J129" s="1">
        <v>0.0</v>
      </c>
      <c r="K129" s="1">
        <v>0.0</v>
      </c>
      <c r="L129" s="1">
        <v>97.700508</v>
      </c>
      <c r="M129" s="1" t="s">
        <v>307</v>
      </c>
    </row>
    <row r="130">
      <c r="A130" s="1" t="s">
        <v>308</v>
      </c>
      <c r="B130" s="1" t="str">
        <f>IFERROR(__xludf.DUMMYFUNCTION("IFERROR(REGEXEXTRACT(A130, ""res(269|122)""), ""none"")"),"269")</f>
        <v>269</v>
      </c>
      <c r="C130" s="1">
        <v>-15.155078</v>
      </c>
      <c r="D130" s="1">
        <v>8.0</v>
      </c>
      <c r="E130" s="1">
        <v>2.0</v>
      </c>
      <c r="F130" s="1">
        <v>0.25</v>
      </c>
      <c r="G130" s="1">
        <v>2.0</v>
      </c>
      <c r="H130" s="1">
        <v>-0.394031</v>
      </c>
      <c r="I130" s="1">
        <v>100.0</v>
      </c>
      <c r="J130" s="1">
        <v>0.0</v>
      </c>
      <c r="K130" s="1">
        <v>0.0</v>
      </c>
      <c r="L130" s="1">
        <v>96.700891</v>
      </c>
      <c r="M130" s="1" t="s">
        <v>141</v>
      </c>
    </row>
    <row r="131">
      <c r="A131" s="1" t="s">
        <v>944</v>
      </c>
      <c r="B131" s="1" t="str">
        <f>IFERROR(__xludf.DUMMYFUNCTION("IFERROR(REGEXEXTRACT(A131, ""res(269|122)""), ""none"")"),"122")</f>
        <v>122</v>
      </c>
      <c r="C131" s="1">
        <v>-15.995015</v>
      </c>
      <c r="D131" s="1">
        <v>9.0</v>
      </c>
      <c r="E131" s="1">
        <v>4.0</v>
      </c>
      <c r="F131" s="1">
        <v>0.333333</v>
      </c>
      <c r="G131" s="1">
        <v>3.0</v>
      </c>
      <c r="H131" s="1">
        <v>-0.936516</v>
      </c>
      <c r="I131" s="1">
        <v>100.0</v>
      </c>
      <c r="J131" s="1">
        <v>0.0</v>
      </c>
      <c r="K131" s="1">
        <v>0.0</v>
      </c>
      <c r="L131" s="1">
        <v>99.401802</v>
      </c>
      <c r="M131" s="1" t="s">
        <v>945</v>
      </c>
    </row>
    <row r="132">
      <c r="A132" s="1" t="s">
        <v>946</v>
      </c>
      <c r="B132" s="1" t="str">
        <f>IFERROR(__xludf.DUMMYFUNCTION("IFERROR(REGEXEXTRACT(A132, ""res(269|122)""), ""none"")"),"122")</f>
        <v>122</v>
      </c>
      <c r="C132" s="1">
        <v>-15.980019</v>
      </c>
      <c r="D132" s="1">
        <v>10.0</v>
      </c>
      <c r="E132" s="1">
        <v>3.0</v>
      </c>
      <c r="F132" s="1">
        <v>0.3</v>
      </c>
      <c r="G132" s="1">
        <v>2.0</v>
      </c>
      <c r="H132" s="1">
        <v>-0.742691</v>
      </c>
      <c r="I132" s="1">
        <v>100.0</v>
      </c>
      <c r="J132" s="1">
        <v>0.0</v>
      </c>
      <c r="K132" s="1">
        <v>0.0</v>
      </c>
      <c r="L132" s="1">
        <v>98.57729</v>
      </c>
      <c r="M132" s="1" t="s">
        <v>947</v>
      </c>
    </row>
    <row r="133">
      <c r="A133" s="1" t="s">
        <v>309</v>
      </c>
      <c r="B133" s="1" t="str">
        <f>IFERROR(__xludf.DUMMYFUNCTION("IFERROR(REGEXEXTRACT(A133, ""res(269|122)""), ""none"")"),"269")</f>
        <v>269</v>
      </c>
      <c r="C133" s="1">
        <v>-15.473368</v>
      </c>
      <c r="D133" s="1">
        <v>8.0</v>
      </c>
      <c r="E133" s="1">
        <v>2.0</v>
      </c>
      <c r="F133" s="1">
        <v>0.375</v>
      </c>
      <c r="G133" s="1">
        <v>2.0</v>
      </c>
      <c r="H133" s="1">
        <v>-0.972362</v>
      </c>
      <c r="I133" s="1">
        <v>100.0</v>
      </c>
      <c r="J133" s="1">
        <v>0.0</v>
      </c>
      <c r="K133" s="1">
        <v>0.0</v>
      </c>
      <c r="L133" s="1">
        <v>95.92927</v>
      </c>
      <c r="M133" s="1" t="s">
        <v>144</v>
      </c>
    </row>
    <row r="134">
      <c r="A134" s="1" t="s">
        <v>522</v>
      </c>
      <c r="B134" s="1" t="str">
        <f>IFERROR(__xludf.DUMMYFUNCTION("IFERROR(REGEXEXTRACT(A134, ""res(269|122)""), ""none"")"),"269")</f>
        <v>269</v>
      </c>
      <c r="C134" s="1">
        <v>-16.989951</v>
      </c>
      <c r="D134" s="1">
        <v>11.0</v>
      </c>
      <c r="E134" s="1">
        <v>2.0</v>
      </c>
      <c r="F134" s="1">
        <v>0.363636</v>
      </c>
      <c r="G134" s="1">
        <v>3.0</v>
      </c>
      <c r="H134" s="1">
        <v>-1.466325</v>
      </c>
      <c r="I134" s="1">
        <v>100.0</v>
      </c>
      <c r="J134" s="1">
        <v>0.0</v>
      </c>
      <c r="K134" s="1">
        <v>0.0</v>
      </c>
      <c r="L134" s="1">
        <v>97.90736</v>
      </c>
      <c r="M134" s="1" t="s">
        <v>523</v>
      </c>
    </row>
    <row r="135">
      <c r="A135" s="1" t="s">
        <v>948</v>
      </c>
      <c r="B135" s="1" t="str">
        <f>IFERROR(__xludf.DUMMYFUNCTION("IFERROR(REGEXEXTRACT(A135, ""res(269|122)""), ""none"")"),"122")</f>
        <v>122</v>
      </c>
      <c r="C135" s="1">
        <v>-15.786352</v>
      </c>
      <c r="D135" s="1">
        <v>7.0</v>
      </c>
      <c r="E135" s="1">
        <v>4.0</v>
      </c>
      <c r="F135" s="1">
        <v>0.285714</v>
      </c>
      <c r="G135" s="1">
        <v>3.0</v>
      </c>
      <c r="H135" s="1">
        <v>-1.391272</v>
      </c>
      <c r="I135" s="1">
        <v>100.0</v>
      </c>
      <c r="J135" s="1">
        <v>0.0</v>
      </c>
      <c r="K135" s="1">
        <v>0.0</v>
      </c>
      <c r="L135" s="1">
        <v>97.10809</v>
      </c>
      <c r="M135" s="1" t="s">
        <v>949</v>
      </c>
    </row>
    <row r="136">
      <c r="A136" s="1" t="s">
        <v>950</v>
      </c>
      <c r="B136" s="1" t="str">
        <f>IFERROR(__xludf.DUMMYFUNCTION("IFERROR(REGEXEXTRACT(A136, ""res(269|122)""), ""none"")"),"122")</f>
        <v>122</v>
      </c>
      <c r="C136" s="1">
        <v>-15.195113</v>
      </c>
      <c r="D136" s="1">
        <v>8.0</v>
      </c>
      <c r="E136" s="1">
        <v>3.0</v>
      </c>
      <c r="F136" s="1">
        <v>0.25</v>
      </c>
      <c r="G136" s="1">
        <v>2.0</v>
      </c>
      <c r="H136" s="1">
        <v>-1.197714</v>
      </c>
      <c r="I136" s="1">
        <v>100.0</v>
      </c>
      <c r="J136" s="1">
        <v>0.0</v>
      </c>
      <c r="K136" s="1">
        <v>0.0</v>
      </c>
      <c r="L136" s="1">
        <v>96.857173</v>
      </c>
      <c r="M136" s="1" t="s">
        <v>951</v>
      </c>
    </row>
    <row r="137">
      <c r="A137" s="1" t="s">
        <v>524</v>
      </c>
      <c r="B137" s="1" t="str">
        <f>IFERROR(__xludf.DUMMYFUNCTION("IFERROR(REGEXEXTRACT(A137, ""res(269|122)""), ""none"")"),"269")</f>
        <v>269</v>
      </c>
      <c r="C137" s="1">
        <v>-16.839472</v>
      </c>
      <c r="D137" s="1">
        <v>8.0</v>
      </c>
      <c r="E137" s="1">
        <v>3.0</v>
      </c>
      <c r="F137" s="1">
        <v>0.25</v>
      </c>
      <c r="G137" s="1">
        <v>2.0</v>
      </c>
      <c r="H137" s="1">
        <v>-0.470774</v>
      </c>
      <c r="I137" s="1">
        <v>100.0</v>
      </c>
      <c r="J137" s="1">
        <v>0.0</v>
      </c>
      <c r="K137" s="1">
        <v>0.0</v>
      </c>
      <c r="L137" s="1">
        <v>95.939754</v>
      </c>
      <c r="M137" s="1" t="s">
        <v>525</v>
      </c>
    </row>
    <row r="138">
      <c r="A138" s="1" t="s">
        <v>221</v>
      </c>
      <c r="B138" s="1" t="str">
        <f>IFERROR(__xludf.DUMMYFUNCTION("IFERROR(REGEXEXTRACT(A138, ""res(269|122)""), ""none"")"),"122")</f>
        <v>122</v>
      </c>
      <c r="C138" s="1">
        <v>-15.3418</v>
      </c>
      <c r="D138" s="1">
        <v>9.0</v>
      </c>
      <c r="E138" s="1">
        <v>4.0</v>
      </c>
      <c r="F138" s="1">
        <v>0.333333</v>
      </c>
      <c r="G138" s="1">
        <v>2.0</v>
      </c>
      <c r="H138" s="1">
        <v>-1.486109</v>
      </c>
      <c r="I138" s="1">
        <v>100.0</v>
      </c>
      <c r="J138" s="1">
        <v>0.0</v>
      </c>
      <c r="K138" s="1">
        <v>0.0</v>
      </c>
      <c r="L138" s="1">
        <v>98.505424</v>
      </c>
      <c r="M138" s="1" t="s">
        <v>222</v>
      </c>
    </row>
    <row r="139">
      <c r="A139" s="1" t="s">
        <v>526</v>
      </c>
      <c r="B139" s="1" t="str">
        <f>IFERROR(__xludf.DUMMYFUNCTION("IFERROR(REGEXEXTRACT(A139, ""res(269|122)""), ""none"")"),"269")</f>
        <v>269</v>
      </c>
      <c r="C139" s="1">
        <v>-15.204053</v>
      </c>
      <c r="D139" s="1">
        <v>9.0</v>
      </c>
      <c r="E139" s="1">
        <v>3.0</v>
      </c>
      <c r="F139" s="1">
        <v>0.444444</v>
      </c>
      <c r="G139" s="1">
        <v>2.0</v>
      </c>
      <c r="H139" s="1">
        <v>-1.136467</v>
      </c>
      <c r="I139" s="1">
        <v>100.0</v>
      </c>
      <c r="J139" s="1">
        <v>0.0</v>
      </c>
      <c r="K139" s="1">
        <v>0.0</v>
      </c>
      <c r="L139" s="1">
        <v>98.103924</v>
      </c>
      <c r="M139" s="1" t="s">
        <v>527</v>
      </c>
    </row>
    <row r="140">
      <c r="A140" s="1" t="s">
        <v>528</v>
      </c>
      <c r="B140" s="1" t="str">
        <f>IFERROR(__xludf.DUMMYFUNCTION("IFERROR(REGEXEXTRACT(A140, ""res(269|122)""), ""none"")"),"269")</f>
        <v>269</v>
      </c>
      <c r="C140" s="1">
        <v>-15.204053</v>
      </c>
      <c r="D140" s="1">
        <v>9.0</v>
      </c>
      <c r="E140" s="1">
        <v>3.0</v>
      </c>
      <c r="F140" s="1">
        <v>0.444444</v>
      </c>
      <c r="G140" s="1">
        <v>2.0</v>
      </c>
      <c r="H140" s="1">
        <v>-1.136467</v>
      </c>
      <c r="I140" s="1">
        <v>100.0</v>
      </c>
      <c r="J140" s="1">
        <v>0.0</v>
      </c>
      <c r="K140" s="1">
        <v>0.0</v>
      </c>
      <c r="L140" s="1">
        <v>98.103924</v>
      </c>
      <c r="M140" s="1" t="s">
        <v>529</v>
      </c>
    </row>
    <row r="141">
      <c r="A141" s="1" t="s">
        <v>530</v>
      </c>
      <c r="B141" s="1" t="str">
        <f>IFERROR(__xludf.DUMMYFUNCTION("IFERROR(REGEXEXTRACT(A141, ""res(269|122)""), ""none"")"),"269")</f>
        <v>269</v>
      </c>
      <c r="C141" s="1">
        <v>-15.460704</v>
      </c>
      <c r="D141" s="1">
        <v>7.0</v>
      </c>
      <c r="E141" s="1">
        <v>2.0</v>
      </c>
      <c r="F141" s="1">
        <v>0.428571</v>
      </c>
      <c r="G141" s="1">
        <v>2.0</v>
      </c>
      <c r="H141" s="1">
        <v>-0.528978</v>
      </c>
      <c r="I141" s="1">
        <v>100.0</v>
      </c>
      <c r="J141" s="1">
        <v>0.0</v>
      </c>
      <c r="K141" s="1">
        <v>0.0</v>
      </c>
      <c r="L141" s="1">
        <v>95.438889</v>
      </c>
      <c r="M141" s="1" t="s">
        <v>531</v>
      </c>
    </row>
    <row r="142">
      <c r="A142" s="1" t="s">
        <v>223</v>
      </c>
      <c r="B142" s="1" t="str">
        <f>IFERROR(__xludf.DUMMYFUNCTION("IFERROR(REGEXEXTRACT(A142, ""res(269|122)""), ""none"")"),"122")</f>
        <v>122</v>
      </c>
      <c r="C142" s="1">
        <v>-16.481134</v>
      </c>
      <c r="D142" s="1">
        <v>7.0</v>
      </c>
      <c r="E142" s="1">
        <v>3.0</v>
      </c>
      <c r="F142" s="1">
        <v>0.285714</v>
      </c>
      <c r="G142" s="1">
        <v>2.0</v>
      </c>
      <c r="H142" s="1">
        <v>-1.079586</v>
      </c>
      <c r="I142" s="1">
        <v>100.0</v>
      </c>
      <c r="J142" s="1">
        <v>0.0</v>
      </c>
      <c r="K142" s="1">
        <v>0.0</v>
      </c>
      <c r="L142" s="1">
        <v>94.724994</v>
      </c>
      <c r="M142" s="1" t="s">
        <v>49</v>
      </c>
    </row>
    <row r="143">
      <c r="A143" s="1" t="s">
        <v>310</v>
      </c>
      <c r="B143" s="1" t="str">
        <f>IFERROR(__xludf.DUMMYFUNCTION("IFERROR(REGEXEXTRACT(A143, ""res(269|122)""), ""none"")"),"269")</f>
        <v>269</v>
      </c>
      <c r="C143" s="1">
        <v>-15.32929</v>
      </c>
      <c r="D143" s="1">
        <v>9.0</v>
      </c>
      <c r="E143" s="1">
        <v>2.0</v>
      </c>
      <c r="F143" s="1">
        <v>0.444444</v>
      </c>
      <c r="G143" s="1">
        <v>3.0</v>
      </c>
      <c r="H143" s="1">
        <v>-1.169854</v>
      </c>
      <c r="I143" s="1">
        <v>100.0</v>
      </c>
      <c r="J143" s="1">
        <v>0.0</v>
      </c>
      <c r="K143" s="1">
        <v>0.0</v>
      </c>
      <c r="L143" s="1">
        <v>97.9453</v>
      </c>
      <c r="M143" s="1" t="s">
        <v>147</v>
      </c>
    </row>
    <row r="144">
      <c r="A144" s="1" t="s">
        <v>311</v>
      </c>
      <c r="B144" s="1" t="str">
        <f>IFERROR(__xludf.DUMMYFUNCTION("IFERROR(REGEXEXTRACT(A144, ""res(269|122)""), ""none"")"),"269")</f>
        <v>269</v>
      </c>
      <c r="C144" s="1">
        <v>-17.46746</v>
      </c>
      <c r="D144" s="1">
        <v>9.0</v>
      </c>
      <c r="E144" s="1">
        <v>2.0</v>
      </c>
      <c r="F144" s="1">
        <v>0.333333</v>
      </c>
      <c r="G144" s="1">
        <v>2.0</v>
      </c>
      <c r="H144" s="1">
        <v>-0.960204</v>
      </c>
      <c r="I144" s="1">
        <v>100.0</v>
      </c>
      <c r="J144" s="1">
        <v>0.0</v>
      </c>
      <c r="K144" s="1">
        <v>0.0</v>
      </c>
      <c r="L144" s="1">
        <v>94.905669</v>
      </c>
      <c r="M144" s="1" t="s">
        <v>312</v>
      </c>
    </row>
    <row r="145">
      <c r="A145" s="1" t="s">
        <v>313</v>
      </c>
      <c r="B145" s="1" t="str">
        <f>IFERROR(__xludf.DUMMYFUNCTION("IFERROR(REGEXEXTRACT(A145, ""res(269|122)""), ""none"")"),"269")</f>
        <v>269</v>
      </c>
      <c r="C145" s="1">
        <v>-15.769609</v>
      </c>
      <c r="D145" s="1">
        <v>8.0</v>
      </c>
      <c r="E145" s="1">
        <v>2.0</v>
      </c>
      <c r="F145" s="1">
        <v>0.25</v>
      </c>
      <c r="G145" s="1">
        <v>2.0</v>
      </c>
      <c r="H145" s="1">
        <v>-1.998276</v>
      </c>
      <c r="I145" s="1">
        <v>100.0</v>
      </c>
      <c r="J145" s="1">
        <v>0.0</v>
      </c>
      <c r="K145" s="1">
        <v>0.0</v>
      </c>
      <c r="L145" s="1">
        <v>94.482115</v>
      </c>
      <c r="M145" s="1" t="s">
        <v>314</v>
      </c>
    </row>
    <row r="146">
      <c r="A146" s="1" t="s">
        <v>532</v>
      </c>
      <c r="B146" s="1" t="str">
        <f>IFERROR(__xludf.DUMMYFUNCTION("IFERROR(REGEXEXTRACT(A146, ""res(269|122)""), ""none"")"),"269")</f>
        <v>269</v>
      </c>
      <c r="C146" s="1">
        <v>-16.236242</v>
      </c>
      <c r="D146" s="1">
        <v>7.0</v>
      </c>
      <c r="E146" s="1">
        <v>2.0</v>
      </c>
      <c r="F146" s="1">
        <v>0.428571</v>
      </c>
      <c r="G146" s="1">
        <v>2.0</v>
      </c>
      <c r="H146" s="1">
        <v>-0.505698</v>
      </c>
      <c r="I146" s="1">
        <v>100.0</v>
      </c>
      <c r="J146" s="1">
        <v>0.0</v>
      </c>
      <c r="K146" s="1">
        <v>0.0</v>
      </c>
      <c r="L146" s="1">
        <v>94.686631</v>
      </c>
      <c r="M146" s="1" t="s">
        <v>533</v>
      </c>
    </row>
    <row r="147">
      <c r="A147" s="1" t="s">
        <v>315</v>
      </c>
      <c r="B147" s="1" t="str">
        <f>IFERROR(__xludf.DUMMYFUNCTION("IFERROR(REGEXEXTRACT(A147, ""res(269|122)""), ""none"")"),"269")</f>
        <v>269</v>
      </c>
      <c r="C147" s="1">
        <v>-16.531836</v>
      </c>
      <c r="D147" s="1">
        <v>10.0</v>
      </c>
      <c r="E147" s="1">
        <v>2.0</v>
      </c>
      <c r="F147" s="1">
        <v>0.3</v>
      </c>
      <c r="G147" s="1">
        <v>2.0</v>
      </c>
      <c r="H147" s="1">
        <v>-0.888794</v>
      </c>
      <c r="I147" s="1">
        <v>100.0</v>
      </c>
      <c r="J147" s="1">
        <v>0.0</v>
      </c>
      <c r="K147" s="1">
        <v>0.0</v>
      </c>
      <c r="L147" s="1">
        <v>96.87937</v>
      </c>
      <c r="M147" s="1" t="s">
        <v>316</v>
      </c>
    </row>
    <row r="148">
      <c r="A148" s="1" t="s">
        <v>534</v>
      </c>
      <c r="B148" s="1" t="str">
        <f>IFERROR(__xludf.DUMMYFUNCTION("IFERROR(REGEXEXTRACT(A148, ""res(269|122)""), ""none"")"),"269")</f>
        <v>269</v>
      </c>
      <c r="C148" s="1">
        <v>-17.325922</v>
      </c>
      <c r="D148" s="1">
        <v>8.0</v>
      </c>
      <c r="E148" s="1">
        <v>2.0</v>
      </c>
      <c r="F148" s="1">
        <v>0.25</v>
      </c>
      <c r="G148" s="1">
        <v>2.0</v>
      </c>
      <c r="H148" s="1">
        <v>-0.547214</v>
      </c>
      <c r="I148" s="1">
        <v>100.0</v>
      </c>
      <c r="J148" s="1">
        <v>0.0</v>
      </c>
      <c r="K148" s="1">
        <v>0.0</v>
      </c>
      <c r="L148" s="1">
        <v>94.376864</v>
      </c>
      <c r="M148" s="1" t="s">
        <v>535</v>
      </c>
    </row>
    <row r="149">
      <c r="A149" s="1" t="s">
        <v>536</v>
      </c>
      <c r="B149" s="1" t="str">
        <f>IFERROR(__xludf.DUMMYFUNCTION("IFERROR(REGEXEXTRACT(A149, ""res(269|122)""), ""none"")"),"269")</f>
        <v>269</v>
      </c>
      <c r="C149" s="1">
        <v>-15.253563</v>
      </c>
      <c r="D149" s="1">
        <v>8.0</v>
      </c>
      <c r="E149" s="1">
        <v>2.0</v>
      </c>
      <c r="F149" s="1">
        <v>0.375</v>
      </c>
      <c r="G149" s="1">
        <v>2.0</v>
      </c>
      <c r="H149" s="1">
        <v>-0.551176999999999</v>
      </c>
      <c r="I149" s="1">
        <v>100.0</v>
      </c>
      <c r="J149" s="1">
        <v>0.0</v>
      </c>
      <c r="K149" s="1">
        <v>0.0</v>
      </c>
      <c r="L149" s="1">
        <v>96.57026</v>
      </c>
      <c r="M149" s="1" t="s">
        <v>537</v>
      </c>
    </row>
    <row r="150">
      <c r="A150" s="1" t="s">
        <v>317</v>
      </c>
      <c r="B150" s="1" t="str">
        <f>IFERROR(__xludf.DUMMYFUNCTION("IFERROR(REGEXEXTRACT(A150, ""res(269|122)""), ""none"")"),"269")</f>
        <v>269</v>
      </c>
      <c r="C150" s="1">
        <v>-15.695983</v>
      </c>
      <c r="D150" s="1">
        <v>8.0</v>
      </c>
      <c r="E150" s="1">
        <v>3.0</v>
      </c>
      <c r="F150" s="1">
        <v>0.375</v>
      </c>
      <c r="G150" s="1">
        <v>2.0</v>
      </c>
      <c r="H150" s="1">
        <v>-0.764023</v>
      </c>
      <c r="I150" s="1">
        <v>100.0</v>
      </c>
      <c r="J150" s="1">
        <v>0.0</v>
      </c>
      <c r="K150" s="1">
        <v>0.0</v>
      </c>
      <c r="L150" s="1">
        <v>96.914994</v>
      </c>
      <c r="M150" s="1" t="s">
        <v>318</v>
      </c>
    </row>
    <row r="151">
      <c r="A151" s="1" t="s">
        <v>538</v>
      </c>
      <c r="B151" s="1" t="str">
        <f>IFERROR(__xludf.DUMMYFUNCTION("IFERROR(REGEXEXTRACT(A151, ""res(269|122)""), ""none"")"),"269")</f>
        <v>269</v>
      </c>
      <c r="C151" s="1">
        <v>-15.251704</v>
      </c>
      <c r="D151" s="1">
        <v>7.0</v>
      </c>
      <c r="E151" s="1">
        <v>4.0</v>
      </c>
      <c r="F151" s="1">
        <v>0.428571</v>
      </c>
      <c r="G151" s="1">
        <v>2.0</v>
      </c>
      <c r="H151" s="1">
        <v>-1.266081</v>
      </c>
      <c r="I151" s="1">
        <v>100.0</v>
      </c>
      <c r="J151" s="1">
        <v>0.0</v>
      </c>
      <c r="K151" s="1">
        <v>0.0</v>
      </c>
      <c r="L151" s="1">
        <v>96.910786</v>
      </c>
      <c r="M151" s="1" t="s">
        <v>539</v>
      </c>
    </row>
    <row r="152">
      <c r="A152" s="1" t="s">
        <v>319</v>
      </c>
      <c r="B152" s="1" t="str">
        <f>IFERROR(__xludf.DUMMYFUNCTION("IFERROR(REGEXEXTRACT(A152, ""res(269|122)""), ""none"")"),"269")</f>
        <v>269</v>
      </c>
      <c r="C152" s="1">
        <v>-16.574584</v>
      </c>
      <c r="D152" s="1">
        <v>6.0</v>
      </c>
      <c r="E152" s="1">
        <v>1.0</v>
      </c>
      <c r="F152" s="1">
        <v>0.333333</v>
      </c>
      <c r="G152" s="1">
        <v>2.0</v>
      </c>
      <c r="H152" s="1">
        <v>-0.53138</v>
      </c>
      <c r="I152" s="1">
        <v>100.0</v>
      </c>
      <c r="J152" s="1">
        <v>0.0</v>
      </c>
      <c r="K152" s="1">
        <v>0.0</v>
      </c>
      <c r="L152" s="1">
        <v>92.227369</v>
      </c>
      <c r="M152" s="1" t="s">
        <v>150</v>
      </c>
    </row>
    <row r="153">
      <c r="A153" s="1" t="s">
        <v>540</v>
      </c>
      <c r="B153" s="1" t="str">
        <f>IFERROR(__xludf.DUMMYFUNCTION("IFERROR(REGEXEXTRACT(A153, ""res(269|122)""), ""none"")"),"269")</f>
        <v>269</v>
      </c>
      <c r="C153" s="1">
        <v>-15.023619</v>
      </c>
      <c r="D153" s="1">
        <v>9.0</v>
      </c>
      <c r="E153" s="1">
        <v>5.0</v>
      </c>
      <c r="F153" s="1">
        <v>0.333333</v>
      </c>
      <c r="G153" s="1">
        <v>2.0</v>
      </c>
      <c r="H153" s="1">
        <v>-0.778283</v>
      </c>
      <c r="I153" s="1">
        <v>100.0</v>
      </c>
      <c r="J153" s="1">
        <v>0.0</v>
      </c>
      <c r="K153" s="1">
        <v>0.0</v>
      </c>
      <c r="L153" s="1">
        <v>100.531431</v>
      </c>
      <c r="M153" s="1" t="s">
        <v>541</v>
      </c>
    </row>
    <row r="154">
      <c r="A154" s="1" t="s">
        <v>542</v>
      </c>
      <c r="B154" s="1" t="str">
        <f>IFERROR(__xludf.DUMMYFUNCTION("IFERROR(REGEXEXTRACT(A154, ""res(269|122)""), ""none"")"),"269")</f>
        <v>269</v>
      </c>
      <c r="C154" s="1">
        <v>-16.079465</v>
      </c>
      <c r="D154" s="1">
        <v>9.0</v>
      </c>
      <c r="E154" s="1">
        <v>2.0</v>
      </c>
      <c r="F154" s="1">
        <v>0.444444</v>
      </c>
      <c r="G154" s="1">
        <v>2.0</v>
      </c>
      <c r="H154" s="1">
        <v>-0.993186</v>
      </c>
      <c r="I154" s="1">
        <v>100.0</v>
      </c>
      <c r="J154" s="1">
        <v>0.0</v>
      </c>
      <c r="K154" s="1">
        <v>0.0</v>
      </c>
      <c r="L154" s="1">
        <v>96.371793</v>
      </c>
      <c r="M154" s="1" t="s">
        <v>543</v>
      </c>
    </row>
    <row r="155">
      <c r="A155" s="1" t="s">
        <v>544</v>
      </c>
      <c r="B155" s="1" t="str">
        <f>IFERROR(__xludf.DUMMYFUNCTION("IFERROR(REGEXEXTRACT(A155, ""res(269|122)""), ""none"")"),"269")</f>
        <v>269</v>
      </c>
      <c r="C155" s="1">
        <v>-16.487107</v>
      </c>
      <c r="D155" s="1">
        <v>8.0</v>
      </c>
      <c r="E155" s="1">
        <v>5.0</v>
      </c>
      <c r="F155" s="1">
        <v>0.25</v>
      </c>
      <c r="G155" s="1">
        <v>2.0</v>
      </c>
      <c r="H155" s="1">
        <v>-0.272644</v>
      </c>
      <c r="I155" s="1">
        <v>100.0</v>
      </c>
      <c r="J155" s="1">
        <v>0.0</v>
      </c>
      <c r="K155" s="1">
        <v>0.0</v>
      </c>
      <c r="L155" s="1">
        <v>98.490249</v>
      </c>
      <c r="M155" s="1" t="s">
        <v>545</v>
      </c>
    </row>
    <row r="156">
      <c r="A156" s="1" t="s">
        <v>320</v>
      </c>
      <c r="B156" s="1" t="str">
        <f>IFERROR(__xludf.DUMMYFUNCTION("IFERROR(REGEXEXTRACT(A156, ""res(269|122)""), ""none"")"),"269")</f>
        <v>269</v>
      </c>
      <c r="C156" s="1">
        <v>-16.381515</v>
      </c>
      <c r="D156" s="1">
        <v>6.0</v>
      </c>
      <c r="E156" s="1">
        <v>3.0</v>
      </c>
      <c r="F156" s="1">
        <v>0.5</v>
      </c>
      <c r="G156" s="1">
        <v>2.0</v>
      </c>
      <c r="H156" s="1">
        <v>-0.391175999999999</v>
      </c>
      <c r="I156" s="1">
        <v>100.0</v>
      </c>
      <c r="J156" s="1">
        <v>0.0</v>
      </c>
      <c r="K156" s="1">
        <v>0.0</v>
      </c>
      <c r="L156" s="1">
        <v>94.727309</v>
      </c>
      <c r="M156" s="1" t="s">
        <v>153</v>
      </c>
    </row>
    <row r="157">
      <c r="A157" s="1" t="s">
        <v>321</v>
      </c>
      <c r="B157" s="1" t="str">
        <f>IFERROR(__xludf.DUMMYFUNCTION("IFERROR(REGEXEXTRACT(A157, ""res(269|122)""), ""none"")"),"269")</f>
        <v>269</v>
      </c>
      <c r="C157" s="1">
        <v>-16.381515</v>
      </c>
      <c r="D157" s="1">
        <v>6.0</v>
      </c>
      <c r="E157" s="1">
        <v>3.0</v>
      </c>
      <c r="F157" s="1">
        <v>0.5</v>
      </c>
      <c r="G157" s="1">
        <v>2.0</v>
      </c>
      <c r="H157" s="1">
        <v>-0.391175999999999</v>
      </c>
      <c r="I157" s="1">
        <v>100.0</v>
      </c>
      <c r="J157" s="1">
        <v>0.0</v>
      </c>
      <c r="K157" s="1">
        <v>0.0</v>
      </c>
      <c r="L157" s="1">
        <v>94.727309</v>
      </c>
      <c r="M157" s="1" t="s">
        <v>322</v>
      </c>
    </row>
    <row r="158">
      <c r="A158" s="1" t="s">
        <v>323</v>
      </c>
      <c r="B158" s="1" t="str">
        <f>IFERROR(__xludf.DUMMYFUNCTION("IFERROR(REGEXEXTRACT(A158, ""res(269|122)""), ""none"")"),"269")</f>
        <v>269</v>
      </c>
      <c r="C158" s="1">
        <v>-16.381515</v>
      </c>
      <c r="D158" s="1">
        <v>6.0</v>
      </c>
      <c r="E158" s="1">
        <v>3.0</v>
      </c>
      <c r="F158" s="1">
        <v>0.5</v>
      </c>
      <c r="G158" s="1">
        <v>2.0</v>
      </c>
      <c r="H158" s="1">
        <v>-0.391175999999999</v>
      </c>
      <c r="I158" s="1">
        <v>100.0</v>
      </c>
      <c r="J158" s="1">
        <v>0.0</v>
      </c>
      <c r="K158" s="1">
        <v>0.0</v>
      </c>
      <c r="L158" s="1">
        <v>94.727309</v>
      </c>
      <c r="M158" s="1" t="s">
        <v>324</v>
      </c>
    </row>
    <row r="159">
      <c r="A159" s="1" t="s">
        <v>325</v>
      </c>
      <c r="B159" s="1" t="str">
        <f>IFERROR(__xludf.DUMMYFUNCTION("IFERROR(REGEXEXTRACT(A159, ""res(269|122)""), ""none"")"),"269")</f>
        <v>269</v>
      </c>
      <c r="C159" s="1">
        <v>-16.758312</v>
      </c>
      <c r="D159" s="1">
        <v>7.0</v>
      </c>
      <c r="E159" s="1">
        <v>4.0</v>
      </c>
      <c r="F159" s="1">
        <v>0.428571</v>
      </c>
      <c r="G159" s="1">
        <v>2.0</v>
      </c>
      <c r="H159" s="1">
        <v>-1.542056</v>
      </c>
      <c r="I159" s="1">
        <v>100.0</v>
      </c>
      <c r="J159" s="1">
        <v>0.0</v>
      </c>
      <c r="K159" s="1">
        <v>0.0</v>
      </c>
      <c r="L159" s="1">
        <v>95.128203</v>
      </c>
      <c r="M159" s="1" t="s">
        <v>326</v>
      </c>
    </row>
    <row r="160">
      <c r="A160" s="1" t="s">
        <v>546</v>
      </c>
      <c r="B160" s="1" t="str">
        <f>IFERROR(__xludf.DUMMYFUNCTION("IFERROR(REGEXEXTRACT(A160, ""res(269|122)""), ""none"")"),"269")</f>
        <v>269</v>
      </c>
      <c r="C160" s="1">
        <v>-16.555124</v>
      </c>
      <c r="D160" s="1">
        <v>8.0</v>
      </c>
      <c r="E160" s="1">
        <v>5.0</v>
      </c>
      <c r="F160" s="1">
        <v>0.25</v>
      </c>
      <c r="G160" s="1">
        <v>2.0</v>
      </c>
      <c r="H160" s="1">
        <v>-0.655343</v>
      </c>
      <c r="I160" s="1">
        <v>100.0</v>
      </c>
      <c r="J160" s="1">
        <v>0.0</v>
      </c>
      <c r="K160" s="1">
        <v>0.0</v>
      </c>
      <c r="L160" s="1">
        <v>98.039533</v>
      </c>
      <c r="M160" s="1" t="s">
        <v>547</v>
      </c>
    </row>
    <row r="161">
      <c r="A161" s="1" t="s">
        <v>224</v>
      </c>
      <c r="B161" s="1" t="str">
        <f>IFERROR(__xludf.DUMMYFUNCTION("IFERROR(REGEXEXTRACT(A161, ""res(269|122)""), ""none"")"),"122")</f>
        <v>122</v>
      </c>
      <c r="C161" s="1">
        <v>-15.209335</v>
      </c>
      <c r="D161" s="1">
        <v>9.0</v>
      </c>
      <c r="E161" s="1">
        <v>3.0</v>
      </c>
      <c r="F161" s="1">
        <v>0.555556</v>
      </c>
      <c r="G161" s="1">
        <v>2.0</v>
      </c>
      <c r="H161" s="1">
        <v>-0.616797</v>
      </c>
      <c r="I161" s="1">
        <v>100.0</v>
      </c>
      <c r="J161" s="1">
        <v>0.0</v>
      </c>
      <c r="K161" s="1">
        <v>0.0</v>
      </c>
      <c r="L161" s="1">
        <v>98.729424</v>
      </c>
      <c r="M161" s="1" t="s">
        <v>53</v>
      </c>
    </row>
    <row r="162">
      <c r="A162" s="1" t="s">
        <v>548</v>
      </c>
      <c r="B162" s="1" t="str">
        <f>IFERROR(__xludf.DUMMYFUNCTION("IFERROR(REGEXEXTRACT(A162, ""res(269|122)""), ""none"")"),"269")</f>
        <v>269</v>
      </c>
      <c r="C162" s="1">
        <v>-16.280026</v>
      </c>
      <c r="D162" s="1">
        <v>10.0</v>
      </c>
      <c r="E162" s="1">
        <v>5.0</v>
      </c>
      <c r="F162" s="1">
        <v>0.4</v>
      </c>
      <c r="G162" s="1">
        <v>2.0</v>
      </c>
      <c r="H162" s="1">
        <v>-0.787125</v>
      </c>
      <c r="I162" s="1">
        <v>100.0</v>
      </c>
      <c r="J162" s="1">
        <v>0.0</v>
      </c>
      <c r="K162" s="1">
        <v>0.0</v>
      </c>
      <c r="L162" s="1">
        <v>100.332849</v>
      </c>
      <c r="M162" s="1" t="s">
        <v>549</v>
      </c>
    </row>
    <row r="163">
      <c r="A163" s="1" t="s">
        <v>952</v>
      </c>
      <c r="B163" s="1" t="str">
        <f>IFERROR(__xludf.DUMMYFUNCTION("IFERROR(REGEXEXTRACT(A163, ""res(269|122)""), ""none"")"),"122")</f>
        <v>122</v>
      </c>
      <c r="C163" s="1">
        <v>-15.627624</v>
      </c>
      <c r="D163" s="1">
        <v>11.0</v>
      </c>
      <c r="E163" s="1">
        <v>3.0</v>
      </c>
      <c r="F163" s="1">
        <v>0.272727</v>
      </c>
      <c r="G163" s="1">
        <v>2.0</v>
      </c>
      <c r="H163" s="1">
        <v>-1.090456</v>
      </c>
      <c r="I163" s="1">
        <v>100.0</v>
      </c>
      <c r="J163" s="1">
        <v>0.0</v>
      </c>
      <c r="K163" s="1">
        <v>0.0</v>
      </c>
      <c r="L163" s="1">
        <v>99.554647</v>
      </c>
      <c r="M163" s="1" t="s">
        <v>953</v>
      </c>
    </row>
    <row r="164">
      <c r="A164" s="1" t="s">
        <v>225</v>
      </c>
      <c r="B164" s="1" t="str">
        <f>IFERROR(__xludf.DUMMYFUNCTION("IFERROR(REGEXEXTRACT(A164, ""res(269|122)""), ""none"")"),"122")</f>
        <v>122</v>
      </c>
      <c r="C164" s="1">
        <v>-16.256898</v>
      </c>
      <c r="D164" s="1">
        <v>11.0</v>
      </c>
      <c r="E164" s="1">
        <v>4.0</v>
      </c>
      <c r="F164" s="1">
        <v>0.272727</v>
      </c>
      <c r="G164" s="1">
        <v>2.0</v>
      </c>
      <c r="H164" s="1">
        <v>-1.787076</v>
      </c>
      <c r="I164" s="1">
        <v>100.0</v>
      </c>
      <c r="J164" s="1">
        <v>0.0</v>
      </c>
      <c r="K164" s="1">
        <v>0.0</v>
      </c>
      <c r="L164" s="1">
        <v>99.228753</v>
      </c>
      <c r="M164" s="1" t="s">
        <v>226</v>
      </c>
    </row>
    <row r="165">
      <c r="A165" s="1" t="s">
        <v>550</v>
      </c>
      <c r="B165" s="1" t="str">
        <f>IFERROR(__xludf.DUMMYFUNCTION("IFERROR(REGEXEXTRACT(A165, ""res(269|122)""), ""none"")"),"269")</f>
        <v>269</v>
      </c>
      <c r="C165" s="1">
        <v>-15.097785</v>
      </c>
      <c r="D165" s="1">
        <v>7.0</v>
      </c>
      <c r="E165" s="1">
        <v>2.0</v>
      </c>
      <c r="F165" s="1">
        <v>0.285714</v>
      </c>
      <c r="G165" s="1">
        <v>2.0</v>
      </c>
      <c r="H165" s="1">
        <v>-0.30494</v>
      </c>
      <c r="I165" s="1">
        <v>100.0</v>
      </c>
      <c r="J165" s="1">
        <v>0.0</v>
      </c>
      <c r="K165" s="1">
        <v>0.0</v>
      </c>
      <c r="L165" s="1">
        <v>95.882989</v>
      </c>
      <c r="M165" s="1" t="s">
        <v>551</v>
      </c>
    </row>
    <row r="166">
      <c r="A166" s="1" t="s">
        <v>327</v>
      </c>
      <c r="B166" s="1" t="str">
        <f>IFERROR(__xludf.DUMMYFUNCTION("IFERROR(REGEXEXTRACT(A166, ""res(269|122)""), ""none"")"),"269")</f>
        <v>269</v>
      </c>
      <c r="C166" s="1">
        <v>-16.196607</v>
      </c>
      <c r="D166" s="1">
        <v>8.0</v>
      </c>
      <c r="E166" s="1">
        <v>5.0</v>
      </c>
      <c r="F166" s="1">
        <v>0.625</v>
      </c>
      <c r="G166" s="1">
        <v>3.0</v>
      </c>
      <c r="H166" s="1">
        <v>-1.08205699999999</v>
      </c>
      <c r="I166" s="1">
        <v>100.0</v>
      </c>
      <c r="J166" s="1">
        <v>0.0</v>
      </c>
      <c r="K166" s="1">
        <v>0.0</v>
      </c>
      <c r="L166" s="1">
        <v>99.346336</v>
      </c>
      <c r="M166" s="1" t="s">
        <v>156</v>
      </c>
    </row>
    <row r="167">
      <c r="A167" s="1" t="s">
        <v>954</v>
      </c>
      <c r="B167" s="1" t="str">
        <f>IFERROR(__xludf.DUMMYFUNCTION("IFERROR(REGEXEXTRACT(A167, ""res(269|122)""), ""none"")"),"122")</f>
        <v>122</v>
      </c>
      <c r="C167" s="1">
        <v>-15.589483</v>
      </c>
      <c r="D167" s="1">
        <v>11.0</v>
      </c>
      <c r="E167" s="1">
        <v>4.0</v>
      </c>
      <c r="F167" s="1">
        <v>0.363636</v>
      </c>
      <c r="G167" s="1">
        <v>3.0</v>
      </c>
      <c r="H167" s="1">
        <v>-1.049205</v>
      </c>
      <c r="I167" s="1">
        <v>100.0</v>
      </c>
      <c r="J167" s="1">
        <v>0.0</v>
      </c>
      <c r="K167" s="1">
        <v>0.0</v>
      </c>
      <c r="L167" s="1">
        <v>101.724948</v>
      </c>
      <c r="M167" s="1" t="s">
        <v>955</v>
      </c>
    </row>
    <row r="168">
      <c r="A168" s="1" t="s">
        <v>328</v>
      </c>
      <c r="B168" s="1" t="str">
        <f>IFERROR(__xludf.DUMMYFUNCTION("IFERROR(REGEXEXTRACT(A168, ""res(269|122)""), ""none"")"),"269")</f>
        <v>269</v>
      </c>
      <c r="C168" s="1">
        <v>-15.182474</v>
      </c>
      <c r="D168" s="1">
        <v>7.0</v>
      </c>
      <c r="E168" s="1">
        <v>2.0</v>
      </c>
      <c r="F168" s="1">
        <v>0.285714</v>
      </c>
      <c r="G168" s="1">
        <v>2.0</v>
      </c>
      <c r="H168" s="1">
        <v>-0.62157</v>
      </c>
      <c r="I168" s="1">
        <v>100.0</v>
      </c>
      <c r="J168" s="1">
        <v>0.0</v>
      </c>
      <c r="K168" s="1">
        <v>0.0</v>
      </c>
      <c r="L168" s="1">
        <v>95.48167</v>
      </c>
      <c r="M168" s="1" t="s">
        <v>329</v>
      </c>
    </row>
    <row r="169">
      <c r="A169" s="1" t="s">
        <v>330</v>
      </c>
      <c r="B169" s="1" t="str">
        <f>IFERROR(__xludf.DUMMYFUNCTION("IFERROR(REGEXEXTRACT(A169, ""res(269|122)""), ""none"")"),"269")</f>
        <v>269</v>
      </c>
      <c r="C169" s="1">
        <v>-17.250811</v>
      </c>
      <c r="D169" s="1">
        <v>11.0</v>
      </c>
      <c r="E169" s="1">
        <v>5.0</v>
      </c>
      <c r="F169" s="1">
        <v>0.272727</v>
      </c>
      <c r="G169" s="1">
        <v>2.0</v>
      </c>
      <c r="H169" s="1">
        <v>-0.713731</v>
      </c>
      <c r="I169" s="1">
        <v>100.0</v>
      </c>
      <c r="J169" s="1">
        <v>0.0</v>
      </c>
      <c r="K169" s="1">
        <v>0.0</v>
      </c>
      <c r="L169" s="1">
        <v>100.308185</v>
      </c>
      <c r="M169" s="1" t="s">
        <v>159</v>
      </c>
    </row>
    <row r="170">
      <c r="A170" s="1" t="s">
        <v>552</v>
      </c>
      <c r="B170" s="1" t="str">
        <f>IFERROR(__xludf.DUMMYFUNCTION("IFERROR(REGEXEXTRACT(A170, ""res(269|122)""), ""none"")"),"269")</f>
        <v>269</v>
      </c>
      <c r="C170" s="1">
        <v>-15.356335</v>
      </c>
      <c r="D170" s="1">
        <v>8.0</v>
      </c>
      <c r="E170" s="1">
        <v>5.0</v>
      </c>
      <c r="F170" s="1">
        <v>0.25</v>
      </c>
      <c r="G170" s="1">
        <v>2.0</v>
      </c>
      <c r="H170" s="1">
        <v>-1.57059099999999</v>
      </c>
      <c r="I170" s="1">
        <v>100.0</v>
      </c>
      <c r="J170" s="1">
        <v>0.0</v>
      </c>
      <c r="K170" s="1">
        <v>0.0</v>
      </c>
      <c r="L170" s="1">
        <v>98.323074</v>
      </c>
      <c r="M170" s="1" t="s">
        <v>553</v>
      </c>
    </row>
    <row r="171">
      <c r="A171" s="1" t="s">
        <v>554</v>
      </c>
      <c r="B171" s="1" t="str">
        <f>IFERROR(__xludf.DUMMYFUNCTION("IFERROR(REGEXEXTRACT(A171, ""res(269|122)""), ""none"")"),"269")</f>
        <v>269</v>
      </c>
      <c r="C171" s="1">
        <v>-15.652692</v>
      </c>
      <c r="D171" s="1">
        <v>9.0</v>
      </c>
      <c r="E171" s="1">
        <v>5.0</v>
      </c>
      <c r="F171" s="1">
        <v>0.333333</v>
      </c>
      <c r="G171" s="1">
        <v>2.0</v>
      </c>
      <c r="H171" s="1">
        <v>-1.198917</v>
      </c>
      <c r="I171" s="1">
        <v>100.0</v>
      </c>
      <c r="J171" s="1">
        <v>0.0</v>
      </c>
      <c r="K171" s="1">
        <v>0.0</v>
      </c>
      <c r="L171" s="1">
        <v>99.481724</v>
      </c>
      <c r="M171" s="1" t="s">
        <v>555</v>
      </c>
    </row>
    <row r="172">
      <c r="A172" s="1" t="s">
        <v>956</v>
      </c>
      <c r="B172" s="1" t="str">
        <f>IFERROR(__xludf.DUMMYFUNCTION("IFERROR(REGEXEXTRACT(A172, ""res(269|122)""), ""none"")"),"122")</f>
        <v>122</v>
      </c>
      <c r="C172" s="1">
        <v>-16.073073</v>
      </c>
      <c r="D172" s="1">
        <v>9.0</v>
      </c>
      <c r="E172" s="1">
        <v>4.0</v>
      </c>
      <c r="F172" s="1">
        <v>0.333333</v>
      </c>
      <c r="G172" s="1">
        <v>2.0</v>
      </c>
      <c r="H172" s="1">
        <v>-1.417971</v>
      </c>
      <c r="I172" s="1">
        <v>100.0</v>
      </c>
      <c r="J172" s="1">
        <v>0.0</v>
      </c>
      <c r="K172" s="1">
        <v>0.0</v>
      </c>
      <c r="L172" s="1">
        <v>97.842289</v>
      </c>
      <c r="M172" s="1" t="s">
        <v>957</v>
      </c>
    </row>
    <row r="173">
      <c r="A173" s="1" t="s">
        <v>331</v>
      </c>
      <c r="B173" s="1" t="str">
        <f>IFERROR(__xludf.DUMMYFUNCTION("IFERROR(REGEXEXTRACT(A173, ""res(269|122)""), ""none"")"),"269")</f>
        <v>269</v>
      </c>
      <c r="C173" s="1">
        <v>-15.813539</v>
      </c>
      <c r="D173" s="1">
        <v>8.0</v>
      </c>
      <c r="E173" s="1">
        <v>4.0</v>
      </c>
      <c r="F173" s="1">
        <v>0.375</v>
      </c>
      <c r="G173" s="1">
        <v>2.0</v>
      </c>
      <c r="H173" s="1">
        <v>-0.75356</v>
      </c>
      <c r="I173" s="1">
        <v>100.0</v>
      </c>
      <c r="J173" s="1">
        <v>0.0</v>
      </c>
      <c r="K173" s="1">
        <v>0.0</v>
      </c>
      <c r="L173" s="1">
        <v>97.807901</v>
      </c>
      <c r="M173" s="1" t="s">
        <v>332</v>
      </c>
    </row>
    <row r="174">
      <c r="A174" s="1" t="s">
        <v>227</v>
      </c>
      <c r="B174" s="1" t="str">
        <f>IFERROR(__xludf.DUMMYFUNCTION("IFERROR(REGEXEXTRACT(A174, ""res(269|122)""), ""none"")"),"122")</f>
        <v>122</v>
      </c>
      <c r="C174" s="1">
        <v>-17.376492</v>
      </c>
      <c r="D174" s="1">
        <v>6.0</v>
      </c>
      <c r="E174" s="1">
        <v>3.0</v>
      </c>
      <c r="F174" s="1">
        <v>0.333333</v>
      </c>
      <c r="G174" s="1">
        <v>2.0</v>
      </c>
      <c r="H174" s="1">
        <v>-0.775723</v>
      </c>
      <c r="I174" s="1">
        <v>100.0</v>
      </c>
      <c r="J174" s="1">
        <v>0.0</v>
      </c>
      <c r="K174" s="1">
        <v>0.0</v>
      </c>
      <c r="L174" s="1">
        <v>93.181118</v>
      </c>
      <c r="M174" s="1" t="s">
        <v>228</v>
      </c>
    </row>
    <row r="175">
      <c r="A175" s="1" t="s">
        <v>556</v>
      </c>
      <c r="B175" s="1" t="str">
        <f>IFERROR(__xludf.DUMMYFUNCTION("IFERROR(REGEXEXTRACT(A175, ""res(269|122)""), ""none"")"),"269")</f>
        <v>269</v>
      </c>
      <c r="C175" s="1">
        <v>-16.773883</v>
      </c>
      <c r="D175" s="1">
        <v>8.0</v>
      </c>
      <c r="E175" s="1">
        <v>2.0</v>
      </c>
      <c r="F175" s="1">
        <v>0.25</v>
      </c>
      <c r="G175" s="1">
        <v>2.0</v>
      </c>
      <c r="H175" s="1">
        <v>-0.683917</v>
      </c>
      <c r="I175" s="1">
        <v>100.0</v>
      </c>
      <c r="J175" s="1">
        <v>0.0</v>
      </c>
      <c r="K175" s="1">
        <v>0.0</v>
      </c>
      <c r="L175" s="1">
        <v>94.7922</v>
      </c>
      <c r="M175" s="1" t="s">
        <v>557</v>
      </c>
    </row>
    <row r="176">
      <c r="A176" s="1" t="s">
        <v>333</v>
      </c>
      <c r="B176" s="1" t="str">
        <f>IFERROR(__xludf.DUMMYFUNCTION("IFERROR(REGEXEXTRACT(A176, ""res(269|122)""), ""none"")"),"269")</f>
        <v>269</v>
      </c>
      <c r="C176" s="1">
        <v>-17.483332</v>
      </c>
      <c r="D176" s="1">
        <v>7.0</v>
      </c>
      <c r="E176" s="1">
        <v>2.0</v>
      </c>
      <c r="F176" s="1">
        <v>0.428571</v>
      </c>
      <c r="G176" s="1">
        <v>2.0</v>
      </c>
      <c r="H176" s="1">
        <v>-0.934603</v>
      </c>
      <c r="I176" s="1">
        <v>100.0</v>
      </c>
      <c r="J176" s="1">
        <v>0.0</v>
      </c>
      <c r="K176" s="1">
        <v>0.0</v>
      </c>
      <c r="L176" s="1">
        <v>93.010636</v>
      </c>
      <c r="M176" s="1" t="s">
        <v>162</v>
      </c>
    </row>
    <row r="177">
      <c r="A177" s="1" t="s">
        <v>558</v>
      </c>
      <c r="B177" s="1" t="str">
        <f>IFERROR(__xludf.DUMMYFUNCTION("IFERROR(REGEXEXTRACT(A177, ""res(269|122)""), ""none"")"),"269")</f>
        <v>269</v>
      </c>
      <c r="C177" s="1">
        <v>-17.8777</v>
      </c>
      <c r="D177" s="1">
        <v>12.0</v>
      </c>
      <c r="E177" s="1">
        <v>3.0</v>
      </c>
      <c r="F177" s="1">
        <v>0.25</v>
      </c>
      <c r="G177" s="1">
        <v>2.0</v>
      </c>
      <c r="H177" s="1">
        <v>-0.895779</v>
      </c>
      <c r="I177" s="1">
        <v>100.0</v>
      </c>
      <c r="J177" s="1">
        <v>0.0</v>
      </c>
      <c r="K177" s="1">
        <v>0.0</v>
      </c>
      <c r="L177" s="1">
        <v>98.476521</v>
      </c>
      <c r="M177" s="1" t="s">
        <v>559</v>
      </c>
    </row>
    <row r="178">
      <c r="A178" s="1" t="s">
        <v>560</v>
      </c>
      <c r="B178" s="1" t="str">
        <f>IFERROR(__xludf.DUMMYFUNCTION("IFERROR(REGEXEXTRACT(A178, ""res(269|122)""), ""none"")"),"269")</f>
        <v>269</v>
      </c>
      <c r="C178" s="1">
        <v>-16.65494</v>
      </c>
      <c r="D178" s="1">
        <v>8.0</v>
      </c>
      <c r="E178" s="1">
        <v>2.0</v>
      </c>
      <c r="F178" s="1">
        <v>0.25</v>
      </c>
      <c r="G178" s="1">
        <v>2.0</v>
      </c>
      <c r="H178" s="1">
        <v>-0.791185</v>
      </c>
      <c r="I178" s="1">
        <v>100.0</v>
      </c>
      <c r="J178" s="1">
        <v>0.0</v>
      </c>
      <c r="K178" s="1">
        <v>0.0</v>
      </c>
      <c r="L178" s="1">
        <v>94.803875</v>
      </c>
      <c r="M178" s="1" t="s">
        <v>561</v>
      </c>
    </row>
    <row r="179">
      <c r="A179" s="1" t="s">
        <v>562</v>
      </c>
      <c r="B179" s="1" t="str">
        <f>IFERROR(__xludf.DUMMYFUNCTION("IFERROR(REGEXEXTRACT(A179, ""res(269|122)""), ""none"")"),"269")</f>
        <v>269</v>
      </c>
      <c r="C179" s="1">
        <v>-15.287436</v>
      </c>
      <c r="D179" s="1">
        <v>7.0</v>
      </c>
      <c r="E179" s="1">
        <v>3.0</v>
      </c>
      <c r="F179" s="1">
        <v>0.285714</v>
      </c>
      <c r="G179" s="1">
        <v>2.0</v>
      </c>
      <c r="H179" s="1">
        <v>-0.768648</v>
      </c>
      <c r="I179" s="1">
        <v>100.0</v>
      </c>
      <c r="J179" s="1">
        <v>0.0</v>
      </c>
      <c r="K179" s="1">
        <v>0.0</v>
      </c>
      <c r="L179" s="1">
        <v>96.22963</v>
      </c>
      <c r="M179" s="1" t="s">
        <v>563</v>
      </c>
    </row>
    <row r="180">
      <c r="A180" s="1" t="s">
        <v>958</v>
      </c>
      <c r="B180" s="1" t="str">
        <f>IFERROR(__xludf.DUMMYFUNCTION("IFERROR(REGEXEXTRACT(A180, ""res(269|122)""), ""none"")"),"122")</f>
        <v>122</v>
      </c>
      <c r="C180" s="1">
        <v>-15.665856</v>
      </c>
      <c r="D180" s="1">
        <v>8.0</v>
      </c>
      <c r="E180" s="1">
        <v>4.0</v>
      </c>
      <c r="F180" s="1">
        <v>0.375</v>
      </c>
      <c r="G180" s="1">
        <v>2.0</v>
      </c>
      <c r="H180" s="1">
        <v>-1.024371</v>
      </c>
      <c r="I180" s="1">
        <v>100.0</v>
      </c>
      <c r="J180" s="1">
        <v>0.0</v>
      </c>
      <c r="K180" s="1">
        <v>0.0</v>
      </c>
      <c r="L180" s="1">
        <v>97.684773</v>
      </c>
      <c r="M180" s="1" t="s">
        <v>959</v>
      </c>
    </row>
    <row r="181">
      <c r="A181" s="1" t="s">
        <v>564</v>
      </c>
      <c r="B181" s="1" t="str">
        <f>IFERROR(__xludf.DUMMYFUNCTION("IFERROR(REGEXEXTRACT(A181, ""res(269|122)""), ""none"")"),"269")</f>
        <v>269</v>
      </c>
      <c r="C181" s="1">
        <v>-15.042413</v>
      </c>
      <c r="D181" s="1">
        <v>9.0</v>
      </c>
      <c r="E181" s="1">
        <v>3.0</v>
      </c>
      <c r="F181" s="1">
        <v>0.333333</v>
      </c>
      <c r="G181" s="1">
        <v>2.0</v>
      </c>
      <c r="H181" s="1">
        <v>-0.962515</v>
      </c>
      <c r="I181" s="1">
        <v>100.0</v>
      </c>
      <c r="J181" s="1">
        <v>0.0</v>
      </c>
      <c r="K181" s="1">
        <v>0.0</v>
      </c>
      <c r="L181" s="1">
        <v>98.328405</v>
      </c>
      <c r="M181" s="1" t="s">
        <v>565</v>
      </c>
    </row>
    <row r="182">
      <c r="A182" s="1" t="s">
        <v>960</v>
      </c>
      <c r="B182" s="1" t="str">
        <f>IFERROR(__xludf.DUMMYFUNCTION("IFERROR(REGEXEXTRACT(A182, ""res(269|122)""), ""none"")"),"122")</f>
        <v>122</v>
      </c>
      <c r="C182" s="1">
        <v>-15.416224</v>
      </c>
      <c r="D182" s="1">
        <v>7.0</v>
      </c>
      <c r="E182" s="1">
        <v>4.0</v>
      </c>
      <c r="F182" s="1">
        <v>0.285714</v>
      </c>
      <c r="G182" s="1">
        <v>2.0</v>
      </c>
      <c r="H182" s="1">
        <v>-1.441148</v>
      </c>
      <c r="I182" s="1">
        <v>100.0</v>
      </c>
      <c r="J182" s="1">
        <v>0.0</v>
      </c>
      <c r="K182" s="1">
        <v>0.0</v>
      </c>
      <c r="L182" s="1">
        <v>96.428342</v>
      </c>
      <c r="M182" s="1" t="s">
        <v>961</v>
      </c>
    </row>
    <row r="183">
      <c r="A183" s="1" t="s">
        <v>962</v>
      </c>
      <c r="B183" s="1" t="str">
        <f>IFERROR(__xludf.DUMMYFUNCTION("IFERROR(REGEXEXTRACT(A183, ""res(269|122)""), ""none"")"),"122")</f>
        <v>122</v>
      </c>
      <c r="C183" s="1">
        <v>-15.514751</v>
      </c>
      <c r="D183" s="1">
        <v>9.0</v>
      </c>
      <c r="E183" s="1">
        <v>3.0</v>
      </c>
      <c r="F183" s="1">
        <v>0.444444</v>
      </c>
      <c r="G183" s="1">
        <v>2.0</v>
      </c>
      <c r="H183" s="1">
        <v>-1.020103</v>
      </c>
      <c r="I183" s="1">
        <v>100.0</v>
      </c>
      <c r="J183" s="1">
        <v>0.0</v>
      </c>
      <c r="K183" s="1">
        <v>0.0</v>
      </c>
      <c r="L183" s="1">
        <v>97.90959</v>
      </c>
      <c r="M183" s="1" t="s">
        <v>963</v>
      </c>
    </row>
    <row r="184">
      <c r="A184" s="1" t="s">
        <v>334</v>
      </c>
      <c r="B184" s="1" t="str">
        <f>IFERROR(__xludf.DUMMYFUNCTION("IFERROR(REGEXEXTRACT(A184, ""res(269|122)""), ""none"")"),"269")</f>
        <v>269</v>
      </c>
      <c r="C184" s="1">
        <v>-15.044133</v>
      </c>
      <c r="D184" s="1">
        <v>7.0</v>
      </c>
      <c r="E184" s="1">
        <v>3.0</v>
      </c>
      <c r="F184" s="1">
        <v>0.285714</v>
      </c>
      <c r="G184" s="1">
        <v>2.0</v>
      </c>
      <c r="H184" s="1">
        <v>-0.869404</v>
      </c>
      <c r="I184" s="1">
        <v>100.0</v>
      </c>
      <c r="J184" s="1">
        <v>0.0</v>
      </c>
      <c r="K184" s="1">
        <v>0.0</v>
      </c>
      <c r="L184" s="1">
        <v>96.372177</v>
      </c>
      <c r="M184" s="1" t="s">
        <v>335</v>
      </c>
    </row>
    <row r="185">
      <c r="A185" s="1" t="s">
        <v>336</v>
      </c>
      <c r="B185" s="1" t="str">
        <f>IFERROR(__xludf.DUMMYFUNCTION("IFERROR(REGEXEXTRACT(A185, ""res(269|122)""), ""none"")"),"269")</f>
        <v>269</v>
      </c>
      <c r="C185" s="1">
        <v>-16.338997</v>
      </c>
      <c r="D185" s="1">
        <v>6.0</v>
      </c>
      <c r="E185" s="1">
        <v>1.0</v>
      </c>
      <c r="F185" s="1">
        <v>0.333333</v>
      </c>
      <c r="G185" s="1">
        <v>2.0</v>
      </c>
      <c r="H185" s="1">
        <v>-1.569369</v>
      </c>
      <c r="I185" s="1">
        <v>100.0</v>
      </c>
      <c r="J185" s="1">
        <v>0.0</v>
      </c>
      <c r="K185" s="1">
        <v>0.0</v>
      </c>
      <c r="L185" s="1">
        <v>91.424967</v>
      </c>
      <c r="M185" s="1" t="s">
        <v>337</v>
      </c>
    </row>
    <row r="186">
      <c r="A186" s="1" t="s">
        <v>964</v>
      </c>
      <c r="B186" s="1" t="str">
        <f>IFERROR(__xludf.DUMMYFUNCTION("IFERROR(REGEXEXTRACT(A186, ""res(269|122)""), ""none"")"),"122")</f>
        <v>122</v>
      </c>
      <c r="C186" s="1">
        <v>-16.09571</v>
      </c>
      <c r="D186" s="1">
        <v>10.0</v>
      </c>
      <c r="E186" s="1">
        <v>4.0</v>
      </c>
      <c r="F186" s="1">
        <v>0.3</v>
      </c>
      <c r="G186" s="1">
        <v>2.0</v>
      </c>
      <c r="H186" s="1">
        <v>-1.536609</v>
      </c>
      <c r="I186" s="1">
        <v>100.0</v>
      </c>
      <c r="J186" s="1">
        <v>0.0</v>
      </c>
      <c r="K186" s="1">
        <v>0.0</v>
      </c>
      <c r="L186" s="1">
        <v>98.667681</v>
      </c>
      <c r="M186" s="1" t="s">
        <v>965</v>
      </c>
    </row>
    <row r="187">
      <c r="A187" s="1" t="s">
        <v>566</v>
      </c>
      <c r="B187" s="1" t="str">
        <f>IFERROR(__xludf.DUMMYFUNCTION("IFERROR(REGEXEXTRACT(A187, ""res(269|122)""), ""none"")"),"269")</f>
        <v>269</v>
      </c>
      <c r="C187" s="1">
        <v>-16.135472</v>
      </c>
      <c r="D187" s="1">
        <v>8.0</v>
      </c>
      <c r="E187" s="1">
        <v>2.0</v>
      </c>
      <c r="F187" s="1">
        <v>0.25</v>
      </c>
      <c r="G187" s="1">
        <v>2.0</v>
      </c>
      <c r="H187" s="1">
        <v>-1.048501</v>
      </c>
      <c r="I187" s="1">
        <v>100.0</v>
      </c>
      <c r="J187" s="1">
        <v>0.0</v>
      </c>
      <c r="K187" s="1">
        <v>0.0</v>
      </c>
      <c r="L187" s="1">
        <v>95.066027</v>
      </c>
      <c r="M187" s="1" t="s">
        <v>567</v>
      </c>
    </row>
    <row r="188">
      <c r="A188" s="1" t="s">
        <v>338</v>
      </c>
      <c r="B188" s="1" t="str">
        <f>IFERROR(__xludf.DUMMYFUNCTION("IFERROR(REGEXEXTRACT(A188, ""res(269|122)""), ""none"")"),"269")</f>
        <v>269</v>
      </c>
      <c r="C188" s="1">
        <v>-15.874894</v>
      </c>
      <c r="D188" s="1">
        <v>8.0</v>
      </c>
      <c r="E188" s="1">
        <v>2.0</v>
      </c>
      <c r="F188" s="1">
        <v>0.25</v>
      </c>
      <c r="G188" s="1">
        <v>2.0</v>
      </c>
      <c r="H188" s="1">
        <v>-1.527443</v>
      </c>
      <c r="I188" s="1">
        <v>100.0</v>
      </c>
      <c r="J188" s="1">
        <v>0.0</v>
      </c>
      <c r="K188" s="1">
        <v>0.0</v>
      </c>
      <c r="L188" s="1">
        <v>94.847663</v>
      </c>
      <c r="M188" s="1" t="s">
        <v>339</v>
      </c>
    </row>
    <row r="189">
      <c r="A189" s="1" t="s">
        <v>568</v>
      </c>
      <c r="B189" s="1" t="str">
        <f>IFERROR(__xludf.DUMMYFUNCTION("IFERROR(REGEXEXTRACT(A189, ""res(269|122)""), ""none"")"),"269")</f>
        <v>269</v>
      </c>
      <c r="C189" s="1">
        <v>-16.12762</v>
      </c>
      <c r="D189" s="1">
        <v>8.0</v>
      </c>
      <c r="E189" s="1">
        <v>3.0</v>
      </c>
      <c r="F189" s="1">
        <v>0.25</v>
      </c>
      <c r="G189" s="1">
        <v>2.0</v>
      </c>
      <c r="H189" s="1">
        <v>-0.539806</v>
      </c>
      <c r="I189" s="1">
        <v>100.0</v>
      </c>
      <c r="J189" s="1">
        <v>0.0</v>
      </c>
      <c r="K189" s="1">
        <v>0.0</v>
      </c>
      <c r="L189" s="1">
        <v>96.582574</v>
      </c>
      <c r="M189" s="1" t="s">
        <v>569</v>
      </c>
    </row>
    <row r="190">
      <c r="A190" s="1" t="s">
        <v>570</v>
      </c>
      <c r="B190" s="1" t="str">
        <f>IFERROR(__xludf.DUMMYFUNCTION("IFERROR(REGEXEXTRACT(A190, ""res(269|122)""), ""none"")"),"269")</f>
        <v>269</v>
      </c>
      <c r="C190" s="1">
        <v>-16.007709</v>
      </c>
      <c r="D190" s="1">
        <v>6.0</v>
      </c>
      <c r="E190" s="1">
        <v>1.0</v>
      </c>
      <c r="F190" s="1">
        <v>0.333333</v>
      </c>
      <c r="G190" s="1">
        <v>2.0</v>
      </c>
      <c r="H190" s="1">
        <v>-0.634004</v>
      </c>
      <c r="I190" s="1">
        <v>100.0</v>
      </c>
      <c r="J190" s="1">
        <v>0.0</v>
      </c>
      <c r="K190" s="1">
        <v>0.0</v>
      </c>
      <c r="L190" s="1">
        <v>92.69162</v>
      </c>
      <c r="M190" s="1" t="s">
        <v>571</v>
      </c>
    </row>
    <row r="191">
      <c r="A191" s="1" t="s">
        <v>572</v>
      </c>
      <c r="B191" s="1" t="str">
        <f>IFERROR(__xludf.DUMMYFUNCTION("IFERROR(REGEXEXTRACT(A191, ""res(269|122)""), ""none"")"),"269")</f>
        <v>269</v>
      </c>
      <c r="C191" s="1">
        <v>-15.183288</v>
      </c>
      <c r="D191" s="1">
        <v>6.0</v>
      </c>
      <c r="E191" s="1">
        <v>3.0</v>
      </c>
      <c r="F191" s="1">
        <v>0.666667</v>
      </c>
      <c r="G191" s="1">
        <v>2.0</v>
      </c>
      <c r="H191" s="1">
        <v>-0.991667</v>
      </c>
      <c r="I191" s="1">
        <v>100.0</v>
      </c>
      <c r="J191" s="1">
        <v>0.0</v>
      </c>
      <c r="K191" s="1">
        <v>0.0</v>
      </c>
      <c r="L191" s="1">
        <v>95.491712</v>
      </c>
      <c r="M191" s="1" t="s">
        <v>573</v>
      </c>
    </row>
    <row r="192">
      <c r="A192" s="1" t="s">
        <v>340</v>
      </c>
      <c r="B192" s="1" t="str">
        <f>IFERROR(__xludf.DUMMYFUNCTION("IFERROR(REGEXEXTRACT(A192, ""res(269|122)""), ""none"")"),"269")</f>
        <v>269</v>
      </c>
      <c r="C192" s="1">
        <v>-15.19198</v>
      </c>
      <c r="D192" s="1">
        <v>8.0</v>
      </c>
      <c r="E192" s="1">
        <v>3.0</v>
      </c>
      <c r="F192" s="1">
        <v>0.375</v>
      </c>
      <c r="G192" s="1">
        <v>2.0</v>
      </c>
      <c r="H192" s="1">
        <v>-1.182302</v>
      </c>
      <c r="I192" s="1">
        <v>100.0</v>
      </c>
      <c r="J192" s="1">
        <v>0.0</v>
      </c>
      <c r="K192" s="1">
        <v>0.0</v>
      </c>
      <c r="L192" s="1">
        <v>97.000718</v>
      </c>
      <c r="M192" s="1" t="s">
        <v>84</v>
      </c>
    </row>
    <row r="193">
      <c r="A193" s="1" t="s">
        <v>341</v>
      </c>
      <c r="B193" s="1" t="str">
        <f>IFERROR(__xludf.DUMMYFUNCTION("IFERROR(REGEXEXTRACT(A193, ""res(269|122)""), ""none"")"),"269")</f>
        <v>269</v>
      </c>
      <c r="C193" s="1">
        <v>-15.653385</v>
      </c>
      <c r="D193" s="1">
        <v>8.0</v>
      </c>
      <c r="E193" s="1">
        <v>3.0</v>
      </c>
      <c r="F193" s="1">
        <v>0.25</v>
      </c>
      <c r="G193" s="1">
        <v>2.0</v>
      </c>
      <c r="H193" s="1">
        <v>-0.166637</v>
      </c>
      <c r="I193" s="1">
        <v>100.0</v>
      </c>
      <c r="J193" s="1">
        <v>0.0</v>
      </c>
      <c r="K193" s="1">
        <v>0.0</v>
      </c>
      <c r="L193" s="1">
        <v>97.429978</v>
      </c>
      <c r="M193" s="1" t="s">
        <v>87</v>
      </c>
    </row>
    <row r="194">
      <c r="A194" s="1" t="s">
        <v>342</v>
      </c>
      <c r="B194" s="1" t="str">
        <f>IFERROR(__xludf.DUMMYFUNCTION("IFERROR(REGEXEXTRACT(A194, ""res(269|122)""), ""none"")"),"269")</f>
        <v>269</v>
      </c>
      <c r="C194" s="1">
        <v>-15.468589</v>
      </c>
      <c r="D194" s="1">
        <v>8.0</v>
      </c>
      <c r="E194" s="1">
        <v>3.0</v>
      </c>
      <c r="F194" s="1">
        <v>0.375</v>
      </c>
      <c r="G194" s="1">
        <v>2.0</v>
      </c>
      <c r="H194" s="1">
        <v>-0.987794</v>
      </c>
      <c r="I194" s="1">
        <v>100.0</v>
      </c>
      <c r="J194" s="1">
        <v>0.0</v>
      </c>
      <c r="K194" s="1">
        <v>0.0</v>
      </c>
      <c r="L194" s="1">
        <v>96.918617</v>
      </c>
      <c r="M194" s="1" t="s">
        <v>165</v>
      </c>
    </row>
    <row r="195">
      <c r="A195" s="1" t="s">
        <v>229</v>
      </c>
      <c r="B195" s="1" t="str">
        <f>IFERROR(__xludf.DUMMYFUNCTION("IFERROR(REGEXEXTRACT(A195, ""res(269|122)""), ""none"")"),"122")</f>
        <v>122</v>
      </c>
      <c r="C195" s="1">
        <v>-17.724274</v>
      </c>
      <c r="D195" s="1">
        <v>8.0</v>
      </c>
      <c r="E195" s="1">
        <v>3.0</v>
      </c>
      <c r="F195" s="1">
        <v>0.25</v>
      </c>
      <c r="G195" s="1">
        <v>2.0</v>
      </c>
      <c r="H195" s="1">
        <v>-1.29152999999999</v>
      </c>
      <c r="I195" s="1">
        <v>100.0</v>
      </c>
      <c r="J195" s="1">
        <v>0.0</v>
      </c>
      <c r="K195" s="1">
        <v>0.0</v>
      </c>
      <c r="L195" s="1">
        <v>94.234196</v>
      </c>
      <c r="M195" s="1" t="s">
        <v>58</v>
      </c>
    </row>
    <row r="196">
      <c r="A196" s="1" t="s">
        <v>966</v>
      </c>
      <c r="B196" s="1" t="str">
        <f>IFERROR(__xludf.DUMMYFUNCTION("IFERROR(REGEXEXTRACT(A196, ""res(269|122)""), ""none"")"),"122")</f>
        <v>122</v>
      </c>
      <c r="C196" s="1">
        <v>-15.555635</v>
      </c>
      <c r="D196" s="1">
        <v>8.0</v>
      </c>
      <c r="E196" s="1">
        <v>3.0</v>
      </c>
      <c r="F196" s="1">
        <v>0.375</v>
      </c>
      <c r="G196" s="1">
        <v>3.0</v>
      </c>
      <c r="H196" s="1">
        <v>-1.23752999999999</v>
      </c>
      <c r="I196" s="1">
        <v>100.0</v>
      </c>
      <c r="J196" s="1">
        <v>0.0</v>
      </c>
      <c r="K196" s="1">
        <v>0.0</v>
      </c>
      <c r="L196" s="1">
        <v>97.581835</v>
      </c>
      <c r="M196" s="1" t="s">
        <v>967</v>
      </c>
    </row>
    <row r="197">
      <c r="A197" s="1" t="s">
        <v>968</v>
      </c>
      <c r="B197" s="1" t="str">
        <f>IFERROR(__xludf.DUMMYFUNCTION("IFERROR(REGEXEXTRACT(A197, ""res(269|122)""), ""none"")"),"122")</f>
        <v>122</v>
      </c>
      <c r="C197" s="1">
        <v>-15.464987</v>
      </c>
      <c r="D197" s="1">
        <v>7.0</v>
      </c>
      <c r="E197" s="1">
        <v>4.0</v>
      </c>
      <c r="F197" s="1">
        <v>0.285714</v>
      </c>
      <c r="G197" s="1">
        <v>2.0</v>
      </c>
      <c r="H197" s="1">
        <v>-0.843909</v>
      </c>
      <c r="I197" s="1">
        <v>100.0</v>
      </c>
      <c r="J197" s="1">
        <v>0.0</v>
      </c>
      <c r="K197" s="1">
        <v>0.0</v>
      </c>
      <c r="L197" s="1">
        <v>96.976818</v>
      </c>
      <c r="M197" s="1" t="s">
        <v>969</v>
      </c>
    </row>
    <row r="198">
      <c r="A198" s="1" t="s">
        <v>343</v>
      </c>
      <c r="B198" s="1" t="str">
        <f>IFERROR(__xludf.DUMMYFUNCTION("IFERROR(REGEXEXTRACT(A198, ""res(269|122)""), ""none"")"),"269")</f>
        <v>269</v>
      </c>
      <c r="C198" s="1">
        <v>-16.533467</v>
      </c>
      <c r="D198" s="1">
        <v>8.0</v>
      </c>
      <c r="E198" s="1">
        <v>5.0</v>
      </c>
      <c r="F198" s="1">
        <v>0.25</v>
      </c>
      <c r="G198" s="1">
        <v>2.0</v>
      </c>
      <c r="H198" s="1">
        <v>-1.486018</v>
      </c>
      <c r="I198" s="1">
        <v>100.0</v>
      </c>
      <c r="J198" s="1">
        <v>0.0</v>
      </c>
      <c r="K198" s="1">
        <v>0.0</v>
      </c>
      <c r="L198" s="1">
        <v>97.230515</v>
      </c>
      <c r="M198" s="1" t="s">
        <v>344</v>
      </c>
    </row>
    <row r="199">
      <c r="A199" s="1" t="s">
        <v>574</v>
      </c>
      <c r="B199" s="1" t="str">
        <f>IFERROR(__xludf.DUMMYFUNCTION("IFERROR(REGEXEXTRACT(A199, ""res(269|122)""), ""none"")"),"269")</f>
        <v>269</v>
      </c>
      <c r="C199" s="1">
        <v>-15.811695</v>
      </c>
      <c r="D199" s="1">
        <v>8.0</v>
      </c>
      <c r="E199" s="1">
        <v>1.0</v>
      </c>
      <c r="F199" s="1">
        <v>0.25</v>
      </c>
      <c r="G199" s="1">
        <v>3.0</v>
      </c>
      <c r="H199" s="1">
        <v>-1.385348</v>
      </c>
      <c r="I199" s="1">
        <v>100.0</v>
      </c>
      <c r="J199" s="1">
        <v>0.0</v>
      </c>
      <c r="K199" s="1">
        <v>0.0</v>
      </c>
      <c r="L199" s="1">
        <v>95.052957</v>
      </c>
      <c r="M199" s="1" t="s">
        <v>575</v>
      </c>
    </row>
    <row r="200">
      <c r="A200" s="1" t="s">
        <v>970</v>
      </c>
      <c r="B200" s="1" t="str">
        <f>IFERROR(__xludf.DUMMYFUNCTION("IFERROR(REGEXEXTRACT(A200, ""res(269|122)""), ""none"")"),"122")</f>
        <v>122</v>
      </c>
      <c r="C200" s="1">
        <v>-15.230464</v>
      </c>
      <c r="D200" s="1">
        <v>9.0</v>
      </c>
      <c r="E200" s="1">
        <v>2.0</v>
      </c>
      <c r="F200" s="1">
        <v>0.333333</v>
      </c>
      <c r="G200" s="1">
        <v>2.0</v>
      </c>
      <c r="H200" s="1">
        <v>-0.81196</v>
      </c>
      <c r="I200" s="1">
        <v>100.0</v>
      </c>
      <c r="J200" s="1">
        <v>0.0</v>
      </c>
      <c r="K200" s="1">
        <v>0.0</v>
      </c>
      <c r="L200" s="1">
        <v>97.290909</v>
      </c>
      <c r="M200" s="1" t="s">
        <v>971</v>
      </c>
    </row>
    <row r="201">
      <c r="A201" s="1" t="s">
        <v>576</v>
      </c>
      <c r="B201" s="1" t="str">
        <f>IFERROR(__xludf.DUMMYFUNCTION("IFERROR(REGEXEXTRACT(A201, ""res(269|122)""), ""none"")"),"269")</f>
        <v>269</v>
      </c>
      <c r="C201" s="1">
        <v>-15.166917</v>
      </c>
      <c r="D201" s="1">
        <v>8.0</v>
      </c>
      <c r="E201" s="1">
        <v>5.0</v>
      </c>
      <c r="F201" s="1">
        <v>0.25</v>
      </c>
      <c r="G201" s="1">
        <v>2.0</v>
      </c>
      <c r="H201" s="1">
        <v>-0.351184999999999</v>
      </c>
      <c r="I201" s="1">
        <v>100.0</v>
      </c>
      <c r="J201" s="1">
        <v>0.0</v>
      </c>
      <c r="K201" s="1">
        <v>0.0</v>
      </c>
      <c r="L201" s="1">
        <v>99.731898</v>
      </c>
      <c r="M201" s="1" t="s">
        <v>577</v>
      </c>
    </row>
    <row r="202">
      <c r="A202" s="1" t="s">
        <v>578</v>
      </c>
      <c r="B202" s="1" t="str">
        <f>IFERROR(__xludf.DUMMYFUNCTION("IFERROR(REGEXEXTRACT(A202, ""res(269|122)""), ""none"")"),"269")</f>
        <v>269</v>
      </c>
      <c r="C202" s="1">
        <v>-16.068084</v>
      </c>
      <c r="D202" s="1">
        <v>9.0</v>
      </c>
      <c r="E202" s="1">
        <v>2.0</v>
      </c>
      <c r="F202" s="1">
        <v>0.444444</v>
      </c>
      <c r="G202" s="1">
        <v>2.0</v>
      </c>
      <c r="H202" s="1">
        <v>-1.018293</v>
      </c>
      <c r="I202" s="1">
        <v>100.0</v>
      </c>
      <c r="J202" s="1">
        <v>0.0</v>
      </c>
      <c r="K202" s="1">
        <v>0.0</v>
      </c>
      <c r="L202" s="1">
        <v>96.358067</v>
      </c>
      <c r="M202" s="1" t="s">
        <v>579</v>
      </c>
    </row>
    <row r="203">
      <c r="A203" s="1" t="s">
        <v>345</v>
      </c>
      <c r="B203" s="1" t="str">
        <f>IFERROR(__xludf.DUMMYFUNCTION("IFERROR(REGEXEXTRACT(A203, ""res(269|122)""), ""none"")"),"269")</f>
        <v>269</v>
      </c>
      <c r="C203" s="1">
        <v>-16.383014</v>
      </c>
      <c r="D203" s="1">
        <v>11.0</v>
      </c>
      <c r="E203" s="1">
        <v>5.0</v>
      </c>
      <c r="F203" s="1">
        <v>0.545455</v>
      </c>
      <c r="G203" s="1">
        <v>2.0</v>
      </c>
      <c r="H203" s="1">
        <v>-1.431922</v>
      </c>
      <c r="I203" s="1">
        <v>100.0</v>
      </c>
      <c r="J203" s="1">
        <v>0.0</v>
      </c>
      <c r="K203" s="1">
        <v>0.0</v>
      </c>
      <c r="L203" s="1">
        <v>100.730519</v>
      </c>
      <c r="M203" s="1" t="s">
        <v>346</v>
      </c>
    </row>
    <row r="204">
      <c r="A204" s="1" t="s">
        <v>347</v>
      </c>
      <c r="B204" s="1" t="str">
        <f>IFERROR(__xludf.DUMMYFUNCTION("IFERROR(REGEXEXTRACT(A204, ""res(269|122)""), ""none"")"),"269")</f>
        <v>269</v>
      </c>
      <c r="C204" s="1">
        <v>-15.915515</v>
      </c>
      <c r="D204" s="1">
        <v>8.0</v>
      </c>
      <c r="E204" s="1">
        <v>4.0</v>
      </c>
      <c r="F204" s="1">
        <v>0.375</v>
      </c>
      <c r="G204" s="1">
        <v>2.0</v>
      </c>
      <c r="H204" s="1">
        <v>-0.684045</v>
      </c>
      <c r="I204" s="1">
        <v>100.0</v>
      </c>
      <c r="J204" s="1">
        <v>0.0</v>
      </c>
      <c r="K204" s="1">
        <v>0.0</v>
      </c>
      <c r="L204" s="1">
        <v>97.77544</v>
      </c>
      <c r="M204" s="1" t="s">
        <v>348</v>
      </c>
    </row>
    <row r="205">
      <c r="A205" s="1" t="s">
        <v>349</v>
      </c>
      <c r="B205" s="1" t="str">
        <f>IFERROR(__xludf.DUMMYFUNCTION("IFERROR(REGEXEXTRACT(A205, ""res(269|122)""), ""none"")"),"269")</f>
        <v>269</v>
      </c>
      <c r="C205" s="1">
        <v>-15.759066</v>
      </c>
      <c r="D205" s="1">
        <v>7.0</v>
      </c>
      <c r="E205" s="1">
        <v>2.0</v>
      </c>
      <c r="F205" s="1">
        <v>0.571429</v>
      </c>
      <c r="G205" s="1">
        <v>2.0</v>
      </c>
      <c r="H205" s="1">
        <v>-0.931789</v>
      </c>
      <c r="I205" s="1">
        <v>100.0</v>
      </c>
      <c r="J205" s="1">
        <v>0.0</v>
      </c>
      <c r="K205" s="1">
        <v>0.0</v>
      </c>
      <c r="L205" s="1">
        <v>94.880574</v>
      </c>
      <c r="M205" s="1" t="s">
        <v>90</v>
      </c>
    </row>
    <row r="206">
      <c r="A206" s="1" t="s">
        <v>350</v>
      </c>
      <c r="B206" s="1" t="str">
        <f>IFERROR(__xludf.DUMMYFUNCTION("IFERROR(REGEXEXTRACT(A206, ""res(269|122)""), ""none"")"),"269")</f>
        <v>269</v>
      </c>
      <c r="C206" s="1">
        <v>-15.759066</v>
      </c>
      <c r="D206" s="1">
        <v>7.0</v>
      </c>
      <c r="E206" s="1">
        <v>2.0</v>
      </c>
      <c r="F206" s="1">
        <v>0.571429</v>
      </c>
      <c r="G206" s="1">
        <v>2.0</v>
      </c>
      <c r="H206" s="1">
        <v>-0.931789</v>
      </c>
      <c r="I206" s="1">
        <v>100.0</v>
      </c>
      <c r="J206" s="1">
        <v>0.0</v>
      </c>
      <c r="K206" s="1">
        <v>0.0</v>
      </c>
      <c r="L206" s="1">
        <v>94.880574</v>
      </c>
      <c r="M206" s="1" t="s">
        <v>351</v>
      </c>
    </row>
    <row r="207">
      <c r="A207" s="1" t="s">
        <v>580</v>
      </c>
      <c r="B207" s="1" t="str">
        <f>IFERROR(__xludf.DUMMYFUNCTION("IFERROR(REGEXEXTRACT(A207, ""res(269|122)""), ""none"")"),"269")</f>
        <v>269</v>
      </c>
      <c r="C207" s="1">
        <v>-15.59682</v>
      </c>
      <c r="D207" s="1">
        <v>8.0</v>
      </c>
      <c r="E207" s="1">
        <v>3.0</v>
      </c>
      <c r="F207" s="1">
        <v>0.25</v>
      </c>
      <c r="G207" s="1">
        <v>2.0</v>
      </c>
      <c r="H207" s="1">
        <v>-0.781714999999999</v>
      </c>
      <c r="I207" s="1">
        <v>100.0</v>
      </c>
      <c r="J207" s="1">
        <v>0.0</v>
      </c>
      <c r="K207" s="1">
        <v>0.0</v>
      </c>
      <c r="L207" s="1">
        <v>96.871465</v>
      </c>
      <c r="M207" s="1" t="s">
        <v>581</v>
      </c>
    </row>
    <row r="208">
      <c r="A208" s="1" t="s">
        <v>582</v>
      </c>
      <c r="B208" s="1" t="str">
        <f>IFERROR(__xludf.DUMMYFUNCTION("IFERROR(REGEXEXTRACT(A208, ""res(269|122)""), ""none"")"),"269")</f>
        <v>269</v>
      </c>
      <c r="C208" s="1">
        <v>-15.480946</v>
      </c>
      <c r="D208" s="1">
        <v>8.0</v>
      </c>
      <c r="E208" s="1">
        <v>4.0</v>
      </c>
      <c r="F208" s="1">
        <v>0.25</v>
      </c>
      <c r="G208" s="1">
        <v>2.0</v>
      </c>
      <c r="H208" s="1">
        <v>-0.505827</v>
      </c>
      <c r="I208" s="1">
        <v>100.0</v>
      </c>
      <c r="J208" s="1">
        <v>0.0</v>
      </c>
      <c r="K208" s="1">
        <v>0.0</v>
      </c>
      <c r="L208" s="1">
        <v>98.263227</v>
      </c>
      <c r="M208" s="1" t="s">
        <v>583</v>
      </c>
    </row>
    <row r="209">
      <c r="A209" s="1" t="s">
        <v>584</v>
      </c>
      <c r="B209" s="1" t="str">
        <f>IFERROR(__xludf.DUMMYFUNCTION("IFERROR(REGEXEXTRACT(A209, ""res(269|122)""), ""none"")"),"269")</f>
        <v>269</v>
      </c>
      <c r="C209" s="1">
        <v>-15.084562</v>
      </c>
      <c r="D209" s="1">
        <v>9.0</v>
      </c>
      <c r="E209" s="1">
        <v>2.0</v>
      </c>
      <c r="F209" s="1">
        <v>0.333333</v>
      </c>
      <c r="G209" s="1">
        <v>2.0</v>
      </c>
      <c r="H209" s="1">
        <v>-1.126036</v>
      </c>
      <c r="I209" s="1">
        <v>100.0</v>
      </c>
      <c r="J209" s="1">
        <v>0.0</v>
      </c>
      <c r="K209" s="1">
        <v>0.0</v>
      </c>
      <c r="L209" s="1">
        <v>97.122735</v>
      </c>
      <c r="M209" s="1" t="s">
        <v>585</v>
      </c>
    </row>
    <row r="210">
      <c r="A210" s="1" t="s">
        <v>586</v>
      </c>
      <c r="B210" s="1" t="str">
        <f>IFERROR(__xludf.DUMMYFUNCTION("IFERROR(REGEXEXTRACT(A210, ""res(269|122)""), ""none"")"),"269")</f>
        <v>269</v>
      </c>
      <c r="C210" s="1">
        <v>-16.433564</v>
      </c>
      <c r="D210" s="1">
        <v>12.0</v>
      </c>
      <c r="E210" s="1">
        <v>4.0</v>
      </c>
      <c r="F210" s="1">
        <v>0.333333</v>
      </c>
      <c r="G210" s="1">
        <v>2.0</v>
      </c>
      <c r="H210" s="1">
        <v>-0.696566999999999</v>
      </c>
      <c r="I210" s="1">
        <v>100.0</v>
      </c>
      <c r="J210" s="1">
        <v>0.0</v>
      </c>
      <c r="K210" s="1">
        <v>0.0</v>
      </c>
      <c r="L210" s="1">
        <v>101.203202</v>
      </c>
      <c r="M210" s="1" t="s">
        <v>587</v>
      </c>
    </row>
    <row r="211">
      <c r="A211" s="1" t="s">
        <v>588</v>
      </c>
      <c r="B211" s="1" t="str">
        <f>IFERROR(__xludf.DUMMYFUNCTION("IFERROR(REGEXEXTRACT(A211, ""res(269|122)""), ""none"")"),"269")</f>
        <v>269</v>
      </c>
      <c r="C211" s="1">
        <v>-15.248368</v>
      </c>
      <c r="D211" s="1">
        <v>7.0</v>
      </c>
      <c r="E211" s="1">
        <v>1.0</v>
      </c>
      <c r="F211" s="1">
        <v>0.285714</v>
      </c>
      <c r="G211" s="1">
        <v>2.0</v>
      </c>
      <c r="H211" s="1">
        <v>-0.793475</v>
      </c>
      <c r="I211" s="1">
        <v>100.0</v>
      </c>
      <c r="J211" s="1">
        <v>0.0</v>
      </c>
      <c r="K211" s="1">
        <v>0.0</v>
      </c>
      <c r="L211" s="1">
        <v>94.243871</v>
      </c>
      <c r="M211" s="1" t="s">
        <v>589</v>
      </c>
    </row>
    <row r="212">
      <c r="A212" s="1" t="s">
        <v>590</v>
      </c>
      <c r="B212" s="1" t="str">
        <f>IFERROR(__xludf.DUMMYFUNCTION("IFERROR(REGEXEXTRACT(A212, ""res(269|122)""), ""none"")"),"269")</f>
        <v>269</v>
      </c>
      <c r="C212" s="1">
        <v>-15.046665</v>
      </c>
      <c r="D212" s="1">
        <v>10.0</v>
      </c>
      <c r="E212" s="1">
        <v>3.0</v>
      </c>
      <c r="F212" s="1">
        <v>0.3</v>
      </c>
      <c r="G212" s="1">
        <v>2.0</v>
      </c>
      <c r="H212" s="1">
        <v>-0.432822</v>
      </c>
      <c r="I212" s="1">
        <v>100.0</v>
      </c>
      <c r="J212" s="1">
        <v>0.0</v>
      </c>
      <c r="K212" s="1">
        <v>0.0</v>
      </c>
      <c r="L212" s="1">
        <v>99.820513</v>
      </c>
      <c r="M212" s="1" t="s">
        <v>591</v>
      </c>
    </row>
    <row r="213">
      <c r="A213" s="1" t="s">
        <v>592</v>
      </c>
      <c r="B213" s="1" t="str">
        <f>IFERROR(__xludf.DUMMYFUNCTION("IFERROR(REGEXEXTRACT(A213, ""res(269|122)""), ""none"")"),"269")</f>
        <v>269</v>
      </c>
      <c r="C213" s="1">
        <v>-15.496757</v>
      </c>
      <c r="D213" s="1">
        <v>10.0</v>
      </c>
      <c r="E213" s="1">
        <v>2.0</v>
      </c>
      <c r="F213" s="1">
        <v>0.3</v>
      </c>
      <c r="G213" s="1">
        <v>2.0</v>
      </c>
      <c r="H213" s="1">
        <v>-0.809153999999999</v>
      </c>
      <c r="I213" s="1">
        <v>100.0</v>
      </c>
      <c r="J213" s="1">
        <v>0.0</v>
      </c>
      <c r="K213" s="1">
        <v>0.0</v>
      </c>
      <c r="L213" s="1">
        <v>97.994089</v>
      </c>
      <c r="M213" s="1" t="s">
        <v>593</v>
      </c>
    </row>
    <row r="214">
      <c r="A214" s="1" t="s">
        <v>972</v>
      </c>
      <c r="B214" s="1" t="str">
        <f>IFERROR(__xludf.DUMMYFUNCTION("IFERROR(REGEXEXTRACT(A214, ""res(269|122)""), ""none"")"),"122")</f>
        <v>122</v>
      </c>
      <c r="C214" s="1">
        <v>-16.931881</v>
      </c>
      <c r="D214" s="1">
        <v>10.0</v>
      </c>
      <c r="E214" s="1">
        <v>4.0</v>
      </c>
      <c r="F214" s="1">
        <v>0.3</v>
      </c>
      <c r="G214" s="1">
        <v>2.0</v>
      </c>
      <c r="H214" s="1">
        <v>-0.442768999999999</v>
      </c>
      <c r="I214" s="1">
        <v>100.0</v>
      </c>
      <c r="J214" s="1">
        <v>0.0</v>
      </c>
      <c r="K214" s="1">
        <v>0.0</v>
      </c>
      <c r="L214" s="1">
        <v>98.92535</v>
      </c>
      <c r="M214" s="1" t="s">
        <v>973</v>
      </c>
    </row>
    <row r="215">
      <c r="A215" s="1" t="s">
        <v>594</v>
      </c>
      <c r="B215" s="1" t="str">
        <f>IFERROR(__xludf.DUMMYFUNCTION("IFERROR(REGEXEXTRACT(A215, ""res(269|122)""), ""none"")"),"269")</f>
        <v>269</v>
      </c>
      <c r="C215" s="1">
        <v>-15.123891</v>
      </c>
      <c r="D215" s="1">
        <v>7.0</v>
      </c>
      <c r="E215" s="1">
        <v>1.0</v>
      </c>
      <c r="F215" s="1">
        <v>0.428571</v>
      </c>
      <c r="G215" s="1">
        <v>2.0</v>
      </c>
      <c r="H215" s="1">
        <v>-0.389964</v>
      </c>
      <c r="I215" s="1">
        <v>100.0</v>
      </c>
      <c r="J215" s="1">
        <v>0.0</v>
      </c>
      <c r="K215" s="1">
        <v>0.0</v>
      </c>
      <c r="L215" s="1">
        <v>94.914716</v>
      </c>
      <c r="M215" s="1" t="s">
        <v>595</v>
      </c>
    </row>
    <row r="216">
      <c r="A216" s="1" t="s">
        <v>596</v>
      </c>
      <c r="B216" s="1" t="str">
        <f>IFERROR(__xludf.DUMMYFUNCTION("IFERROR(REGEXEXTRACT(A216, ""res(269|122)""), ""none"")"),"269")</f>
        <v>269</v>
      </c>
      <c r="C216" s="1">
        <v>-17.851558</v>
      </c>
      <c r="D216" s="1">
        <v>7.0</v>
      </c>
      <c r="E216" s="1">
        <v>2.0</v>
      </c>
      <c r="F216" s="1">
        <v>0.285714</v>
      </c>
      <c r="G216" s="1">
        <v>2.0</v>
      </c>
      <c r="H216" s="1">
        <v>-0.879698</v>
      </c>
      <c r="I216" s="1">
        <v>100.0</v>
      </c>
      <c r="J216" s="1">
        <v>0.0</v>
      </c>
      <c r="K216" s="1">
        <v>0.0</v>
      </c>
      <c r="L216" s="1">
        <v>92.554458</v>
      </c>
      <c r="M216" s="1" t="s">
        <v>597</v>
      </c>
    </row>
    <row r="217">
      <c r="A217" s="1" t="s">
        <v>598</v>
      </c>
      <c r="B217" s="1" t="str">
        <f>IFERROR(__xludf.DUMMYFUNCTION("IFERROR(REGEXEXTRACT(A217, ""res(269|122)""), ""none"")"),"269")</f>
        <v>269</v>
      </c>
      <c r="C217" s="1">
        <v>-16.37987</v>
      </c>
      <c r="D217" s="1">
        <v>13.0</v>
      </c>
      <c r="E217" s="1">
        <v>3.0</v>
      </c>
      <c r="F217" s="1">
        <v>0.307692</v>
      </c>
      <c r="G217" s="1">
        <v>2.0</v>
      </c>
      <c r="H217" s="1">
        <v>-0.226607</v>
      </c>
      <c r="I217" s="1">
        <v>100.0</v>
      </c>
      <c r="J217" s="1">
        <v>0.0</v>
      </c>
      <c r="K217" s="1">
        <v>0.0</v>
      </c>
      <c r="L217" s="1">
        <v>101.701215</v>
      </c>
      <c r="M217" s="1" t="s">
        <v>599</v>
      </c>
    </row>
    <row r="218">
      <c r="A218" s="1" t="s">
        <v>600</v>
      </c>
      <c r="B218" s="1" t="str">
        <f>IFERROR(__xludf.DUMMYFUNCTION("IFERROR(REGEXEXTRACT(A218, ""res(269|122)""), ""none"")"),"269")</f>
        <v>269</v>
      </c>
      <c r="C218" s="1">
        <v>-15.216876</v>
      </c>
      <c r="D218" s="1">
        <v>7.0</v>
      </c>
      <c r="E218" s="1">
        <v>1.0</v>
      </c>
      <c r="F218" s="1">
        <v>0.285714</v>
      </c>
      <c r="G218" s="1">
        <v>2.0</v>
      </c>
      <c r="H218" s="1">
        <v>-0.938238</v>
      </c>
      <c r="I218" s="1">
        <v>100.0</v>
      </c>
      <c r="J218" s="1">
        <v>0.0</v>
      </c>
      <c r="K218" s="1">
        <v>0.0</v>
      </c>
      <c r="L218" s="1">
        <v>94.1306</v>
      </c>
      <c r="M218" s="1" t="s">
        <v>601</v>
      </c>
    </row>
    <row r="219">
      <c r="A219" s="1" t="s">
        <v>602</v>
      </c>
      <c r="B219" s="1" t="str">
        <f>IFERROR(__xludf.DUMMYFUNCTION("IFERROR(REGEXEXTRACT(A219, ""res(269|122)""), ""none"")"),"269")</f>
        <v>269</v>
      </c>
      <c r="C219" s="1">
        <v>-15.926988</v>
      </c>
      <c r="D219" s="1">
        <v>10.0</v>
      </c>
      <c r="E219" s="1">
        <v>3.0</v>
      </c>
      <c r="F219" s="1">
        <v>0.3</v>
      </c>
      <c r="G219" s="1">
        <v>2.0</v>
      </c>
      <c r="H219" s="1">
        <v>-0.899726</v>
      </c>
      <c r="I219" s="1">
        <v>100.0</v>
      </c>
      <c r="J219" s="1">
        <v>0.0</v>
      </c>
      <c r="K219" s="1">
        <v>0.0</v>
      </c>
      <c r="L219" s="1">
        <v>98.473286</v>
      </c>
      <c r="M219" s="1" t="s">
        <v>603</v>
      </c>
    </row>
    <row r="220">
      <c r="A220" s="1" t="s">
        <v>352</v>
      </c>
      <c r="B220" s="1" t="str">
        <f>IFERROR(__xludf.DUMMYFUNCTION("IFERROR(REGEXEXTRACT(A220, ""res(269|122)""), ""none"")"),"269")</f>
        <v>269</v>
      </c>
      <c r="C220" s="1">
        <v>-15.088626</v>
      </c>
      <c r="D220" s="1">
        <v>12.0</v>
      </c>
      <c r="E220" s="1">
        <v>3.0</v>
      </c>
      <c r="F220" s="1">
        <v>0.416667</v>
      </c>
      <c r="G220" s="1">
        <v>2.0</v>
      </c>
      <c r="H220" s="1">
        <v>-0.765151</v>
      </c>
      <c r="I220" s="1">
        <v>100.0</v>
      </c>
      <c r="J220" s="1">
        <v>0.0</v>
      </c>
      <c r="K220" s="1">
        <v>0.0</v>
      </c>
      <c r="L220" s="1">
        <v>101.56289</v>
      </c>
      <c r="M220" s="1" t="s">
        <v>353</v>
      </c>
    </row>
    <row r="221">
      <c r="A221" s="1" t="s">
        <v>604</v>
      </c>
      <c r="B221" s="1" t="str">
        <f>IFERROR(__xludf.DUMMYFUNCTION("IFERROR(REGEXEXTRACT(A221, ""res(269|122)""), ""none"")"),"269")</f>
        <v>269</v>
      </c>
      <c r="C221" s="1">
        <v>-16.476724</v>
      </c>
      <c r="D221" s="1">
        <v>7.0</v>
      </c>
      <c r="E221" s="1">
        <v>2.0</v>
      </c>
      <c r="F221" s="1">
        <v>0.285714</v>
      </c>
      <c r="G221" s="1">
        <v>3.0</v>
      </c>
      <c r="H221" s="1">
        <v>-0.823762</v>
      </c>
      <c r="I221" s="1">
        <v>100.0</v>
      </c>
      <c r="J221" s="1">
        <v>0.0</v>
      </c>
      <c r="K221" s="1">
        <v>0.0</v>
      </c>
      <c r="L221" s="1">
        <v>94.985228</v>
      </c>
      <c r="M221" s="1" t="s">
        <v>605</v>
      </c>
    </row>
    <row r="222">
      <c r="A222" s="1" t="s">
        <v>606</v>
      </c>
      <c r="B222" s="1" t="str">
        <f>IFERROR(__xludf.DUMMYFUNCTION("IFERROR(REGEXEXTRACT(A222, ""res(269|122)""), ""none"")"),"269")</f>
        <v>269</v>
      </c>
      <c r="C222" s="1">
        <v>-15.583805</v>
      </c>
      <c r="D222" s="1">
        <v>7.0</v>
      </c>
      <c r="E222" s="1">
        <v>3.0</v>
      </c>
      <c r="F222" s="1">
        <v>0.285714</v>
      </c>
      <c r="G222" s="1">
        <v>2.0</v>
      </c>
      <c r="H222" s="1">
        <v>-1.40151</v>
      </c>
      <c r="I222" s="1">
        <v>100.0</v>
      </c>
      <c r="J222" s="1">
        <v>0.0</v>
      </c>
      <c r="K222" s="1">
        <v>0.0</v>
      </c>
      <c r="L222" s="1">
        <v>95.300399</v>
      </c>
      <c r="M222" s="1" t="s">
        <v>607</v>
      </c>
    </row>
    <row r="223">
      <c r="A223" s="1" t="s">
        <v>608</v>
      </c>
      <c r="B223" s="1" t="str">
        <f>IFERROR(__xludf.DUMMYFUNCTION("IFERROR(REGEXEXTRACT(A223, ""res(269|122)""), ""none"")"),"269")</f>
        <v>269</v>
      </c>
      <c r="C223" s="1">
        <v>-18.086218</v>
      </c>
      <c r="D223" s="1">
        <v>12.0</v>
      </c>
      <c r="E223" s="1">
        <v>4.0</v>
      </c>
      <c r="F223" s="1">
        <v>0.25</v>
      </c>
      <c r="G223" s="1">
        <v>2.0</v>
      </c>
      <c r="H223" s="1">
        <v>-1.08402</v>
      </c>
      <c r="I223" s="1">
        <v>100.0</v>
      </c>
      <c r="J223" s="1">
        <v>0.0</v>
      </c>
      <c r="K223" s="1">
        <v>0.0</v>
      </c>
      <c r="L223" s="1">
        <v>99.079762</v>
      </c>
      <c r="M223" s="1" t="s">
        <v>609</v>
      </c>
    </row>
    <row r="224">
      <c r="A224" s="1" t="s">
        <v>610</v>
      </c>
      <c r="B224" s="1" t="str">
        <f>IFERROR(__xludf.DUMMYFUNCTION("IFERROR(REGEXEXTRACT(A224, ""res(269|122)""), ""none"")"),"269")</f>
        <v>269</v>
      </c>
      <c r="C224" s="1">
        <v>-17.2643</v>
      </c>
      <c r="D224" s="1">
        <v>7.0</v>
      </c>
      <c r="E224" s="1">
        <v>4.0</v>
      </c>
      <c r="F224" s="1">
        <v>0.285714</v>
      </c>
      <c r="G224" s="1">
        <v>2.0</v>
      </c>
      <c r="H224" s="1">
        <v>-0.594912</v>
      </c>
      <c r="I224" s="1">
        <v>100.0</v>
      </c>
      <c r="J224" s="1">
        <v>0.0</v>
      </c>
      <c r="K224" s="1">
        <v>0.0</v>
      </c>
      <c r="L224" s="1">
        <v>95.426502</v>
      </c>
      <c r="M224" s="1" t="s">
        <v>611</v>
      </c>
    </row>
    <row r="225">
      <c r="A225" s="1" t="s">
        <v>354</v>
      </c>
      <c r="B225" s="1" t="str">
        <f>IFERROR(__xludf.DUMMYFUNCTION("IFERROR(REGEXEXTRACT(A225, ""res(269|122)""), ""none"")"),"269")</f>
        <v>269</v>
      </c>
      <c r="C225" s="1">
        <v>-16.551482</v>
      </c>
      <c r="D225" s="1">
        <v>8.0</v>
      </c>
      <c r="E225" s="1">
        <v>3.0</v>
      </c>
      <c r="F225" s="1">
        <v>0.25</v>
      </c>
      <c r="G225" s="1">
        <v>2.0</v>
      </c>
      <c r="H225" s="1">
        <v>-0.695112</v>
      </c>
      <c r="I225" s="1">
        <v>100.0</v>
      </c>
      <c r="J225" s="1">
        <v>0.0</v>
      </c>
      <c r="K225" s="1">
        <v>0.0</v>
      </c>
      <c r="L225" s="1">
        <v>96.003406</v>
      </c>
      <c r="M225" s="1" t="s">
        <v>355</v>
      </c>
    </row>
    <row r="226">
      <c r="A226" s="1" t="s">
        <v>356</v>
      </c>
      <c r="B226" s="1" t="str">
        <f>IFERROR(__xludf.DUMMYFUNCTION("IFERROR(REGEXEXTRACT(A226, ""res(269|122)""), ""none"")"),"269")</f>
        <v>269</v>
      </c>
      <c r="C226" s="1">
        <v>-16.947939</v>
      </c>
      <c r="D226" s="1">
        <v>7.0</v>
      </c>
      <c r="E226" s="1">
        <v>1.0</v>
      </c>
      <c r="F226" s="1">
        <v>0.285714</v>
      </c>
      <c r="G226" s="1">
        <v>2.0</v>
      </c>
      <c r="H226" s="1">
        <v>-1.26662</v>
      </c>
      <c r="I226" s="1">
        <v>100.0</v>
      </c>
      <c r="J226" s="1">
        <v>0.0</v>
      </c>
      <c r="K226" s="1">
        <v>0.0</v>
      </c>
      <c r="L226" s="1">
        <v>92.071155</v>
      </c>
      <c r="M226" s="1" t="s">
        <v>168</v>
      </c>
    </row>
    <row r="227">
      <c r="A227" s="1" t="s">
        <v>974</v>
      </c>
      <c r="B227" s="1" t="str">
        <f>IFERROR(__xludf.DUMMYFUNCTION("IFERROR(REGEXEXTRACT(A227, ""res(269|122)""), ""none"")"),"122")</f>
        <v>122</v>
      </c>
      <c r="C227" s="1">
        <v>-17.518199</v>
      </c>
      <c r="D227" s="1">
        <v>11.0</v>
      </c>
      <c r="E227" s="1">
        <v>3.0</v>
      </c>
      <c r="F227" s="1">
        <v>0.272727</v>
      </c>
      <c r="G227" s="1">
        <v>2.0</v>
      </c>
      <c r="H227" s="1">
        <v>-1.13703</v>
      </c>
      <c r="I227" s="1">
        <v>100.0</v>
      </c>
      <c r="J227" s="1">
        <v>0.0</v>
      </c>
      <c r="K227" s="1">
        <v>0.0</v>
      </c>
      <c r="L227" s="1">
        <v>97.617498</v>
      </c>
      <c r="M227" s="1" t="s">
        <v>975</v>
      </c>
    </row>
    <row r="228">
      <c r="A228" s="1" t="s">
        <v>612</v>
      </c>
      <c r="B228" s="1" t="str">
        <f>IFERROR(__xludf.DUMMYFUNCTION("IFERROR(REGEXEXTRACT(A228, ""res(269|122)""), ""none"")"),"269")</f>
        <v>269</v>
      </c>
      <c r="C228" s="1">
        <v>-16.985042</v>
      </c>
      <c r="D228" s="1">
        <v>8.0</v>
      </c>
      <c r="E228" s="1">
        <v>4.0</v>
      </c>
      <c r="F228" s="1">
        <v>0.25</v>
      </c>
      <c r="G228" s="1">
        <v>2.0</v>
      </c>
      <c r="H228" s="1">
        <v>-1.067859</v>
      </c>
      <c r="I228" s="1">
        <v>100.0</v>
      </c>
      <c r="J228" s="1">
        <v>0.0</v>
      </c>
      <c r="K228" s="1">
        <v>0.0</v>
      </c>
      <c r="L228" s="1">
        <v>96.197099</v>
      </c>
      <c r="M228" s="1" t="s">
        <v>613</v>
      </c>
    </row>
    <row r="229">
      <c r="A229" s="1" t="s">
        <v>614</v>
      </c>
      <c r="B229" s="1" t="str">
        <f>IFERROR(__xludf.DUMMYFUNCTION("IFERROR(REGEXEXTRACT(A229, ""res(269|122)""), ""none"")"),"269")</f>
        <v>269</v>
      </c>
      <c r="C229" s="1">
        <v>-15.509211</v>
      </c>
      <c r="D229" s="1">
        <v>9.0</v>
      </c>
      <c r="E229" s="1">
        <v>3.0</v>
      </c>
      <c r="F229" s="1">
        <v>0.333333</v>
      </c>
      <c r="G229" s="1">
        <v>2.0</v>
      </c>
      <c r="H229" s="1">
        <v>-0.596599</v>
      </c>
      <c r="I229" s="1">
        <v>100.0</v>
      </c>
      <c r="J229" s="1">
        <v>0.0</v>
      </c>
      <c r="K229" s="1">
        <v>0.0</v>
      </c>
      <c r="L229" s="1">
        <v>98.227523</v>
      </c>
      <c r="M229" s="1" t="s">
        <v>615</v>
      </c>
    </row>
    <row r="230">
      <c r="A230" s="1" t="s">
        <v>616</v>
      </c>
      <c r="B230" s="1" t="str">
        <f>IFERROR(__xludf.DUMMYFUNCTION("IFERROR(REGEXEXTRACT(A230, ""res(269|122)""), ""none"")"),"269")</f>
        <v>269</v>
      </c>
      <c r="C230" s="1">
        <v>-16.224626</v>
      </c>
      <c r="D230" s="1">
        <v>12.0</v>
      </c>
      <c r="E230" s="1">
        <v>3.0</v>
      </c>
      <c r="F230" s="1">
        <v>0.25</v>
      </c>
      <c r="G230" s="1">
        <v>2.0</v>
      </c>
      <c r="H230" s="1">
        <v>-0.717456</v>
      </c>
      <c r="I230" s="1">
        <v>100.0</v>
      </c>
      <c r="J230" s="1">
        <v>0.0</v>
      </c>
      <c r="K230" s="1">
        <v>0.0</v>
      </c>
      <c r="L230" s="1">
        <v>100.307918</v>
      </c>
      <c r="M230" s="1" t="s">
        <v>617</v>
      </c>
    </row>
    <row r="231">
      <c r="A231" s="1" t="s">
        <v>618</v>
      </c>
      <c r="B231" s="1" t="str">
        <f>IFERROR(__xludf.DUMMYFUNCTION("IFERROR(REGEXEXTRACT(A231, ""res(269|122)""), ""none"")"),"269")</f>
        <v>269</v>
      </c>
      <c r="C231" s="1">
        <v>-15.347144</v>
      </c>
      <c r="D231" s="1">
        <v>8.0</v>
      </c>
      <c r="E231" s="1">
        <v>1.0</v>
      </c>
      <c r="F231" s="1">
        <v>0.375</v>
      </c>
      <c r="G231" s="1">
        <v>2.0</v>
      </c>
      <c r="H231" s="1">
        <v>-1.417512</v>
      </c>
      <c r="I231" s="1">
        <v>100.0</v>
      </c>
      <c r="J231" s="1">
        <v>0.0</v>
      </c>
      <c r="K231" s="1">
        <v>0.0</v>
      </c>
      <c r="L231" s="1">
        <v>94.610344</v>
      </c>
      <c r="M231" s="1" t="s">
        <v>619</v>
      </c>
    </row>
    <row r="232">
      <c r="A232" s="1" t="s">
        <v>620</v>
      </c>
      <c r="B232" s="1" t="str">
        <f>IFERROR(__xludf.DUMMYFUNCTION("IFERROR(REGEXEXTRACT(A232, ""res(269|122)""), ""none"")"),"269")</f>
        <v>269</v>
      </c>
      <c r="C232" s="1">
        <v>-15.969661</v>
      </c>
      <c r="D232" s="1">
        <v>10.0</v>
      </c>
      <c r="E232" s="1">
        <v>2.0</v>
      </c>
      <c r="F232" s="1">
        <v>0.5</v>
      </c>
      <c r="G232" s="1">
        <v>2.0</v>
      </c>
      <c r="H232" s="1">
        <v>-0.737468999999999</v>
      </c>
      <c r="I232" s="1">
        <v>100.0</v>
      </c>
      <c r="J232" s="1">
        <v>0.0</v>
      </c>
      <c r="K232" s="1">
        <v>0.0</v>
      </c>
      <c r="L232" s="1">
        <v>97.79287</v>
      </c>
      <c r="M232" s="1" t="s">
        <v>621</v>
      </c>
    </row>
    <row r="233">
      <c r="A233" s="1" t="s">
        <v>622</v>
      </c>
      <c r="B233" s="1" t="str">
        <f>IFERROR(__xludf.DUMMYFUNCTION("IFERROR(REGEXEXTRACT(A233, ""res(269|122)""), ""none"")"),"269")</f>
        <v>269</v>
      </c>
      <c r="C233" s="1">
        <v>-15.981415</v>
      </c>
      <c r="D233" s="1">
        <v>10.0</v>
      </c>
      <c r="E233" s="1">
        <v>3.0</v>
      </c>
      <c r="F233" s="1">
        <v>0.4</v>
      </c>
      <c r="G233" s="1">
        <v>2.0</v>
      </c>
      <c r="H233" s="1">
        <v>-1.45702499999999</v>
      </c>
      <c r="I233" s="1">
        <v>100.0</v>
      </c>
      <c r="J233" s="1">
        <v>0.0</v>
      </c>
      <c r="K233" s="1">
        <v>0.0</v>
      </c>
      <c r="L233" s="1">
        <v>97.96156</v>
      </c>
      <c r="M233" s="1" t="s">
        <v>623</v>
      </c>
    </row>
    <row r="234">
      <c r="A234" s="1" t="s">
        <v>976</v>
      </c>
      <c r="B234" s="1" t="str">
        <f>IFERROR(__xludf.DUMMYFUNCTION("IFERROR(REGEXEXTRACT(A234, ""res(269|122)""), ""none"")"),"122")</f>
        <v>122</v>
      </c>
      <c r="C234" s="1">
        <v>-17.440245</v>
      </c>
      <c r="D234" s="1">
        <v>11.0</v>
      </c>
      <c r="E234" s="1">
        <v>4.0</v>
      </c>
      <c r="F234" s="1">
        <v>0.363636</v>
      </c>
      <c r="G234" s="1">
        <v>2.0</v>
      </c>
      <c r="H234" s="1">
        <v>-0.623826</v>
      </c>
      <c r="I234" s="1">
        <v>100.0</v>
      </c>
      <c r="J234" s="1">
        <v>0.0</v>
      </c>
      <c r="K234" s="1">
        <v>0.0</v>
      </c>
      <c r="L234" s="1">
        <v>99.299565</v>
      </c>
      <c r="M234" s="1" t="s">
        <v>977</v>
      </c>
    </row>
    <row r="235">
      <c r="A235" s="1" t="s">
        <v>624</v>
      </c>
      <c r="B235" s="1" t="str">
        <f>IFERROR(__xludf.DUMMYFUNCTION("IFERROR(REGEXEXTRACT(A235, ""res(269|122)""), ""none"")"),"269")</f>
        <v>269</v>
      </c>
      <c r="C235" s="1">
        <v>-15.875838</v>
      </c>
      <c r="D235" s="1">
        <v>7.0</v>
      </c>
      <c r="E235" s="1">
        <v>2.0</v>
      </c>
      <c r="F235" s="1">
        <v>0.285714</v>
      </c>
      <c r="G235" s="1">
        <v>2.0</v>
      </c>
      <c r="H235" s="1">
        <v>-0.561351</v>
      </c>
      <c r="I235" s="1">
        <v>100.0</v>
      </c>
      <c r="J235" s="1">
        <v>0.0</v>
      </c>
      <c r="K235" s="1">
        <v>0.0</v>
      </c>
      <c r="L235" s="1">
        <v>94.848525</v>
      </c>
      <c r="M235" s="1" t="s">
        <v>625</v>
      </c>
    </row>
    <row r="236">
      <c r="A236" s="1" t="s">
        <v>626</v>
      </c>
      <c r="B236" s="1" t="str">
        <f>IFERROR(__xludf.DUMMYFUNCTION("IFERROR(REGEXEXTRACT(A236, ""res(269|122)""), ""none"")"),"269")</f>
        <v>269</v>
      </c>
      <c r="C236" s="1">
        <v>-15.397525</v>
      </c>
      <c r="D236" s="1">
        <v>10.0</v>
      </c>
      <c r="E236" s="1">
        <v>3.0</v>
      </c>
      <c r="F236" s="1">
        <v>0.3</v>
      </c>
      <c r="G236" s="1">
        <v>3.0</v>
      </c>
      <c r="H236" s="1">
        <v>-2.80944</v>
      </c>
      <c r="I236" s="1">
        <v>100.0</v>
      </c>
      <c r="J236" s="1">
        <v>0.0</v>
      </c>
      <c r="K236" s="1">
        <v>0.0</v>
      </c>
      <c r="L236" s="1">
        <v>98.093035</v>
      </c>
      <c r="M236" s="1" t="s">
        <v>627</v>
      </c>
    </row>
    <row r="237">
      <c r="A237" s="1" t="s">
        <v>628</v>
      </c>
      <c r="B237" s="1" t="str">
        <f>IFERROR(__xludf.DUMMYFUNCTION("IFERROR(REGEXEXTRACT(A237, ""res(269|122)""), ""none"")"),"269")</f>
        <v>269</v>
      </c>
      <c r="C237" s="1">
        <v>-18.249974</v>
      </c>
      <c r="D237" s="1">
        <v>7.0</v>
      </c>
      <c r="E237" s="1">
        <v>3.0</v>
      </c>
      <c r="F237" s="1">
        <v>0.285714</v>
      </c>
      <c r="G237" s="1">
        <v>2.0</v>
      </c>
      <c r="H237" s="1">
        <v>-0.785149</v>
      </c>
      <c r="I237" s="1">
        <v>100.0</v>
      </c>
      <c r="J237" s="1">
        <v>0.0</v>
      </c>
      <c r="K237" s="1">
        <v>0.0</v>
      </c>
      <c r="L237" s="1">
        <v>93.250591</v>
      </c>
      <c r="M237" s="1" t="s">
        <v>629</v>
      </c>
    </row>
    <row r="238">
      <c r="A238" s="1" t="s">
        <v>630</v>
      </c>
      <c r="B238" s="1" t="str">
        <f>IFERROR(__xludf.DUMMYFUNCTION("IFERROR(REGEXEXTRACT(A238, ""res(269|122)""), ""none"")"),"269")</f>
        <v>269</v>
      </c>
      <c r="C238" s="1">
        <v>-16.682557</v>
      </c>
      <c r="D238" s="1">
        <v>8.0</v>
      </c>
      <c r="E238" s="1">
        <v>2.0</v>
      </c>
      <c r="F238" s="1">
        <v>0.25</v>
      </c>
      <c r="G238" s="1">
        <v>2.0</v>
      </c>
      <c r="H238" s="1">
        <v>-0.664636</v>
      </c>
      <c r="I238" s="1">
        <v>100.0</v>
      </c>
      <c r="J238" s="1">
        <v>0.0</v>
      </c>
      <c r="K238" s="1">
        <v>0.0</v>
      </c>
      <c r="L238" s="1">
        <v>94.902807</v>
      </c>
      <c r="M238" s="1" t="s">
        <v>631</v>
      </c>
    </row>
    <row r="239">
      <c r="A239" s="1" t="s">
        <v>632</v>
      </c>
      <c r="B239" s="1" t="str">
        <f>IFERROR(__xludf.DUMMYFUNCTION("IFERROR(REGEXEXTRACT(A239, ""res(269|122)""), ""none"")"),"269")</f>
        <v>269</v>
      </c>
      <c r="C239" s="1">
        <v>-16.279523</v>
      </c>
      <c r="D239" s="1">
        <v>9.0</v>
      </c>
      <c r="E239" s="1">
        <v>3.0</v>
      </c>
      <c r="F239" s="1">
        <v>0.333333</v>
      </c>
      <c r="G239" s="1">
        <v>2.0</v>
      </c>
      <c r="H239" s="1">
        <v>-1.390816</v>
      </c>
      <c r="I239" s="1">
        <v>100.0</v>
      </c>
      <c r="J239" s="1">
        <v>0.0</v>
      </c>
      <c r="K239" s="1">
        <v>0.0</v>
      </c>
      <c r="L239" s="1">
        <v>96.662994</v>
      </c>
      <c r="M239" s="1" t="s">
        <v>633</v>
      </c>
    </row>
    <row r="240">
      <c r="A240" s="1" t="s">
        <v>357</v>
      </c>
      <c r="B240" s="1" t="str">
        <f>IFERROR(__xludf.DUMMYFUNCTION("IFERROR(REGEXEXTRACT(A240, ""res(269|122)""), ""none"")"),"269")</f>
        <v>269</v>
      </c>
      <c r="C240" s="1">
        <v>-18.499142</v>
      </c>
      <c r="D240" s="1">
        <v>10.0</v>
      </c>
      <c r="E240" s="1">
        <v>1.0</v>
      </c>
      <c r="F240" s="1">
        <v>0.3</v>
      </c>
      <c r="G240" s="1">
        <v>3.0</v>
      </c>
      <c r="H240" s="1">
        <v>-0.362342</v>
      </c>
      <c r="I240" s="1">
        <v>100.0</v>
      </c>
      <c r="J240" s="1">
        <v>0.0</v>
      </c>
      <c r="K240" s="1">
        <v>0.0</v>
      </c>
      <c r="L240" s="1">
        <v>95.438516</v>
      </c>
      <c r="M240" s="1" t="s">
        <v>358</v>
      </c>
    </row>
    <row r="241">
      <c r="A241" s="1" t="s">
        <v>634</v>
      </c>
      <c r="B241" s="1" t="str">
        <f>IFERROR(__xludf.DUMMYFUNCTION("IFERROR(REGEXEXTRACT(A241, ""res(269|122)""), ""none"")"),"269")</f>
        <v>269</v>
      </c>
      <c r="C241" s="1">
        <v>-15.449765</v>
      </c>
      <c r="D241" s="1">
        <v>12.0</v>
      </c>
      <c r="E241" s="1">
        <v>5.0</v>
      </c>
      <c r="F241" s="1">
        <v>0.333333</v>
      </c>
      <c r="G241" s="1">
        <v>2.0</v>
      </c>
      <c r="H241" s="1">
        <v>-1.438979</v>
      </c>
      <c r="I241" s="1">
        <v>100.0</v>
      </c>
      <c r="J241" s="1">
        <v>0.0</v>
      </c>
      <c r="K241" s="1">
        <v>0.0</v>
      </c>
      <c r="L241" s="1">
        <v>102.444589</v>
      </c>
      <c r="M241" s="1" t="s">
        <v>635</v>
      </c>
    </row>
    <row r="242">
      <c r="A242" s="1" t="s">
        <v>978</v>
      </c>
      <c r="B242" s="1" t="str">
        <f>IFERROR(__xludf.DUMMYFUNCTION("IFERROR(REGEXEXTRACT(A242, ""res(269|122)""), ""none"")"),"122")</f>
        <v>122</v>
      </c>
      <c r="C242" s="1">
        <v>-15.049047</v>
      </c>
      <c r="D242" s="1">
        <v>10.0</v>
      </c>
      <c r="E242" s="1">
        <v>4.0</v>
      </c>
      <c r="F242" s="1">
        <v>0.4</v>
      </c>
      <c r="G242" s="1">
        <v>2.0</v>
      </c>
      <c r="H242" s="1">
        <v>-0.37732</v>
      </c>
      <c r="I242" s="1">
        <v>100.0</v>
      </c>
      <c r="J242" s="1">
        <v>0.0</v>
      </c>
      <c r="K242" s="1">
        <v>0.0</v>
      </c>
      <c r="L242" s="1">
        <v>100.973633</v>
      </c>
      <c r="M242" s="1" t="s">
        <v>979</v>
      </c>
    </row>
    <row r="243">
      <c r="A243" s="1" t="s">
        <v>359</v>
      </c>
      <c r="B243" s="1" t="str">
        <f>IFERROR(__xludf.DUMMYFUNCTION("IFERROR(REGEXEXTRACT(A243, ""res(269|122)""), ""none"")"),"269")</f>
        <v>269</v>
      </c>
      <c r="C243" s="1">
        <v>-16.983006</v>
      </c>
      <c r="D243" s="1">
        <v>12.0</v>
      </c>
      <c r="E243" s="1">
        <v>5.0</v>
      </c>
      <c r="F243" s="1">
        <v>0.25</v>
      </c>
      <c r="G243" s="1">
        <v>2.0</v>
      </c>
      <c r="H243" s="1">
        <v>-0.69205</v>
      </c>
      <c r="I243" s="1">
        <v>100.0</v>
      </c>
      <c r="J243" s="1">
        <v>0.0</v>
      </c>
      <c r="K243" s="1">
        <v>0.0</v>
      </c>
      <c r="L243" s="1">
        <v>101.574944</v>
      </c>
      <c r="M243" s="1" t="s">
        <v>360</v>
      </c>
    </row>
    <row r="244">
      <c r="A244" s="1" t="s">
        <v>636</v>
      </c>
      <c r="B244" s="1" t="str">
        <f>IFERROR(__xludf.DUMMYFUNCTION("IFERROR(REGEXEXTRACT(A244, ""res(269|122)""), ""none"")"),"269")</f>
        <v>269</v>
      </c>
      <c r="C244" s="1">
        <v>-15.081811</v>
      </c>
      <c r="D244" s="1">
        <v>10.0</v>
      </c>
      <c r="E244" s="1">
        <v>3.0</v>
      </c>
      <c r="F244" s="1">
        <v>0.3</v>
      </c>
      <c r="G244" s="1">
        <v>2.0</v>
      </c>
      <c r="H244" s="1">
        <v>-0.81487</v>
      </c>
      <c r="I244" s="1">
        <v>100.0</v>
      </c>
      <c r="J244" s="1">
        <v>0.0</v>
      </c>
      <c r="K244" s="1">
        <v>0.0</v>
      </c>
      <c r="L244" s="1">
        <v>99.403319</v>
      </c>
      <c r="M244" s="1" t="s">
        <v>637</v>
      </c>
    </row>
    <row r="245">
      <c r="A245" s="1" t="s">
        <v>638</v>
      </c>
      <c r="B245" s="1" t="str">
        <f>IFERROR(__xludf.DUMMYFUNCTION("IFERROR(REGEXEXTRACT(A245, ""res(269|122)""), ""none"")"),"269")</f>
        <v>269</v>
      </c>
      <c r="C245" s="1">
        <v>-15.039533</v>
      </c>
      <c r="D245" s="1">
        <v>11.0</v>
      </c>
      <c r="E245" s="1">
        <v>2.0</v>
      </c>
      <c r="F245" s="1">
        <v>0.272727</v>
      </c>
      <c r="G245" s="1">
        <v>2.0</v>
      </c>
      <c r="H245" s="1">
        <v>-0.298395</v>
      </c>
      <c r="I245" s="1">
        <v>100.0</v>
      </c>
      <c r="J245" s="1">
        <v>0.0</v>
      </c>
      <c r="K245" s="1">
        <v>0.0</v>
      </c>
      <c r="L245" s="1">
        <v>99.934799</v>
      </c>
      <c r="M245" s="1" t="s">
        <v>639</v>
      </c>
    </row>
    <row r="246">
      <c r="A246" s="1" t="s">
        <v>640</v>
      </c>
      <c r="B246" s="1" t="str">
        <f>IFERROR(__xludf.DUMMYFUNCTION("IFERROR(REGEXEXTRACT(A246, ""res(269|122)""), ""none"")"),"269")</f>
        <v>269</v>
      </c>
      <c r="C246" s="1">
        <v>-16.102788</v>
      </c>
      <c r="D246" s="1">
        <v>7.0</v>
      </c>
      <c r="E246" s="1">
        <v>4.0</v>
      </c>
      <c r="F246" s="1">
        <v>0.285714</v>
      </c>
      <c r="G246" s="1">
        <v>2.0</v>
      </c>
      <c r="H246" s="1">
        <v>-0.534735</v>
      </c>
      <c r="I246" s="1">
        <v>100.0</v>
      </c>
      <c r="J246" s="1">
        <v>0.0</v>
      </c>
      <c r="K246" s="1">
        <v>0.0</v>
      </c>
      <c r="L246" s="1">
        <v>96.648191</v>
      </c>
      <c r="M246" s="1" t="s">
        <v>641</v>
      </c>
    </row>
    <row r="247">
      <c r="A247" s="1" t="s">
        <v>980</v>
      </c>
      <c r="B247" s="1" t="str">
        <f>IFERROR(__xludf.DUMMYFUNCTION("IFERROR(REGEXEXTRACT(A247, ""res(269|122)""), ""none"")"),"122")</f>
        <v>122</v>
      </c>
      <c r="C247" s="1">
        <v>-15.403036</v>
      </c>
      <c r="D247" s="1">
        <v>7.0</v>
      </c>
      <c r="E247" s="1">
        <v>3.0</v>
      </c>
      <c r="F247" s="1">
        <v>0.285714</v>
      </c>
      <c r="G247" s="1">
        <v>2.0</v>
      </c>
      <c r="H247" s="1">
        <v>-1.077382</v>
      </c>
      <c r="I247" s="1">
        <v>100.0</v>
      </c>
      <c r="J247" s="1">
        <v>0.0</v>
      </c>
      <c r="K247" s="1">
        <v>0.0</v>
      </c>
      <c r="L247" s="1">
        <v>95.805296</v>
      </c>
      <c r="M247" s="1" t="s">
        <v>981</v>
      </c>
    </row>
    <row r="248">
      <c r="A248" s="1" t="s">
        <v>982</v>
      </c>
      <c r="B248" s="1" t="str">
        <f>IFERROR(__xludf.DUMMYFUNCTION("IFERROR(REGEXEXTRACT(A248, ""res(269|122)""), ""none"")"),"122")</f>
        <v>122</v>
      </c>
      <c r="C248" s="1">
        <v>-15.302094</v>
      </c>
      <c r="D248" s="1">
        <v>7.0</v>
      </c>
      <c r="E248" s="1">
        <v>3.0</v>
      </c>
      <c r="F248" s="1">
        <v>0.285714</v>
      </c>
      <c r="G248" s="1">
        <v>2.0</v>
      </c>
      <c r="H248" s="1">
        <v>-0.935695</v>
      </c>
      <c r="I248" s="1">
        <v>100.0</v>
      </c>
      <c r="J248" s="1">
        <v>0.0</v>
      </c>
      <c r="K248" s="1">
        <v>0.0</v>
      </c>
      <c r="L248" s="1">
        <v>96.047925</v>
      </c>
      <c r="M248" s="1" t="s">
        <v>983</v>
      </c>
    </row>
    <row r="249">
      <c r="A249" s="1" t="s">
        <v>642</v>
      </c>
      <c r="B249" s="1" t="str">
        <f>IFERROR(__xludf.DUMMYFUNCTION("IFERROR(REGEXEXTRACT(A249, ""res(269|122)""), ""none"")"),"269")</f>
        <v>269</v>
      </c>
      <c r="C249" s="1">
        <v>-15.730727</v>
      </c>
      <c r="D249" s="1">
        <v>7.0</v>
      </c>
      <c r="E249" s="1">
        <v>3.0</v>
      </c>
      <c r="F249" s="1">
        <v>0.285714</v>
      </c>
      <c r="G249" s="1">
        <v>2.0</v>
      </c>
      <c r="H249" s="1">
        <v>-0.917975</v>
      </c>
      <c r="I249" s="1">
        <v>100.0</v>
      </c>
      <c r="J249" s="1">
        <v>0.0</v>
      </c>
      <c r="K249" s="1">
        <v>0.0</v>
      </c>
      <c r="L249" s="1">
        <v>95.637012</v>
      </c>
      <c r="M249" s="1" t="s">
        <v>643</v>
      </c>
    </row>
    <row r="250">
      <c r="A250" s="1" t="s">
        <v>984</v>
      </c>
      <c r="B250" s="1" t="str">
        <f>IFERROR(__xludf.DUMMYFUNCTION("IFERROR(REGEXEXTRACT(A250, ""res(269|122)""), ""none"")"),"122")</f>
        <v>122</v>
      </c>
      <c r="C250" s="1">
        <v>-18.022196</v>
      </c>
      <c r="D250" s="1">
        <v>7.0</v>
      </c>
      <c r="E250" s="1">
        <v>3.0</v>
      </c>
      <c r="F250" s="1">
        <v>0.285714</v>
      </c>
      <c r="G250" s="1">
        <v>2.0</v>
      </c>
      <c r="H250" s="1">
        <v>-0.903438</v>
      </c>
      <c r="I250" s="1">
        <v>100.0</v>
      </c>
      <c r="J250" s="1">
        <v>0.0</v>
      </c>
      <c r="K250" s="1">
        <v>0.0</v>
      </c>
      <c r="L250" s="1">
        <v>93.36008</v>
      </c>
      <c r="M250" s="1" t="s">
        <v>985</v>
      </c>
    </row>
    <row r="251">
      <c r="A251" s="1" t="s">
        <v>644</v>
      </c>
      <c r="B251" s="1" t="str">
        <f>IFERROR(__xludf.DUMMYFUNCTION("IFERROR(REGEXEXTRACT(A251, ""res(269|122)""), ""none"")"),"269")</f>
        <v>269</v>
      </c>
      <c r="C251" s="1">
        <v>-18.238756</v>
      </c>
      <c r="D251" s="1">
        <v>11.0</v>
      </c>
      <c r="E251" s="1">
        <v>2.0</v>
      </c>
      <c r="F251" s="1">
        <v>0.363636</v>
      </c>
      <c r="G251" s="1">
        <v>3.0</v>
      </c>
      <c r="H251" s="1">
        <v>-0.437833</v>
      </c>
      <c r="I251" s="1">
        <v>100.0</v>
      </c>
      <c r="J251" s="1">
        <v>0.0</v>
      </c>
      <c r="K251" s="1">
        <v>0.0</v>
      </c>
      <c r="L251" s="1">
        <v>97.687047</v>
      </c>
      <c r="M251" s="1" t="s">
        <v>645</v>
      </c>
    </row>
    <row r="252">
      <c r="A252" s="1" t="s">
        <v>361</v>
      </c>
      <c r="B252" s="1" t="str">
        <f>IFERROR(__xludf.DUMMYFUNCTION("IFERROR(REGEXEXTRACT(A252, ""res(269|122)""), ""none"")"),"269")</f>
        <v>269</v>
      </c>
      <c r="C252" s="1">
        <v>-15.529597</v>
      </c>
      <c r="D252" s="1">
        <v>9.0</v>
      </c>
      <c r="E252" s="1">
        <v>2.0</v>
      </c>
      <c r="F252" s="1">
        <v>0.444444</v>
      </c>
      <c r="G252" s="1">
        <v>2.0</v>
      </c>
      <c r="H252" s="1">
        <v>-0.986909</v>
      </c>
      <c r="I252" s="1">
        <v>100.0</v>
      </c>
      <c r="J252" s="1">
        <v>0.0</v>
      </c>
      <c r="K252" s="1">
        <v>0.0</v>
      </c>
      <c r="L252" s="1">
        <v>96.927938</v>
      </c>
      <c r="M252" s="1" t="s">
        <v>362</v>
      </c>
    </row>
    <row r="253">
      <c r="A253" s="1" t="s">
        <v>646</v>
      </c>
      <c r="B253" s="1" t="str">
        <f>IFERROR(__xludf.DUMMYFUNCTION("IFERROR(REGEXEXTRACT(A253, ""res(269|122)""), ""none"")"),"269")</f>
        <v>269</v>
      </c>
      <c r="C253" s="1">
        <v>-15.250452</v>
      </c>
      <c r="D253" s="1">
        <v>10.0</v>
      </c>
      <c r="E253" s="1">
        <v>5.0</v>
      </c>
      <c r="F253" s="1">
        <v>0.6</v>
      </c>
      <c r="G253" s="1">
        <v>2.0</v>
      </c>
      <c r="H253" s="1">
        <v>-0.981478</v>
      </c>
      <c r="I253" s="1">
        <v>100.0</v>
      </c>
      <c r="J253" s="1">
        <v>0.0</v>
      </c>
      <c r="K253" s="1">
        <v>0.0</v>
      </c>
      <c r="L253" s="1">
        <v>101.36807</v>
      </c>
      <c r="M253" s="1" t="s">
        <v>647</v>
      </c>
    </row>
    <row r="254">
      <c r="A254" s="1" t="s">
        <v>363</v>
      </c>
      <c r="B254" s="1" t="str">
        <f>IFERROR(__xludf.DUMMYFUNCTION("IFERROR(REGEXEXTRACT(A254, ""res(269|122)""), ""none"")"),"269")</f>
        <v>269</v>
      </c>
      <c r="C254" s="1">
        <v>-16.175959</v>
      </c>
      <c r="D254" s="1">
        <v>9.0</v>
      </c>
      <c r="E254" s="1">
        <v>3.0</v>
      </c>
      <c r="F254" s="1">
        <v>0.333333</v>
      </c>
      <c r="G254" s="1">
        <v>2.0</v>
      </c>
      <c r="H254" s="1">
        <v>-0.314357</v>
      </c>
      <c r="I254" s="1">
        <v>100.0</v>
      </c>
      <c r="J254" s="1">
        <v>0.0</v>
      </c>
      <c r="K254" s="1">
        <v>0.0</v>
      </c>
      <c r="L254" s="1">
        <v>97.843017</v>
      </c>
      <c r="M254" s="1" t="s">
        <v>364</v>
      </c>
    </row>
    <row r="255">
      <c r="A255" s="1" t="s">
        <v>648</v>
      </c>
      <c r="B255" s="1" t="str">
        <f>IFERROR(__xludf.DUMMYFUNCTION("IFERROR(REGEXEXTRACT(A255, ""res(269|122)""), ""none"")"),"269")</f>
        <v>269</v>
      </c>
      <c r="C255" s="1">
        <v>-16.232479</v>
      </c>
      <c r="D255" s="1">
        <v>9.0</v>
      </c>
      <c r="E255" s="1">
        <v>2.0</v>
      </c>
      <c r="F255" s="1">
        <v>0.333333</v>
      </c>
      <c r="G255" s="1">
        <v>2.0</v>
      </c>
      <c r="H255" s="1">
        <v>-0.871795</v>
      </c>
      <c r="I255" s="1">
        <v>100.0</v>
      </c>
      <c r="J255" s="1">
        <v>0.0</v>
      </c>
      <c r="K255" s="1">
        <v>0.0</v>
      </c>
      <c r="L255" s="1">
        <v>96.229059</v>
      </c>
      <c r="M255" s="1" t="s">
        <v>649</v>
      </c>
    </row>
    <row r="256">
      <c r="A256" s="1" t="s">
        <v>365</v>
      </c>
      <c r="B256" s="1" t="str">
        <f>IFERROR(__xludf.DUMMYFUNCTION("IFERROR(REGEXEXTRACT(A256, ""res(269|122)""), ""none"")"),"269")</f>
        <v>269</v>
      </c>
      <c r="C256" s="1">
        <v>-17.343073</v>
      </c>
      <c r="D256" s="1">
        <v>7.0</v>
      </c>
      <c r="E256" s="1">
        <v>2.0</v>
      </c>
      <c r="F256" s="1">
        <v>0.285714</v>
      </c>
      <c r="G256" s="1">
        <v>2.0</v>
      </c>
      <c r="H256" s="1">
        <v>-0.812617</v>
      </c>
      <c r="I256" s="1">
        <v>100.0</v>
      </c>
      <c r="J256" s="1">
        <v>0.0</v>
      </c>
      <c r="K256" s="1">
        <v>0.0</v>
      </c>
      <c r="L256" s="1">
        <v>93.130024</v>
      </c>
      <c r="M256" s="1" t="s">
        <v>366</v>
      </c>
    </row>
    <row r="257">
      <c r="A257" s="1" t="s">
        <v>650</v>
      </c>
      <c r="B257" s="1" t="str">
        <f>IFERROR(__xludf.DUMMYFUNCTION("IFERROR(REGEXEXTRACT(A257, ""res(269|122)""), ""none"")"),"269")</f>
        <v>269</v>
      </c>
      <c r="C257" s="1">
        <v>-15.101642</v>
      </c>
      <c r="D257" s="1">
        <v>8.0</v>
      </c>
      <c r="E257" s="1">
        <v>3.0</v>
      </c>
      <c r="F257" s="1">
        <v>0.25</v>
      </c>
      <c r="G257" s="1">
        <v>2.0</v>
      </c>
      <c r="H257" s="1">
        <v>-0.759632</v>
      </c>
      <c r="I257" s="1">
        <v>100.0</v>
      </c>
      <c r="J257" s="1">
        <v>0.0</v>
      </c>
      <c r="K257" s="1">
        <v>0.0</v>
      </c>
      <c r="L257" s="1">
        <v>97.388726</v>
      </c>
      <c r="M257" s="1" t="s">
        <v>651</v>
      </c>
    </row>
    <row r="258">
      <c r="A258" s="1" t="s">
        <v>652</v>
      </c>
      <c r="B258" s="1" t="str">
        <f>IFERROR(__xludf.DUMMYFUNCTION("IFERROR(REGEXEXTRACT(A258, ""res(269|122)""), ""none"")"),"269")</f>
        <v>269</v>
      </c>
      <c r="C258" s="1">
        <v>-17.123586</v>
      </c>
      <c r="D258" s="1">
        <v>8.0</v>
      </c>
      <c r="E258" s="1">
        <v>2.0</v>
      </c>
      <c r="F258" s="1">
        <v>0.375</v>
      </c>
      <c r="G258" s="1">
        <v>2.0</v>
      </c>
      <c r="H258" s="1">
        <v>-1.047168</v>
      </c>
      <c r="I258" s="1">
        <v>100.0</v>
      </c>
      <c r="J258" s="1">
        <v>0.0</v>
      </c>
      <c r="K258" s="1">
        <v>0.0</v>
      </c>
      <c r="L258" s="1">
        <v>94.204246</v>
      </c>
      <c r="M258" s="1" t="s">
        <v>653</v>
      </c>
    </row>
    <row r="259">
      <c r="A259" s="1" t="s">
        <v>986</v>
      </c>
      <c r="B259" s="1" t="str">
        <f>IFERROR(__xludf.DUMMYFUNCTION("IFERROR(REGEXEXTRACT(A259, ""res(269|122)""), ""none"")"),"122")</f>
        <v>122</v>
      </c>
      <c r="C259" s="1">
        <v>-15.014055</v>
      </c>
      <c r="D259" s="1">
        <v>7.0</v>
      </c>
      <c r="E259" s="1">
        <v>3.0</v>
      </c>
      <c r="F259" s="1">
        <v>0.285714</v>
      </c>
      <c r="G259" s="1">
        <v>2.0</v>
      </c>
      <c r="H259" s="1">
        <v>-0.455789</v>
      </c>
      <c r="I259" s="1">
        <v>100.0</v>
      </c>
      <c r="J259" s="1">
        <v>0.0</v>
      </c>
      <c r="K259" s="1">
        <v>0.0</v>
      </c>
      <c r="L259" s="1">
        <v>96.81587</v>
      </c>
      <c r="M259" s="1" t="s">
        <v>987</v>
      </c>
    </row>
    <row r="260">
      <c r="A260" s="1" t="s">
        <v>654</v>
      </c>
      <c r="B260" s="1" t="str">
        <f>IFERROR(__xludf.DUMMYFUNCTION("IFERROR(REGEXEXTRACT(A260, ""res(269|122)""), ""none"")"),"269")</f>
        <v>269</v>
      </c>
      <c r="C260" s="1">
        <v>-15.116665</v>
      </c>
      <c r="D260" s="1">
        <v>8.0</v>
      </c>
      <c r="E260" s="1">
        <v>2.0</v>
      </c>
      <c r="F260" s="1">
        <v>0.25</v>
      </c>
      <c r="G260" s="1">
        <v>2.0</v>
      </c>
      <c r="H260" s="1">
        <v>-1.150909</v>
      </c>
      <c r="I260" s="1">
        <v>100.0</v>
      </c>
      <c r="J260" s="1">
        <v>0.0</v>
      </c>
      <c r="K260" s="1">
        <v>0.0</v>
      </c>
      <c r="L260" s="1">
        <v>95.982426</v>
      </c>
      <c r="M260" s="1" t="s">
        <v>655</v>
      </c>
    </row>
    <row r="261">
      <c r="A261" s="1" t="s">
        <v>988</v>
      </c>
      <c r="B261" s="1" t="str">
        <f>IFERROR(__xludf.DUMMYFUNCTION("IFERROR(REGEXEXTRACT(A261, ""res(269|122)""), ""none"")"),"122")</f>
        <v>122</v>
      </c>
      <c r="C261" s="1">
        <v>-15.699962</v>
      </c>
      <c r="D261" s="1">
        <v>11.0</v>
      </c>
      <c r="E261" s="1">
        <v>4.0</v>
      </c>
      <c r="F261" s="1">
        <v>0.363636</v>
      </c>
      <c r="G261" s="1">
        <v>2.0</v>
      </c>
      <c r="H261" s="1">
        <v>-0.60822</v>
      </c>
      <c r="I261" s="1">
        <v>100.0</v>
      </c>
      <c r="J261" s="1">
        <v>0.0</v>
      </c>
      <c r="K261" s="1">
        <v>0.0</v>
      </c>
      <c r="L261" s="1">
        <v>101.055454</v>
      </c>
      <c r="M261" s="1" t="s">
        <v>989</v>
      </c>
    </row>
    <row r="262">
      <c r="A262" s="1" t="s">
        <v>656</v>
      </c>
      <c r="B262" s="1" t="str">
        <f>IFERROR(__xludf.DUMMYFUNCTION("IFERROR(REGEXEXTRACT(A262, ""res(269|122)""), ""none"")"),"269")</f>
        <v>269</v>
      </c>
      <c r="C262" s="1">
        <v>-15.353643</v>
      </c>
      <c r="D262" s="1">
        <v>9.0</v>
      </c>
      <c r="E262" s="1">
        <v>1.0</v>
      </c>
      <c r="F262" s="1">
        <v>0.333333</v>
      </c>
      <c r="G262" s="1">
        <v>2.0</v>
      </c>
      <c r="H262" s="1">
        <v>-1.274051</v>
      </c>
      <c r="I262" s="1">
        <v>100.0</v>
      </c>
      <c r="J262" s="1">
        <v>0.0</v>
      </c>
      <c r="K262" s="1">
        <v>0.0</v>
      </c>
      <c r="L262" s="1">
        <v>95.705639</v>
      </c>
      <c r="M262" s="1" t="s">
        <v>657</v>
      </c>
    </row>
    <row r="263">
      <c r="A263" s="1" t="s">
        <v>658</v>
      </c>
      <c r="B263" s="1" t="str">
        <f>IFERROR(__xludf.DUMMYFUNCTION("IFERROR(REGEXEXTRACT(A263, ""res(269|122)""), ""none"")"),"269")</f>
        <v>269</v>
      </c>
      <c r="C263" s="1">
        <v>-16.125849</v>
      </c>
      <c r="D263" s="1">
        <v>7.0</v>
      </c>
      <c r="E263" s="1">
        <v>4.0</v>
      </c>
      <c r="F263" s="1">
        <v>0.428571</v>
      </c>
      <c r="G263" s="1">
        <v>2.0</v>
      </c>
      <c r="H263" s="1">
        <v>-0.665465</v>
      </c>
      <c r="I263" s="1">
        <v>100.0</v>
      </c>
      <c r="J263" s="1">
        <v>0.0</v>
      </c>
      <c r="K263" s="1">
        <v>0.0</v>
      </c>
      <c r="L263" s="1">
        <v>96.637257</v>
      </c>
      <c r="M263" s="1" t="s">
        <v>659</v>
      </c>
    </row>
    <row r="264">
      <c r="A264" s="1" t="s">
        <v>660</v>
      </c>
      <c r="B264" s="1" t="str">
        <f>IFERROR(__xludf.DUMMYFUNCTION("IFERROR(REGEXEXTRACT(A264, ""res(269|122)""), ""none"")"),"269")</f>
        <v>269</v>
      </c>
      <c r="C264" s="1">
        <v>-16.253947</v>
      </c>
      <c r="D264" s="1">
        <v>7.0</v>
      </c>
      <c r="E264" s="1">
        <v>4.0</v>
      </c>
      <c r="F264" s="1">
        <v>0.285714</v>
      </c>
      <c r="G264" s="1">
        <v>2.0</v>
      </c>
      <c r="H264" s="1">
        <v>-0.635597</v>
      </c>
      <c r="I264" s="1">
        <v>100.0</v>
      </c>
      <c r="J264" s="1">
        <v>0.0</v>
      </c>
      <c r="K264" s="1">
        <v>0.0</v>
      </c>
      <c r="L264" s="1">
        <v>96.39617</v>
      </c>
      <c r="M264" s="1" t="s">
        <v>661</v>
      </c>
    </row>
    <row r="265">
      <c r="A265" s="1" t="s">
        <v>990</v>
      </c>
      <c r="B265" s="1" t="str">
        <f>IFERROR(__xludf.DUMMYFUNCTION("IFERROR(REGEXEXTRACT(A265, ""res(269|122)""), ""none"")"),"122")</f>
        <v>122</v>
      </c>
      <c r="C265" s="1">
        <v>-15.314253</v>
      </c>
      <c r="D265" s="1">
        <v>12.0</v>
      </c>
      <c r="E265" s="1">
        <v>4.0</v>
      </c>
      <c r="F265" s="1">
        <v>0.25</v>
      </c>
      <c r="G265" s="1">
        <v>2.0</v>
      </c>
      <c r="H265" s="1">
        <v>-0.675518</v>
      </c>
      <c r="I265" s="1">
        <v>100.0</v>
      </c>
      <c r="J265" s="1">
        <v>0.0</v>
      </c>
      <c r="K265" s="1">
        <v>0.0</v>
      </c>
      <c r="L265" s="1">
        <v>102.260229</v>
      </c>
      <c r="M265" s="1" t="s">
        <v>991</v>
      </c>
    </row>
    <row r="266">
      <c r="A266" s="1" t="s">
        <v>992</v>
      </c>
      <c r="B266" s="1" t="str">
        <f>IFERROR(__xludf.DUMMYFUNCTION("IFERROR(REGEXEXTRACT(A266, ""res(269|122)""), ""none"")"),"122")</f>
        <v>122</v>
      </c>
      <c r="C266" s="1">
        <v>-15.500702</v>
      </c>
      <c r="D266" s="1">
        <v>11.0</v>
      </c>
      <c r="E266" s="1">
        <v>4.0</v>
      </c>
      <c r="F266" s="1">
        <v>0.272727</v>
      </c>
      <c r="G266" s="1">
        <v>2.0</v>
      </c>
      <c r="H266" s="1">
        <v>-0.128303</v>
      </c>
      <c r="I266" s="1">
        <v>100.0</v>
      </c>
      <c r="J266" s="1">
        <v>0.0</v>
      </c>
      <c r="K266" s="1">
        <v>0.0</v>
      </c>
      <c r="L266" s="1">
        <v>101.643722</v>
      </c>
      <c r="M266" s="1" t="s">
        <v>993</v>
      </c>
    </row>
    <row r="267">
      <c r="A267" s="1" t="s">
        <v>662</v>
      </c>
      <c r="B267" s="1" t="str">
        <f>IFERROR(__xludf.DUMMYFUNCTION("IFERROR(REGEXEXTRACT(A267, ""res(269|122)""), ""none"")"),"269")</f>
        <v>269</v>
      </c>
      <c r="C267" s="1">
        <v>-15.462274</v>
      </c>
      <c r="D267" s="1">
        <v>8.0</v>
      </c>
      <c r="E267" s="1">
        <v>3.0</v>
      </c>
      <c r="F267" s="1">
        <v>0.25</v>
      </c>
      <c r="G267" s="1">
        <v>2.0</v>
      </c>
      <c r="H267" s="1">
        <v>-0.696577</v>
      </c>
      <c r="I267" s="1">
        <v>100.0</v>
      </c>
      <c r="J267" s="1">
        <v>0.0</v>
      </c>
      <c r="K267" s="1">
        <v>0.0</v>
      </c>
      <c r="L267" s="1">
        <v>97.091149</v>
      </c>
      <c r="M267" s="1" t="s">
        <v>663</v>
      </c>
    </row>
    <row r="268">
      <c r="A268" s="1" t="s">
        <v>367</v>
      </c>
      <c r="B268" s="1" t="str">
        <f>IFERROR(__xludf.DUMMYFUNCTION("IFERROR(REGEXEXTRACT(A268, ""res(269|122)""), ""none"")"),"269")</f>
        <v>269</v>
      </c>
      <c r="C268" s="1">
        <v>-15.840535</v>
      </c>
      <c r="D268" s="1">
        <v>8.0</v>
      </c>
      <c r="E268" s="1">
        <v>3.0</v>
      </c>
      <c r="F268" s="1">
        <v>0.25</v>
      </c>
      <c r="G268" s="1">
        <v>2.0</v>
      </c>
      <c r="H268" s="1">
        <v>-1.102898</v>
      </c>
      <c r="I268" s="1">
        <v>100.0</v>
      </c>
      <c r="J268" s="1">
        <v>0.0</v>
      </c>
      <c r="K268" s="1">
        <v>0.0</v>
      </c>
      <c r="L268" s="1">
        <v>96.306567</v>
      </c>
      <c r="M268" s="1" t="s">
        <v>368</v>
      </c>
    </row>
    <row r="269">
      <c r="A269" s="1" t="s">
        <v>664</v>
      </c>
      <c r="B269" s="1" t="str">
        <f>IFERROR(__xludf.DUMMYFUNCTION("IFERROR(REGEXEXTRACT(A269, ""res(269|122)""), ""none"")"),"269")</f>
        <v>269</v>
      </c>
      <c r="C269" s="1">
        <v>-16.40512</v>
      </c>
      <c r="D269" s="1">
        <v>7.0</v>
      </c>
      <c r="E269" s="1">
        <v>3.0</v>
      </c>
      <c r="F269" s="1">
        <v>0.428571</v>
      </c>
      <c r="G269" s="1">
        <v>2.0</v>
      </c>
      <c r="H269" s="1">
        <v>-0.666266999999999</v>
      </c>
      <c r="I269" s="1">
        <v>100.0</v>
      </c>
      <c r="J269" s="1">
        <v>0.0</v>
      </c>
      <c r="K269" s="1">
        <v>0.0</v>
      </c>
      <c r="L269" s="1">
        <v>95.357184</v>
      </c>
      <c r="M269" s="1" t="s">
        <v>665</v>
      </c>
    </row>
    <row r="270">
      <c r="A270" s="1" t="s">
        <v>666</v>
      </c>
      <c r="B270" s="1" t="str">
        <f>IFERROR(__xludf.DUMMYFUNCTION("IFERROR(REGEXEXTRACT(A270, ""res(269|122)""), ""none"")"),"269")</f>
        <v>269</v>
      </c>
      <c r="C270" s="1">
        <v>-17.584245</v>
      </c>
      <c r="D270" s="1">
        <v>9.0</v>
      </c>
      <c r="E270" s="1">
        <v>3.0</v>
      </c>
      <c r="F270" s="1">
        <v>0.333333</v>
      </c>
      <c r="G270" s="1">
        <v>2.0</v>
      </c>
      <c r="H270" s="1">
        <v>-0.939133</v>
      </c>
      <c r="I270" s="1">
        <v>100.0</v>
      </c>
      <c r="J270" s="1">
        <v>0.0</v>
      </c>
      <c r="K270" s="1">
        <v>0.0</v>
      </c>
      <c r="L270" s="1">
        <v>95.809955</v>
      </c>
      <c r="M270" s="1" t="s">
        <v>667</v>
      </c>
    </row>
    <row r="271">
      <c r="A271" s="1" t="s">
        <v>230</v>
      </c>
      <c r="B271" s="1" t="str">
        <f>IFERROR(__xludf.DUMMYFUNCTION("IFERROR(REGEXEXTRACT(A271, ""res(269|122)""), ""none"")"),"122")</f>
        <v>122</v>
      </c>
      <c r="C271" s="1">
        <v>-16.569372</v>
      </c>
      <c r="D271" s="1">
        <v>8.0</v>
      </c>
      <c r="E271" s="1">
        <v>3.0</v>
      </c>
      <c r="F271" s="1">
        <v>0.5</v>
      </c>
      <c r="G271" s="1">
        <v>2.0</v>
      </c>
      <c r="H271" s="1">
        <v>-0.987431</v>
      </c>
      <c r="I271" s="1">
        <v>100.0</v>
      </c>
      <c r="J271" s="1">
        <v>0.0</v>
      </c>
      <c r="K271" s="1">
        <v>0.0</v>
      </c>
      <c r="L271" s="1">
        <v>95.943197</v>
      </c>
      <c r="M271" s="1" t="s">
        <v>231</v>
      </c>
    </row>
    <row r="272">
      <c r="A272" s="1" t="s">
        <v>668</v>
      </c>
      <c r="B272" s="1" t="str">
        <f>IFERROR(__xludf.DUMMYFUNCTION("IFERROR(REGEXEXTRACT(A272, ""res(269|122)""), ""none"")"),"269")</f>
        <v>269</v>
      </c>
      <c r="C272" s="1">
        <v>-16.176007</v>
      </c>
      <c r="D272" s="1">
        <v>7.0</v>
      </c>
      <c r="E272" s="1">
        <v>3.0</v>
      </c>
      <c r="F272" s="1">
        <v>0.285714</v>
      </c>
      <c r="G272" s="1">
        <v>2.0</v>
      </c>
      <c r="H272" s="1">
        <v>-1.054648</v>
      </c>
      <c r="I272" s="1">
        <v>100.0</v>
      </c>
      <c r="J272" s="1">
        <v>0.0</v>
      </c>
      <c r="K272" s="1">
        <v>0.0</v>
      </c>
      <c r="L272" s="1">
        <v>95.055059</v>
      </c>
      <c r="M272" s="1" t="s">
        <v>669</v>
      </c>
    </row>
    <row r="273">
      <c r="A273" s="1" t="s">
        <v>670</v>
      </c>
      <c r="B273" s="1" t="str">
        <f>IFERROR(__xludf.DUMMYFUNCTION("IFERROR(REGEXEXTRACT(A273, ""res(269|122)""), ""none"")"),"269")</f>
        <v>269</v>
      </c>
      <c r="C273" s="1">
        <v>-16.225543</v>
      </c>
      <c r="D273" s="1">
        <v>7.0</v>
      </c>
      <c r="E273" s="1">
        <v>2.0</v>
      </c>
      <c r="F273" s="1">
        <v>0.428571</v>
      </c>
      <c r="G273" s="1">
        <v>2.0</v>
      </c>
      <c r="H273" s="1">
        <v>-0.484107</v>
      </c>
      <c r="I273" s="1">
        <v>100.0</v>
      </c>
      <c r="J273" s="1">
        <v>0.0</v>
      </c>
      <c r="K273" s="1">
        <v>0.0</v>
      </c>
      <c r="L273" s="1">
        <v>94.718921</v>
      </c>
      <c r="M273" s="1" t="s">
        <v>671</v>
      </c>
    </row>
    <row r="274">
      <c r="A274" s="1" t="s">
        <v>369</v>
      </c>
      <c r="B274" s="1" t="str">
        <f>IFERROR(__xludf.DUMMYFUNCTION("IFERROR(REGEXEXTRACT(A274, ""res(269|122)""), ""none"")"),"269")</f>
        <v>269</v>
      </c>
      <c r="C274" s="1">
        <v>-15.34511</v>
      </c>
      <c r="D274" s="1">
        <v>6.0</v>
      </c>
      <c r="E274" s="1">
        <v>3.0</v>
      </c>
      <c r="F274" s="1">
        <v>0.333333</v>
      </c>
      <c r="G274" s="1">
        <v>2.0</v>
      </c>
      <c r="H274" s="1">
        <v>-0.649549</v>
      </c>
      <c r="I274" s="1">
        <v>100.0</v>
      </c>
      <c r="J274" s="1">
        <v>0.0</v>
      </c>
      <c r="K274" s="1">
        <v>0.0</v>
      </c>
      <c r="L274" s="1">
        <v>95.338674</v>
      </c>
      <c r="M274" s="1" t="s">
        <v>370</v>
      </c>
    </row>
    <row r="275">
      <c r="A275" s="1" t="s">
        <v>232</v>
      </c>
      <c r="B275" s="1" t="str">
        <f>IFERROR(__xludf.DUMMYFUNCTION("IFERROR(REGEXEXTRACT(A275, ""res(269|122)""), ""none"")"),"122")</f>
        <v>122</v>
      </c>
      <c r="C275" s="1">
        <v>-16.448389</v>
      </c>
      <c r="D275" s="1">
        <v>9.0</v>
      </c>
      <c r="E275" s="1">
        <v>3.0</v>
      </c>
      <c r="F275" s="1">
        <v>0.333333</v>
      </c>
      <c r="G275" s="1">
        <v>2.0</v>
      </c>
      <c r="H275" s="1">
        <v>-1.562614</v>
      </c>
      <c r="I275" s="1">
        <v>100.0</v>
      </c>
      <c r="J275" s="1">
        <v>0.0</v>
      </c>
      <c r="K275" s="1">
        <v>0.0</v>
      </c>
      <c r="L275" s="1">
        <v>96.32233</v>
      </c>
      <c r="M275" s="1" t="s">
        <v>62</v>
      </c>
    </row>
    <row r="276">
      <c r="A276" s="1" t="s">
        <v>672</v>
      </c>
      <c r="B276" s="1" t="str">
        <f>IFERROR(__xludf.DUMMYFUNCTION("IFERROR(REGEXEXTRACT(A276, ""res(269|122)""), ""none"")"),"269")</f>
        <v>269</v>
      </c>
      <c r="C276" s="1">
        <v>-15.045702</v>
      </c>
      <c r="D276" s="1">
        <v>7.0</v>
      </c>
      <c r="E276" s="1">
        <v>2.0</v>
      </c>
      <c r="F276" s="1">
        <v>0.428571</v>
      </c>
      <c r="G276" s="1">
        <v>2.0</v>
      </c>
      <c r="H276" s="1">
        <v>-0.145764</v>
      </c>
      <c r="I276" s="1">
        <v>100.0</v>
      </c>
      <c r="J276" s="1">
        <v>0.0</v>
      </c>
      <c r="K276" s="1">
        <v>0.0</v>
      </c>
      <c r="L276" s="1">
        <v>96.237105</v>
      </c>
      <c r="M276" s="1" t="s">
        <v>673</v>
      </c>
    </row>
    <row r="277">
      <c r="A277" s="1" t="s">
        <v>674</v>
      </c>
      <c r="B277" s="1" t="str">
        <f>IFERROR(__xludf.DUMMYFUNCTION("IFERROR(REGEXEXTRACT(A277, ""res(269|122)""), ""none"")"),"269")</f>
        <v>269</v>
      </c>
      <c r="C277" s="1">
        <v>-15.974714</v>
      </c>
      <c r="D277" s="1">
        <v>8.0</v>
      </c>
      <c r="E277" s="1">
        <v>3.0</v>
      </c>
      <c r="F277" s="1">
        <v>0.75</v>
      </c>
      <c r="G277" s="1">
        <v>2.0</v>
      </c>
      <c r="H277" s="1">
        <v>-1.016178</v>
      </c>
      <c r="I277" s="1">
        <v>100.0</v>
      </c>
      <c r="J277" s="1">
        <v>0.0</v>
      </c>
      <c r="K277" s="1">
        <v>0.0</v>
      </c>
      <c r="L277" s="1">
        <v>96.759108</v>
      </c>
      <c r="M277" s="1" t="s">
        <v>675</v>
      </c>
    </row>
    <row r="278">
      <c r="A278" s="1" t="s">
        <v>676</v>
      </c>
      <c r="B278" s="1" t="str">
        <f>IFERROR(__xludf.DUMMYFUNCTION("IFERROR(REGEXEXTRACT(A278, ""res(269|122)""), ""none"")"),"269")</f>
        <v>269</v>
      </c>
      <c r="C278" s="1">
        <v>-16.160059</v>
      </c>
      <c r="D278" s="1">
        <v>8.0</v>
      </c>
      <c r="E278" s="1">
        <v>4.0</v>
      </c>
      <c r="F278" s="1">
        <v>0.25</v>
      </c>
      <c r="G278" s="1">
        <v>2.0</v>
      </c>
      <c r="H278" s="1">
        <v>-0.878462</v>
      </c>
      <c r="I278" s="1">
        <v>100.0</v>
      </c>
      <c r="J278" s="1">
        <v>0.0</v>
      </c>
      <c r="K278" s="1">
        <v>0.0</v>
      </c>
      <c r="L278" s="1">
        <v>97.211479</v>
      </c>
      <c r="M278" s="1" t="s">
        <v>677</v>
      </c>
    </row>
    <row r="279">
      <c r="A279" s="1" t="s">
        <v>371</v>
      </c>
      <c r="B279" s="1" t="str">
        <f>IFERROR(__xludf.DUMMYFUNCTION("IFERROR(REGEXEXTRACT(A279, ""res(269|122)""), ""none"")"),"269")</f>
        <v>269</v>
      </c>
      <c r="C279" s="1">
        <v>-15.869256</v>
      </c>
      <c r="D279" s="1">
        <v>7.0</v>
      </c>
      <c r="E279" s="1">
        <v>2.0</v>
      </c>
      <c r="F279" s="1">
        <v>0.428571</v>
      </c>
      <c r="G279" s="1">
        <v>3.0</v>
      </c>
      <c r="H279" s="1">
        <v>-2.176816</v>
      </c>
      <c r="I279" s="1">
        <v>100.0</v>
      </c>
      <c r="J279" s="1">
        <v>0.0</v>
      </c>
      <c r="K279" s="1">
        <v>0.0</v>
      </c>
      <c r="L279" s="1">
        <v>94.382499</v>
      </c>
      <c r="M279" s="1" t="s">
        <v>372</v>
      </c>
    </row>
    <row r="280">
      <c r="A280" s="1" t="s">
        <v>678</v>
      </c>
      <c r="B280" s="1" t="str">
        <f>IFERROR(__xludf.DUMMYFUNCTION("IFERROR(REGEXEXTRACT(A280, ""res(269|122)""), ""none"")"),"269")</f>
        <v>269</v>
      </c>
      <c r="C280" s="1">
        <v>-18.272222</v>
      </c>
      <c r="D280" s="1">
        <v>10.0</v>
      </c>
      <c r="E280" s="1">
        <v>5.0</v>
      </c>
      <c r="F280" s="1">
        <v>0.3</v>
      </c>
      <c r="G280" s="1">
        <v>2.0</v>
      </c>
      <c r="H280" s="1">
        <v>-0.405121</v>
      </c>
      <c r="I280" s="1">
        <v>100.0</v>
      </c>
      <c r="J280" s="1">
        <v>0.0</v>
      </c>
      <c r="K280" s="1">
        <v>0.0</v>
      </c>
      <c r="L280" s="1">
        <v>98.622657</v>
      </c>
      <c r="M280" s="1" t="s">
        <v>679</v>
      </c>
    </row>
    <row r="281">
      <c r="A281" s="1" t="s">
        <v>680</v>
      </c>
      <c r="B281" s="1" t="str">
        <f>IFERROR(__xludf.DUMMYFUNCTION("IFERROR(REGEXEXTRACT(A281, ""res(269|122)""), ""none"")"),"269")</f>
        <v>269</v>
      </c>
      <c r="C281" s="1">
        <v>-15.01485</v>
      </c>
      <c r="D281" s="1">
        <v>10.0</v>
      </c>
      <c r="E281" s="1">
        <v>2.0</v>
      </c>
      <c r="F281" s="1">
        <v>0.3</v>
      </c>
      <c r="G281" s="1">
        <v>2.0</v>
      </c>
      <c r="H281" s="1">
        <v>-1.104749</v>
      </c>
      <c r="I281" s="1">
        <v>100.0</v>
      </c>
      <c r="J281" s="1">
        <v>0.0</v>
      </c>
      <c r="K281" s="1">
        <v>0.0</v>
      </c>
      <c r="L281" s="1">
        <v>98.180401</v>
      </c>
      <c r="M281" s="1" t="s">
        <v>681</v>
      </c>
    </row>
    <row r="282">
      <c r="A282" s="1" t="s">
        <v>682</v>
      </c>
      <c r="B282" s="1" t="str">
        <f>IFERROR(__xludf.DUMMYFUNCTION("IFERROR(REGEXEXTRACT(A282, ""res(269|122)""), ""none"")"),"269")</f>
        <v>269</v>
      </c>
      <c r="C282" s="1">
        <v>-15.989297</v>
      </c>
      <c r="D282" s="1">
        <v>11.0</v>
      </c>
      <c r="E282" s="1">
        <v>5.0</v>
      </c>
      <c r="F282" s="1">
        <v>0.272727</v>
      </c>
      <c r="G282" s="1">
        <v>2.0</v>
      </c>
      <c r="H282" s="1">
        <v>-1.369641</v>
      </c>
      <c r="I282" s="1">
        <v>100.0</v>
      </c>
      <c r="J282" s="1">
        <v>0.0</v>
      </c>
      <c r="K282" s="1">
        <v>0.0</v>
      </c>
      <c r="L282" s="1">
        <v>100.913789</v>
      </c>
      <c r="M282" s="1" t="s">
        <v>683</v>
      </c>
    </row>
    <row r="283">
      <c r="A283" s="1" t="s">
        <v>233</v>
      </c>
      <c r="B283" s="1" t="str">
        <f>IFERROR(__xludf.DUMMYFUNCTION("IFERROR(REGEXEXTRACT(A283, ""res(269|122)""), ""none"")"),"122")</f>
        <v>122</v>
      </c>
      <c r="C283" s="1">
        <v>-16.810235</v>
      </c>
      <c r="D283" s="1">
        <v>9.0</v>
      </c>
      <c r="E283" s="1">
        <v>3.0</v>
      </c>
      <c r="F283" s="1">
        <v>0.444444</v>
      </c>
      <c r="G283" s="1">
        <v>2.0</v>
      </c>
      <c r="H283" s="1">
        <v>-0.880047</v>
      </c>
      <c r="I283" s="1">
        <v>100.0</v>
      </c>
      <c r="J283" s="1">
        <v>0.0</v>
      </c>
      <c r="K283" s="1">
        <v>0.0</v>
      </c>
      <c r="L283" s="1">
        <v>96.754162</v>
      </c>
      <c r="M283" s="1" t="s">
        <v>103</v>
      </c>
    </row>
    <row r="284">
      <c r="A284" s="1" t="s">
        <v>684</v>
      </c>
      <c r="B284" s="1" t="str">
        <f>IFERROR(__xludf.DUMMYFUNCTION("IFERROR(REGEXEXTRACT(A284, ""res(269|122)""), ""none"")"),"269")</f>
        <v>269</v>
      </c>
      <c r="C284" s="1">
        <v>-15.306522</v>
      </c>
      <c r="D284" s="1">
        <v>6.0</v>
      </c>
      <c r="E284" s="1">
        <v>3.0</v>
      </c>
      <c r="F284" s="1">
        <v>0.333333</v>
      </c>
      <c r="G284" s="1">
        <v>2.0</v>
      </c>
      <c r="H284" s="1">
        <v>-0.742594</v>
      </c>
      <c r="I284" s="1">
        <v>100.0</v>
      </c>
      <c r="J284" s="1">
        <v>0.0</v>
      </c>
      <c r="K284" s="1">
        <v>0.0</v>
      </c>
      <c r="L284" s="1">
        <v>95.284217</v>
      </c>
      <c r="M284" s="1" t="s">
        <v>685</v>
      </c>
    </row>
    <row r="285">
      <c r="A285" s="1" t="s">
        <v>686</v>
      </c>
      <c r="B285" s="1" t="str">
        <f>IFERROR(__xludf.DUMMYFUNCTION("IFERROR(REGEXEXTRACT(A285, ""res(269|122)""), ""none"")"),"269")</f>
        <v>269</v>
      </c>
      <c r="C285" s="1">
        <v>-15.475451</v>
      </c>
      <c r="D285" s="1">
        <v>7.0</v>
      </c>
      <c r="E285" s="1">
        <v>3.0</v>
      </c>
      <c r="F285" s="1">
        <v>0.285714</v>
      </c>
      <c r="G285" s="1">
        <v>2.0</v>
      </c>
      <c r="H285" s="1">
        <v>-0.691715</v>
      </c>
      <c r="I285" s="1">
        <v>100.0</v>
      </c>
      <c r="J285" s="1">
        <v>0.0</v>
      </c>
      <c r="K285" s="1">
        <v>0.0</v>
      </c>
      <c r="L285" s="1">
        <v>96.118548</v>
      </c>
      <c r="M285" s="1" t="s">
        <v>687</v>
      </c>
    </row>
    <row r="286">
      <c r="A286" s="1" t="s">
        <v>994</v>
      </c>
      <c r="B286" s="1" t="str">
        <f>IFERROR(__xludf.DUMMYFUNCTION("IFERROR(REGEXEXTRACT(A286, ""res(269|122)""), ""none"")"),"122")</f>
        <v>122</v>
      </c>
      <c r="C286" s="1">
        <v>-15.20253</v>
      </c>
      <c r="D286" s="1">
        <v>8.0</v>
      </c>
      <c r="E286" s="1">
        <v>4.0</v>
      </c>
      <c r="F286" s="1">
        <v>0.25</v>
      </c>
      <c r="G286" s="1">
        <v>2.0</v>
      </c>
      <c r="H286" s="1">
        <v>-0.673079</v>
      </c>
      <c r="I286" s="1">
        <v>100.0</v>
      </c>
      <c r="J286" s="1">
        <v>0.0</v>
      </c>
      <c r="K286" s="1">
        <v>0.0</v>
      </c>
      <c r="L286" s="1">
        <v>98.374391</v>
      </c>
      <c r="M286" s="1" t="s">
        <v>995</v>
      </c>
    </row>
    <row r="287">
      <c r="A287" s="1" t="s">
        <v>688</v>
      </c>
      <c r="B287" s="1" t="str">
        <f>IFERROR(__xludf.DUMMYFUNCTION("IFERROR(REGEXEXTRACT(A287, ""res(269|122)""), ""none"")"),"269")</f>
        <v>269</v>
      </c>
      <c r="C287" s="1">
        <v>-15.264499</v>
      </c>
      <c r="D287" s="1">
        <v>8.0</v>
      </c>
      <c r="E287" s="1">
        <v>4.0</v>
      </c>
      <c r="F287" s="1">
        <v>0.25</v>
      </c>
      <c r="G287" s="1">
        <v>3.0</v>
      </c>
      <c r="H287" s="1">
        <v>-2.824081</v>
      </c>
      <c r="I287" s="1">
        <v>100.0</v>
      </c>
      <c r="J287" s="1">
        <v>0.0</v>
      </c>
      <c r="K287" s="1">
        <v>0.0</v>
      </c>
      <c r="L287" s="1">
        <v>97.16142</v>
      </c>
      <c r="M287" s="1" t="s">
        <v>689</v>
      </c>
    </row>
    <row r="288">
      <c r="A288" s="1" t="s">
        <v>690</v>
      </c>
      <c r="B288" s="1" t="str">
        <f>IFERROR(__xludf.DUMMYFUNCTION("IFERROR(REGEXEXTRACT(A288, ""res(269|122)""), ""none"")"),"269")</f>
        <v>269</v>
      </c>
      <c r="C288" s="1">
        <v>-17.916145</v>
      </c>
      <c r="D288" s="1">
        <v>7.0</v>
      </c>
      <c r="E288" s="1">
        <v>3.0</v>
      </c>
      <c r="F288" s="1">
        <v>0.285714</v>
      </c>
      <c r="G288" s="1">
        <v>2.0</v>
      </c>
      <c r="H288" s="1">
        <v>-0.498345</v>
      </c>
      <c r="I288" s="1">
        <v>100.0</v>
      </c>
      <c r="J288" s="1">
        <v>0.0</v>
      </c>
      <c r="K288" s="1">
        <v>0.0</v>
      </c>
      <c r="L288" s="1">
        <v>93.871224</v>
      </c>
      <c r="M288" s="1" t="s">
        <v>691</v>
      </c>
    </row>
    <row r="289">
      <c r="A289" s="1" t="s">
        <v>692</v>
      </c>
      <c r="B289" s="1" t="str">
        <f>IFERROR(__xludf.DUMMYFUNCTION("IFERROR(REGEXEXTRACT(A289, ""res(269|122)""), ""none"")"),"269")</f>
        <v>269</v>
      </c>
      <c r="C289" s="1">
        <v>-17.862429</v>
      </c>
      <c r="D289" s="1">
        <v>7.0</v>
      </c>
      <c r="E289" s="1">
        <v>2.0</v>
      </c>
      <c r="F289" s="1">
        <v>0.428571</v>
      </c>
      <c r="G289" s="1">
        <v>2.0</v>
      </c>
      <c r="H289" s="1">
        <v>-1.010229</v>
      </c>
      <c r="I289" s="1">
        <v>100.0</v>
      </c>
      <c r="J289" s="1">
        <v>0.0</v>
      </c>
      <c r="K289" s="1">
        <v>0.0</v>
      </c>
      <c r="L289" s="1">
        <v>92.555913</v>
      </c>
      <c r="M289" s="1" t="s">
        <v>693</v>
      </c>
    </row>
    <row r="290">
      <c r="A290" s="1" t="s">
        <v>694</v>
      </c>
      <c r="B290" s="1" t="str">
        <f>IFERROR(__xludf.DUMMYFUNCTION("IFERROR(REGEXEXTRACT(A290, ""res(269|122)""), ""none"")"),"269")</f>
        <v>269</v>
      </c>
      <c r="C290" s="1">
        <v>-17.2393</v>
      </c>
      <c r="D290" s="1">
        <v>10.0</v>
      </c>
      <c r="E290" s="1">
        <v>2.0</v>
      </c>
      <c r="F290" s="1">
        <v>0.4</v>
      </c>
      <c r="G290" s="1">
        <v>2.0</v>
      </c>
      <c r="H290" s="1">
        <v>-0.929713</v>
      </c>
      <c r="I290" s="1">
        <v>100.0</v>
      </c>
      <c r="J290" s="1">
        <v>0.0</v>
      </c>
      <c r="K290" s="1">
        <v>0.0</v>
      </c>
      <c r="L290" s="1">
        <v>96.230987</v>
      </c>
      <c r="M290" s="1" t="s">
        <v>695</v>
      </c>
    </row>
    <row r="291">
      <c r="A291" s="1" t="s">
        <v>696</v>
      </c>
      <c r="B291" s="1" t="str">
        <f>IFERROR(__xludf.DUMMYFUNCTION("IFERROR(REGEXEXTRACT(A291, ""res(269|122)""), ""none"")"),"269")</f>
        <v>269</v>
      </c>
      <c r="C291" s="1">
        <v>-15.670032</v>
      </c>
      <c r="D291" s="1">
        <v>9.0</v>
      </c>
      <c r="E291" s="1">
        <v>2.0</v>
      </c>
      <c r="F291" s="1">
        <v>0.333333</v>
      </c>
      <c r="G291" s="1">
        <v>3.0</v>
      </c>
      <c r="H291" s="1">
        <v>-2.085592</v>
      </c>
      <c r="I291" s="1">
        <v>100.0</v>
      </c>
      <c r="J291" s="1">
        <v>0.0</v>
      </c>
      <c r="K291" s="1">
        <v>0.0</v>
      </c>
      <c r="L291" s="1">
        <v>96.577709</v>
      </c>
      <c r="M291" s="1" t="s">
        <v>697</v>
      </c>
    </row>
    <row r="292">
      <c r="A292" s="1" t="s">
        <v>698</v>
      </c>
      <c r="B292" s="1" t="str">
        <f>IFERROR(__xludf.DUMMYFUNCTION("IFERROR(REGEXEXTRACT(A292, ""res(269|122)""), ""none"")"),"269")</f>
        <v>269</v>
      </c>
      <c r="C292" s="1">
        <v>-16.41529</v>
      </c>
      <c r="D292" s="1">
        <v>11.0</v>
      </c>
      <c r="E292" s="1">
        <v>3.0</v>
      </c>
      <c r="F292" s="1">
        <v>0.272727</v>
      </c>
      <c r="G292" s="1">
        <v>2.0</v>
      </c>
      <c r="H292" s="1">
        <v>-1.249983</v>
      </c>
      <c r="I292" s="1">
        <v>100.0</v>
      </c>
      <c r="J292" s="1">
        <v>0.0</v>
      </c>
      <c r="K292" s="1">
        <v>0.0</v>
      </c>
      <c r="L292" s="1">
        <v>98.607454</v>
      </c>
      <c r="M292" s="1" t="s">
        <v>699</v>
      </c>
    </row>
    <row r="293">
      <c r="A293" s="1" t="s">
        <v>700</v>
      </c>
      <c r="B293" s="1" t="str">
        <f>IFERROR(__xludf.DUMMYFUNCTION("IFERROR(REGEXEXTRACT(A293, ""res(269|122)""), ""none"")"),"269")</f>
        <v>269</v>
      </c>
      <c r="C293" s="1">
        <v>-17.405701</v>
      </c>
      <c r="D293" s="1">
        <v>8.0</v>
      </c>
      <c r="E293" s="1">
        <v>3.0</v>
      </c>
      <c r="F293" s="1">
        <v>0.25</v>
      </c>
      <c r="G293" s="1">
        <v>2.0</v>
      </c>
      <c r="H293" s="1">
        <v>-0.784250999999999</v>
      </c>
      <c r="I293" s="1">
        <v>100.0</v>
      </c>
      <c r="J293" s="1">
        <v>0.0</v>
      </c>
      <c r="K293" s="1">
        <v>0.0</v>
      </c>
      <c r="L293" s="1">
        <v>95.060048</v>
      </c>
      <c r="M293" s="1" t="s">
        <v>701</v>
      </c>
    </row>
    <row r="294">
      <c r="A294" s="1" t="s">
        <v>996</v>
      </c>
      <c r="B294" s="1" t="str">
        <f>IFERROR(__xludf.DUMMYFUNCTION("IFERROR(REGEXEXTRACT(A294, ""res(269|122)""), ""none"")"),"122")</f>
        <v>122</v>
      </c>
      <c r="C294" s="1">
        <v>-16.387992</v>
      </c>
      <c r="D294" s="1">
        <v>8.0</v>
      </c>
      <c r="E294" s="1">
        <v>2.0</v>
      </c>
      <c r="F294" s="1">
        <v>0.25</v>
      </c>
      <c r="G294" s="1">
        <v>2.0</v>
      </c>
      <c r="H294" s="1">
        <v>-1.049027</v>
      </c>
      <c r="I294" s="1">
        <v>100.0</v>
      </c>
      <c r="J294" s="1">
        <v>0.0</v>
      </c>
      <c r="K294" s="1">
        <v>0.0</v>
      </c>
      <c r="L294" s="1">
        <v>94.812981</v>
      </c>
      <c r="M294" s="1" t="s">
        <v>997</v>
      </c>
    </row>
    <row r="295">
      <c r="A295" s="1" t="s">
        <v>998</v>
      </c>
      <c r="B295" s="1" t="str">
        <f>IFERROR(__xludf.DUMMYFUNCTION("IFERROR(REGEXEXTRACT(A295, ""res(269|122)""), ""none"")"),"122")</f>
        <v>122</v>
      </c>
      <c r="C295" s="1">
        <v>-15.790538</v>
      </c>
      <c r="D295" s="1">
        <v>8.0</v>
      </c>
      <c r="E295" s="1">
        <v>4.0</v>
      </c>
      <c r="F295" s="1">
        <v>0.25</v>
      </c>
      <c r="G295" s="1">
        <v>2.0</v>
      </c>
      <c r="H295" s="1">
        <v>-0.799056</v>
      </c>
      <c r="I295" s="1">
        <v>100.0</v>
      </c>
      <c r="J295" s="1">
        <v>0.0</v>
      </c>
      <c r="K295" s="1">
        <v>0.0</v>
      </c>
      <c r="L295" s="1">
        <v>97.660406</v>
      </c>
      <c r="M295" s="1" t="s">
        <v>999</v>
      </c>
    </row>
    <row r="296">
      <c r="A296" s="1" t="s">
        <v>702</v>
      </c>
      <c r="B296" s="1" t="str">
        <f>IFERROR(__xludf.DUMMYFUNCTION("IFERROR(REGEXEXTRACT(A296, ""res(269|122)""), ""none"")"),"269")</f>
        <v>269</v>
      </c>
      <c r="C296" s="1">
        <v>-15.051101</v>
      </c>
      <c r="D296" s="1">
        <v>7.0</v>
      </c>
      <c r="E296" s="1">
        <v>1.0</v>
      </c>
      <c r="F296" s="1">
        <v>0.285714</v>
      </c>
      <c r="G296" s="1">
        <v>2.0</v>
      </c>
      <c r="H296" s="1">
        <v>-1.221512</v>
      </c>
      <c r="I296" s="1">
        <v>100.0</v>
      </c>
      <c r="J296" s="1">
        <v>0.0</v>
      </c>
      <c r="K296" s="1">
        <v>0.0</v>
      </c>
      <c r="L296" s="1">
        <v>94.013101</v>
      </c>
      <c r="M296" s="1" t="s">
        <v>703</v>
      </c>
    </row>
    <row r="297">
      <c r="A297" s="1" t="s">
        <v>373</v>
      </c>
      <c r="B297" s="1" t="str">
        <f>IFERROR(__xludf.DUMMYFUNCTION("IFERROR(REGEXEXTRACT(A297, ""res(269|122)""), ""none"")"),"269")</f>
        <v>269</v>
      </c>
      <c r="C297" s="1">
        <v>-16.284917</v>
      </c>
      <c r="D297" s="1">
        <v>8.0</v>
      </c>
      <c r="E297" s="1">
        <v>5.0</v>
      </c>
      <c r="F297" s="1">
        <v>0.25</v>
      </c>
      <c r="G297" s="1">
        <v>2.0</v>
      </c>
      <c r="H297" s="1">
        <v>-1.566179</v>
      </c>
      <c r="I297" s="1">
        <v>100.0</v>
      </c>
      <c r="J297" s="1">
        <v>0.0</v>
      </c>
      <c r="K297" s="1">
        <v>0.0</v>
      </c>
      <c r="L297" s="1">
        <v>97.398904</v>
      </c>
      <c r="M297" s="1" t="s">
        <v>171</v>
      </c>
    </row>
    <row r="298">
      <c r="A298" s="1" t="s">
        <v>234</v>
      </c>
      <c r="B298" s="1" t="str">
        <f>IFERROR(__xludf.DUMMYFUNCTION("IFERROR(REGEXEXTRACT(A298, ""res(269|122)""), ""none"")"),"122")</f>
        <v>122</v>
      </c>
      <c r="C298" s="1">
        <v>-15.466932</v>
      </c>
      <c r="D298" s="1">
        <v>7.0</v>
      </c>
      <c r="E298" s="1">
        <v>3.0</v>
      </c>
      <c r="F298" s="1">
        <v>0.285714</v>
      </c>
      <c r="G298" s="1">
        <v>2.0</v>
      </c>
      <c r="H298" s="1">
        <v>-1.068929</v>
      </c>
      <c r="I298" s="1">
        <v>100.0</v>
      </c>
      <c r="J298" s="1">
        <v>0.0</v>
      </c>
      <c r="K298" s="1">
        <v>0.0</v>
      </c>
      <c r="L298" s="1">
        <v>95.749853</v>
      </c>
      <c r="M298" s="1" t="s">
        <v>235</v>
      </c>
    </row>
    <row r="299">
      <c r="A299" s="1" t="s">
        <v>704</v>
      </c>
      <c r="B299" s="1" t="str">
        <f>IFERROR(__xludf.DUMMYFUNCTION("IFERROR(REGEXEXTRACT(A299, ""res(269|122)""), ""none"")"),"269")</f>
        <v>269</v>
      </c>
      <c r="C299" s="1">
        <v>-15.372243</v>
      </c>
      <c r="D299" s="1">
        <v>9.0</v>
      </c>
      <c r="E299" s="1">
        <v>3.0</v>
      </c>
      <c r="F299" s="1">
        <v>0.444444</v>
      </c>
      <c r="G299" s="1">
        <v>2.0</v>
      </c>
      <c r="H299" s="1">
        <v>-0.654994</v>
      </c>
      <c r="I299" s="1">
        <v>100.0</v>
      </c>
      <c r="J299" s="1">
        <v>0.0</v>
      </c>
      <c r="K299" s="1">
        <v>0.0</v>
      </c>
      <c r="L299" s="1">
        <v>98.417207</v>
      </c>
      <c r="M299" s="1" t="s">
        <v>705</v>
      </c>
    </row>
    <row r="300">
      <c r="A300" s="1" t="s">
        <v>706</v>
      </c>
      <c r="B300" s="1" t="str">
        <f>IFERROR(__xludf.DUMMYFUNCTION("IFERROR(REGEXEXTRACT(A300, ""res(269|122)""), ""none"")"),"269")</f>
        <v>269</v>
      </c>
      <c r="C300" s="1">
        <v>-15.595989</v>
      </c>
      <c r="D300" s="1">
        <v>6.0</v>
      </c>
      <c r="E300" s="1">
        <v>2.0</v>
      </c>
      <c r="F300" s="1">
        <v>0.333333</v>
      </c>
      <c r="G300" s="1">
        <v>2.0</v>
      </c>
      <c r="H300" s="1">
        <v>-1.006767</v>
      </c>
      <c r="I300" s="1">
        <v>100.0</v>
      </c>
      <c r="J300" s="1">
        <v>0.0</v>
      </c>
      <c r="K300" s="1">
        <v>0.0</v>
      </c>
      <c r="L300" s="1">
        <v>93.730577</v>
      </c>
      <c r="M300" s="1" t="s">
        <v>707</v>
      </c>
    </row>
    <row r="301">
      <c r="A301" s="1" t="s">
        <v>1000</v>
      </c>
      <c r="B301" s="1" t="str">
        <f>IFERROR(__xludf.DUMMYFUNCTION("IFERROR(REGEXEXTRACT(A301, ""res(269|122)""), ""none"")"),"122")</f>
        <v>122</v>
      </c>
      <c r="C301" s="1">
        <v>-15.10018</v>
      </c>
      <c r="D301" s="1">
        <v>10.0</v>
      </c>
      <c r="E301" s="1">
        <v>4.0</v>
      </c>
      <c r="F301" s="1">
        <v>0.4</v>
      </c>
      <c r="G301" s="1">
        <v>2.0</v>
      </c>
      <c r="H301" s="1">
        <v>-1.324945</v>
      </c>
      <c r="I301" s="1">
        <v>100.0</v>
      </c>
      <c r="J301" s="1">
        <v>0.0</v>
      </c>
      <c r="K301" s="1">
        <v>0.0</v>
      </c>
      <c r="L301" s="1">
        <v>99.974875</v>
      </c>
      <c r="M301" s="1" t="s">
        <v>1001</v>
      </c>
    </row>
    <row r="302">
      <c r="A302" s="1" t="s">
        <v>1002</v>
      </c>
      <c r="B302" s="1" t="str">
        <f>IFERROR(__xludf.DUMMYFUNCTION("IFERROR(REGEXEXTRACT(A302, ""res(269|122)""), ""none"")"),"122")</f>
        <v>122</v>
      </c>
      <c r="C302" s="1">
        <v>-15.298524</v>
      </c>
      <c r="D302" s="1">
        <v>6.0</v>
      </c>
      <c r="E302" s="1">
        <v>3.0</v>
      </c>
      <c r="F302" s="1">
        <v>0.666667</v>
      </c>
      <c r="G302" s="1">
        <v>2.0</v>
      </c>
      <c r="H302" s="1">
        <v>-0.912719</v>
      </c>
      <c r="I302" s="1">
        <v>100.0</v>
      </c>
      <c r="J302" s="1">
        <v>0.0</v>
      </c>
      <c r="K302" s="1">
        <v>0.0</v>
      </c>
      <c r="L302" s="1">
        <v>95.455424</v>
      </c>
      <c r="M302" s="1" t="s">
        <v>1003</v>
      </c>
    </row>
    <row r="303">
      <c r="A303" s="1" t="s">
        <v>708</v>
      </c>
      <c r="B303" s="1" t="str">
        <f>IFERROR(__xludf.DUMMYFUNCTION("IFERROR(REGEXEXTRACT(A303, ""res(269|122)""), ""none"")"),"269")</f>
        <v>269</v>
      </c>
      <c r="C303" s="1">
        <v>-15.472997</v>
      </c>
      <c r="D303" s="1">
        <v>12.0</v>
      </c>
      <c r="E303" s="1">
        <v>3.0</v>
      </c>
      <c r="F303" s="1">
        <v>0.25</v>
      </c>
      <c r="G303" s="1">
        <v>2.0</v>
      </c>
      <c r="H303" s="1">
        <v>-1.558156</v>
      </c>
      <c r="I303" s="1">
        <v>100.0</v>
      </c>
      <c r="J303" s="1">
        <v>0.0</v>
      </c>
      <c r="K303" s="1">
        <v>0.0</v>
      </c>
      <c r="L303" s="1">
        <v>100.218847</v>
      </c>
      <c r="M303" s="1" t="s">
        <v>709</v>
      </c>
    </row>
    <row r="304">
      <c r="A304" s="1" t="s">
        <v>710</v>
      </c>
      <c r="B304" s="1" t="str">
        <f>IFERROR(__xludf.DUMMYFUNCTION("IFERROR(REGEXEXTRACT(A304, ""res(269|122)""), ""none"")"),"269")</f>
        <v>269</v>
      </c>
      <c r="C304" s="1">
        <v>-15.848889</v>
      </c>
      <c r="D304" s="1">
        <v>9.0</v>
      </c>
      <c r="E304" s="1">
        <v>2.0</v>
      </c>
      <c r="F304" s="1">
        <v>0.444444</v>
      </c>
      <c r="G304" s="1">
        <v>2.0</v>
      </c>
      <c r="H304" s="1">
        <v>-0.821315</v>
      </c>
      <c r="I304" s="1">
        <v>100.0</v>
      </c>
      <c r="J304" s="1">
        <v>0.0</v>
      </c>
      <c r="K304" s="1">
        <v>0.0</v>
      </c>
      <c r="L304" s="1">
        <v>96.77424</v>
      </c>
      <c r="M304" s="1" t="s">
        <v>711</v>
      </c>
    </row>
    <row r="305">
      <c r="A305" s="1" t="s">
        <v>236</v>
      </c>
      <c r="B305" s="1" t="str">
        <f>IFERROR(__xludf.DUMMYFUNCTION("IFERROR(REGEXEXTRACT(A305, ""res(269|122)""), ""none"")"),"122")</f>
        <v>122</v>
      </c>
      <c r="C305" s="1">
        <v>-15.035637</v>
      </c>
      <c r="D305" s="1">
        <v>8.0</v>
      </c>
      <c r="E305" s="1">
        <v>4.0</v>
      </c>
      <c r="F305" s="1">
        <v>0.25</v>
      </c>
      <c r="G305" s="1">
        <v>2.0</v>
      </c>
      <c r="H305" s="1">
        <v>-0.915905</v>
      </c>
      <c r="I305" s="1">
        <v>100.0</v>
      </c>
      <c r="J305" s="1">
        <v>0.0</v>
      </c>
      <c r="K305" s="1">
        <v>0.0</v>
      </c>
      <c r="L305" s="1">
        <v>98.298458</v>
      </c>
      <c r="M305" s="1" t="s">
        <v>107</v>
      </c>
    </row>
    <row r="306">
      <c r="A306" s="1" t="s">
        <v>712</v>
      </c>
      <c r="B306" s="1" t="str">
        <f>IFERROR(__xludf.DUMMYFUNCTION("IFERROR(REGEXEXTRACT(A306, ""res(269|122)""), ""none"")"),"269")</f>
        <v>269</v>
      </c>
      <c r="C306" s="1">
        <v>-15.465539</v>
      </c>
      <c r="D306" s="1">
        <v>10.0</v>
      </c>
      <c r="E306" s="1">
        <v>2.0</v>
      </c>
      <c r="F306" s="1">
        <v>0.3</v>
      </c>
      <c r="G306" s="1">
        <v>2.0</v>
      </c>
      <c r="H306" s="1">
        <v>-0.744564999999999</v>
      </c>
      <c r="I306" s="1">
        <v>100.0</v>
      </c>
      <c r="J306" s="1">
        <v>0.0</v>
      </c>
      <c r="K306" s="1">
        <v>0.0</v>
      </c>
      <c r="L306" s="1">
        <v>98.089896</v>
      </c>
      <c r="M306" s="1" t="s">
        <v>713</v>
      </c>
    </row>
    <row r="307">
      <c r="A307" s="1" t="s">
        <v>714</v>
      </c>
      <c r="B307" s="1" t="str">
        <f>IFERROR(__xludf.DUMMYFUNCTION("IFERROR(REGEXEXTRACT(A307, ""res(269|122)""), ""none"")"),"269")</f>
        <v>269</v>
      </c>
      <c r="C307" s="1">
        <v>-15.548246</v>
      </c>
      <c r="D307" s="1">
        <v>7.0</v>
      </c>
      <c r="E307" s="1">
        <v>3.0</v>
      </c>
      <c r="F307" s="1">
        <v>0.285714</v>
      </c>
      <c r="G307" s="1">
        <v>2.0</v>
      </c>
      <c r="H307" s="1">
        <v>-0.82711</v>
      </c>
      <c r="I307" s="1">
        <v>100.0</v>
      </c>
      <c r="J307" s="1">
        <v>0.0</v>
      </c>
      <c r="K307" s="1">
        <v>0.0</v>
      </c>
      <c r="L307" s="1">
        <v>95.910358</v>
      </c>
      <c r="M307" s="1" t="s">
        <v>715</v>
      </c>
    </row>
    <row r="308">
      <c r="A308" s="1" t="s">
        <v>716</v>
      </c>
      <c r="B308" s="1" t="str">
        <f>IFERROR(__xludf.DUMMYFUNCTION("IFERROR(REGEXEXTRACT(A308, ""res(269|122)""), ""none"")"),"269")</f>
        <v>269</v>
      </c>
      <c r="C308" s="1">
        <v>-15.47809</v>
      </c>
      <c r="D308" s="1">
        <v>7.0</v>
      </c>
      <c r="E308" s="1">
        <v>2.0</v>
      </c>
      <c r="F308" s="1">
        <v>0.285714</v>
      </c>
      <c r="G308" s="1">
        <v>2.0</v>
      </c>
      <c r="H308" s="1">
        <v>-1.032518</v>
      </c>
      <c r="I308" s="1">
        <v>100.0</v>
      </c>
      <c r="J308" s="1">
        <v>0.0</v>
      </c>
      <c r="K308" s="1">
        <v>0.0</v>
      </c>
      <c r="L308" s="1">
        <v>94.775106</v>
      </c>
      <c r="M308" s="1" t="s">
        <v>717</v>
      </c>
    </row>
    <row r="309">
      <c r="A309" s="1" t="s">
        <v>718</v>
      </c>
      <c r="B309" s="1" t="str">
        <f>IFERROR(__xludf.DUMMYFUNCTION("IFERROR(REGEXEXTRACT(A309, ""res(269|122)""), ""none"")"),"269")</f>
        <v>269</v>
      </c>
      <c r="C309" s="1">
        <v>-16.063302</v>
      </c>
      <c r="D309" s="1">
        <v>7.0</v>
      </c>
      <c r="E309" s="1">
        <v>3.0</v>
      </c>
      <c r="F309" s="1">
        <v>0.428571</v>
      </c>
      <c r="G309" s="1">
        <v>2.0</v>
      </c>
      <c r="H309" s="1">
        <v>-0.987857</v>
      </c>
      <c r="I309" s="1">
        <v>100.0</v>
      </c>
      <c r="J309" s="1">
        <v>0.0</v>
      </c>
      <c r="K309" s="1">
        <v>0.0</v>
      </c>
      <c r="L309" s="1">
        <v>95.377412</v>
      </c>
      <c r="M309" s="1" t="s">
        <v>719</v>
      </c>
    </row>
    <row r="310">
      <c r="A310" s="1" t="s">
        <v>720</v>
      </c>
      <c r="B310" s="1" t="str">
        <f>IFERROR(__xludf.DUMMYFUNCTION("IFERROR(REGEXEXTRACT(A310, ""res(269|122)""), ""none"")"),"269")</f>
        <v>269</v>
      </c>
      <c r="C310" s="1">
        <v>-16.896992</v>
      </c>
      <c r="D310" s="1">
        <v>8.0</v>
      </c>
      <c r="E310" s="1">
        <v>3.0</v>
      </c>
      <c r="F310" s="1">
        <v>0.25</v>
      </c>
      <c r="G310" s="1">
        <v>2.0</v>
      </c>
      <c r="H310" s="1">
        <v>-0.288931</v>
      </c>
      <c r="I310" s="1">
        <v>100.0</v>
      </c>
      <c r="J310" s="1">
        <v>0.0</v>
      </c>
      <c r="K310" s="1">
        <v>0.0</v>
      </c>
      <c r="L310" s="1">
        <v>96.064077</v>
      </c>
      <c r="M310" s="1" t="s">
        <v>721</v>
      </c>
    </row>
    <row r="311">
      <c r="A311" s="1" t="s">
        <v>722</v>
      </c>
      <c r="B311" s="1" t="str">
        <f>IFERROR(__xludf.DUMMYFUNCTION("IFERROR(REGEXEXTRACT(A311, ""res(269|122)""), ""none"")"),"269")</f>
        <v>269</v>
      </c>
      <c r="C311" s="1">
        <v>-15.57465</v>
      </c>
      <c r="D311" s="1">
        <v>10.0</v>
      </c>
      <c r="E311" s="1">
        <v>5.0</v>
      </c>
      <c r="F311" s="1">
        <v>0.4</v>
      </c>
      <c r="G311" s="1">
        <v>2.0</v>
      </c>
      <c r="H311" s="1">
        <v>-0.60161</v>
      </c>
      <c r="I311" s="1">
        <v>100.0</v>
      </c>
      <c r="J311" s="1">
        <v>0.0</v>
      </c>
      <c r="K311" s="1">
        <v>0.0</v>
      </c>
      <c r="L311" s="1">
        <v>101.22374</v>
      </c>
      <c r="M311" s="1" t="s">
        <v>723</v>
      </c>
    </row>
    <row r="312">
      <c r="A312" s="1" t="s">
        <v>724</v>
      </c>
      <c r="B312" s="1" t="str">
        <f>IFERROR(__xludf.DUMMYFUNCTION("IFERROR(REGEXEXTRACT(A312, ""res(269|122)""), ""none"")"),"269")</f>
        <v>269</v>
      </c>
      <c r="C312" s="1">
        <v>-15.170379</v>
      </c>
      <c r="D312" s="1">
        <v>7.0</v>
      </c>
      <c r="E312" s="1">
        <v>2.0</v>
      </c>
      <c r="F312" s="1">
        <v>0.285714</v>
      </c>
      <c r="G312" s="1">
        <v>2.0</v>
      </c>
      <c r="H312" s="1">
        <v>-0.667648999999999</v>
      </c>
      <c r="I312" s="1">
        <v>100.0</v>
      </c>
      <c r="J312" s="1">
        <v>0.0</v>
      </c>
      <c r="K312" s="1">
        <v>0.0</v>
      </c>
      <c r="L312" s="1">
        <v>95.447686</v>
      </c>
      <c r="M312" s="1" t="s">
        <v>725</v>
      </c>
    </row>
    <row r="313">
      <c r="A313" s="1" t="s">
        <v>1004</v>
      </c>
      <c r="B313" s="1" t="str">
        <f>IFERROR(__xludf.DUMMYFUNCTION("IFERROR(REGEXEXTRACT(A313, ""res(269|122)""), ""none"")"),"122")</f>
        <v>122</v>
      </c>
      <c r="C313" s="1">
        <v>-15.449821</v>
      </c>
      <c r="D313" s="1">
        <v>8.0</v>
      </c>
      <c r="E313" s="1">
        <v>4.0</v>
      </c>
      <c r="F313" s="1">
        <v>0.25</v>
      </c>
      <c r="G313" s="1">
        <v>2.0</v>
      </c>
      <c r="H313" s="1">
        <v>-0.597896</v>
      </c>
      <c r="I313" s="1">
        <v>100.0</v>
      </c>
      <c r="J313" s="1">
        <v>0.0</v>
      </c>
      <c r="K313" s="1">
        <v>0.0</v>
      </c>
      <c r="L313" s="1">
        <v>98.202283</v>
      </c>
      <c r="M313" s="1" t="s">
        <v>1005</v>
      </c>
    </row>
    <row r="314">
      <c r="A314" s="1" t="s">
        <v>726</v>
      </c>
      <c r="B314" s="1" t="str">
        <f>IFERROR(__xludf.DUMMYFUNCTION("IFERROR(REGEXEXTRACT(A314, ""res(269|122)""), ""none"")"),"269")</f>
        <v>269</v>
      </c>
      <c r="C314" s="1">
        <v>-16.876109</v>
      </c>
      <c r="D314" s="1">
        <v>7.0</v>
      </c>
      <c r="E314" s="1">
        <v>3.0</v>
      </c>
      <c r="F314" s="1">
        <v>0.285714</v>
      </c>
      <c r="G314" s="1">
        <v>2.0</v>
      </c>
      <c r="H314" s="1">
        <v>-0.125013</v>
      </c>
      <c r="I314" s="1">
        <v>100.0</v>
      </c>
      <c r="J314" s="1">
        <v>0.0</v>
      </c>
      <c r="K314" s="1">
        <v>0.0</v>
      </c>
      <c r="L314" s="1">
        <v>95.284592</v>
      </c>
      <c r="M314" s="1" t="s">
        <v>727</v>
      </c>
    </row>
    <row r="315">
      <c r="A315" s="1" t="s">
        <v>728</v>
      </c>
      <c r="B315" s="1" t="str">
        <f>IFERROR(__xludf.DUMMYFUNCTION("IFERROR(REGEXEXTRACT(A315, ""res(269|122)""), ""none"")"),"269")</f>
        <v>269</v>
      </c>
      <c r="C315" s="1">
        <v>-15.669627</v>
      </c>
      <c r="D315" s="1">
        <v>8.0</v>
      </c>
      <c r="E315" s="1">
        <v>3.0</v>
      </c>
      <c r="F315" s="1">
        <v>0.5</v>
      </c>
      <c r="G315" s="1">
        <v>2.0</v>
      </c>
      <c r="H315" s="1">
        <v>-1.095518</v>
      </c>
      <c r="I315" s="1">
        <v>100.0</v>
      </c>
      <c r="J315" s="1">
        <v>0.0</v>
      </c>
      <c r="K315" s="1">
        <v>0.0</v>
      </c>
      <c r="L315" s="1">
        <v>96.734855</v>
      </c>
      <c r="M315" s="1" t="s">
        <v>729</v>
      </c>
    </row>
    <row r="316">
      <c r="A316" s="1" t="s">
        <v>730</v>
      </c>
      <c r="B316" s="1" t="str">
        <f>IFERROR(__xludf.DUMMYFUNCTION("IFERROR(REGEXEXTRACT(A316, ""res(269|122)""), ""none"")"),"269")</f>
        <v>269</v>
      </c>
      <c r="C316" s="1">
        <v>-16.538591</v>
      </c>
      <c r="D316" s="1">
        <v>11.0</v>
      </c>
      <c r="E316" s="1">
        <v>2.0</v>
      </c>
      <c r="F316" s="1">
        <v>0.454545</v>
      </c>
      <c r="G316" s="1">
        <v>2.0</v>
      </c>
      <c r="H316" s="1">
        <v>-0.672628</v>
      </c>
      <c r="I316" s="1">
        <v>100.0</v>
      </c>
      <c r="J316" s="1">
        <v>0.0</v>
      </c>
      <c r="K316" s="1">
        <v>0.0</v>
      </c>
      <c r="L316" s="1">
        <v>98.243326</v>
      </c>
      <c r="M316" s="1" t="s">
        <v>731</v>
      </c>
    </row>
    <row r="317">
      <c r="A317" s="1" t="s">
        <v>732</v>
      </c>
      <c r="B317" s="1" t="str">
        <f>IFERROR(__xludf.DUMMYFUNCTION("IFERROR(REGEXEXTRACT(A317, ""res(269|122)""), ""none"")"),"269")</f>
        <v>269</v>
      </c>
      <c r="C317" s="1">
        <v>-15.518271</v>
      </c>
      <c r="D317" s="1">
        <v>7.0</v>
      </c>
      <c r="E317" s="1">
        <v>2.0</v>
      </c>
      <c r="F317" s="1">
        <v>0.285714</v>
      </c>
      <c r="G317" s="1">
        <v>2.0</v>
      </c>
      <c r="H317" s="1">
        <v>-0.704432</v>
      </c>
      <c r="I317" s="1">
        <v>100.0</v>
      </c>
      <c r="J317" s="1">
        <v>0.0</v>
      </c>
      <c r="K317" s="1">
        <v>0.0</v>
      </c>
      <c r="L317" s="1">
        <v>95.063011</v>
      </c>
      <c r="M317" s="1" t="s">
        <v>733</v>
      </c>
    </row>
    <row r="318">
      <c r="A318" s="1" t="s">
        <v>734</v>
      </c>
      <c r="B318" s="1" t="str">
        <f>IFERROR(__xludf.DUMMYFUNCTION("IFERROR(REGEXEXTRACT(A318, ""res(269|122)""), ""none"")"),"269")</f>
        <v>269</v>
      </c>
      <c r="C318" s="1">
        <v>-16.273007</v>
      </c>
      <c r="D318" s="1">
        <v>10.0</v>
      </c>
      <c r="E318" s="1">
        <v>5.0</v>
      </c>
      <c r="F318" s="1">
        <v>0.5</v>
      </c>
      <c r="G318" s="1">
        <v>2.0</v>
      </c>
      <c r="H318" s="1">
        <v>-1.336251</v>
      </c>
      <c r="I318" s="1">
        <v>100.0</v>
      </c>
      <c r="J318" s="1">
        <v>0.0</v>
      </c>
      <c r="K318" s="1">
        <v>0.0</v>
      </c>
      <c r="L318" s="1">
        <v>99.890742</v>
      </c>
      <c r="M318" s="1" t="s">
        <v>735</v>
      </c>
    </row>
    <row r="319">
      <c r="A319" s="1" t="s">
        <v>736</v>
      </c>
      <c r="B319" s="1" t="str">
        <f>IFERROR(__xludf.DUMMYFUNCTION("IFERROR(REGEXEXTRACT(A319, ""res(269|122)""), ""none"")"),"269")</f>
        <v>269</v>
      </c>
      <c r="C319" s="1">
        <v>-15.21474</v>
      </c>
      <c r="D319" s="1">
        <v>9.0</v>
      </c>
      <c r="E319" s="1">
        <v>1.0</v>
      </c>
      <c r="F319" s="1">
        <v>0.333333</v>
      </c>
      <c r="G319" s="1">
        <v>2.0</v>
      </c>
      <c r="H319" s="1">
        <v>-1.192772</v>
      </c>
      <c r="I319" s="1">
        <v>100.0</v>
      </c>
      <c r="J319" s="1">
        <v>0.0</v>
      </c>
      <c r="K319" s="1">
        <v>0.0</v>
      </c>
      <c r="L319" s="1">
        <v>95.925821</v>
      </c>
      <c r="M319" s="1" t="s">
        <v>737</v>
      </c>
    </row>
    <row r="320">
      <c r="A320" s="1" t="s">
        <v>1006</v>
      </c>
      <c r="B320" s="1" t="str">
        <f>IFERROR(__xludf.DUMMYFUNCTION("IFERROR(REGEXEXTRACT(A320, ""res(269|122)""), ""none"")"),"122")</f>
        <v>122</v>
      </c>
      <c r="C320" s="1">
        <v>-15.287369</v>
      </c>
      <c r="D320" s="1">
        <v>8.0</v>
      </c>
      <c r="E320" s="1">
        <v>5.0</v>
      </c>
      <c r="F320" s="1">
        <v>0.375</v>
      </c>
      <c r="G320" s="1">
        <v>2.0</v>
      </c>
      <c r="H320" s="1">
        <v>-1.284821</v>
      </c>
      <c r="I320" s="1">
        <v>100.0</v>
      </c>
      <c r="J320" s="1">
        <v>0.0</v>
      </c>
      <c r="K320" s="1">
        <v>0.0</v>
      </c>
      <c r="L320" s="1">
        <v>98.80281</v>
      </c>
      <c r="M320" s="1" t="s">
        <v>1007</v>
      </c>
    </row>
    <row r="321">
      <c r="A321" s="1" t="s">
        <v>1008</v>
      </c>
      <c r="B321" s="1" t="str">
        <f>IFERROR(__xludf.DUMMYFUNCTION("IFERROR(REGEXEXTRACT(A321, ""res(269|122)""), ""none"")"),"122")</f>
        <v>122</v>
      </c>
      <c r="C321" s="1">
        <v>-15.020705</v>
      </c>
      <c r="D321" s="1">
        <v>8.0</v>
      </c>
      <c r="E321" s="1">
        <v>4.0</v>
      </c>
      <c r="F321" s="1">
        <v>0.375</v>
      </c>
      <c r="G321" s="1">
        <v>2.0</v>
      </c>
      <c r="H321" s="1">
        <v>-0.497393</v>
      </c>
      <c r="I321" s="1">
        <v>100.0</v>
      </c>
      <c r="J321" s="1">
        <v>0.0</v>
      </c>
      <c r="K321" s="1">
        <v>0.0</v>
      </c>
      <c r="L321" s="1">
        <v>98.856902</v>
      </c>
      <c r="M321" s="1" t="s">
        <v>1009</v>
      </c>
    </row>
    <row r="322">
      <c r="A322" s="1" t="s">
        <v>738</v>
      </c>
      <c r="B322" s="1" t="str">
        <f>IFERROR(__xludf.DUMMYFUNCTION("IFERROR(REGEXEXTRACT(A322, ""res(269|122)""), ""none"")"),"269")</f>
        <v>269</v>
      </c>
      <c r="C322" s="1">
        <v>-15.689275</v>
      </c>
      <c r="D322" s="1">
        <v>6.0</v>
      </c>
      <c r="E322" s="1">
        <v>1.0</v>
      </c>
      <c r="F322" s="1">
        <v>0.333333</v>
      </c>
      <c r="G322" s="1">
        <v>2.0</v>
      </c>
      <c r="H322" s="1">
        <v>-0.283942</v>
      </c>
      <c r="I322" s="1">
        <v>100.0</v>
      </c>
      <c r="J322" s="1">
        <v>0.0</v>
      </c>
      <c r="K322" s="1">
        <v>0.0</v>
      </c>
      <c r="L322" s="1">
        <v>93.360116</v>
      </c>
      <c r="M322" s="1" t="s">
        <v>739</v>
      </c>
    </row>
    <row r="323">
      <c r="A323" s="1" t="s">
        <v>740</v>
      </c>
      <c r="B323" s="1" t="str">
        <f>IFERROR(__xludf.DUMMYFUNCTION("IFERROR(REGEXEXTRACT(A323, ""res(269|122)""), ""none"")"),"269")</f>
        <v>269</v>
      </c>
      <c r="C323" s="1">
        <v>-19.0248</v>
      </c>
      <c r="D323" s="1">
        <v>10.0</v>
      </c>
      <c r="E323" s="1">
        <v>1.0</v>
      </c>
      <c r="F323" s="1">
        <v>0.3</v>
      </c>
      <c r="G323" s="1">
        <v>2.0</v>
      </c>
      <c r="H323" s="1">
        <v>-0.194124</v>
      </c>
      <c r="I323" s="1">
        <v>100.0</v>
      </c>
      <c r="J323" s="1">
        <v>0.0</v>
      </c>
      <c r="K323" s="1">
        <v>0.0</v>
      </c>
      <c r="L323" s="1">
        <v>94.081076</v>
      </c>
      <c r="M323" s="1" t="s">
        <v>741</v>
      </c>
    </row>
    <row r="324">
      <c r="A324" s="1" t="s">
        <v>742</v>
      </c>
      <c r="B324" s="1" t="str">
        <f>IFERROR(__xludf.DUMMYFUNCTION("IFERROR(REGEXEXTRACT(A324, ""res(269|122)""), ""none"")"),"269")</f>
        <v>269</v>
      </c>
      <c r="C324" s="1">
        <v>-16.168018</v>
      </c>
      <c r="D324" s="1">
        <v>7.0</v>
      </c>
      <c r="E324" s="1">
        <v>4.0</v>
      </c>
      <c r="F324" s="1">
        <v>0.428571</v>
      </c>
      <c r="G324" s="1">
        <v>2.0</v>
      </c>
      <c r="H324" s="1">
        <v>-1.027591</v>
      </c>
      <c r="I324" s="1">
        <v>100.0</v>
      </c>
      <c r="J324" s="1">
        <v>0.0</v>
      </c>
      <c r="K324" s="1">
        <v>0.0</v>
      </c>
      <c r="L324" s="1">
        <v>96.232962</v>
      </c>
      <c r="M324" s="1" t="s">
        <v>743</v>
      </c>
    </row>
    <row r="325">
      <c r="A325" s="1" t="s">
        <v>237</v>
      </c>
      <c r="B325" s="1" t="str">
        <f>IFERROR(__xludf.DUMMYFUNCTION("IFERROR(REGEXEXTRACT(A325, ""res(269|122)""), ""none"")"),"122")</f>
        <v>122</v>
      </c>
      <c r="C325" s="1">
        <v>-16.448683</v>
      </c>
      <c r="D325" s="1">
        <v>7.0</v>
      </c>
      <c r="E325" s="1">
        <v>4.0</v>
      </c>
      <c r="F325" s="1">
        <v>0.428571</v>
      </c>
      <c r="G325" s="1">
        <v>2.0</v>
      </c>
      <c r="H325" s="1">
        <v>-1.118176</v>
      </c>
      <c r="I325" s="1">
        <v>100.0</v>
      </c>
      <c r="J325" s="1">
        <v>0.0</v>
      </c>
      <c r="K325" s="1">
        <v>0.0</v>
      </c>
      <c r="L325" s="1">
        <v>95.861712</v>
      </c>
      <c r="M325" s="1" t="s">
        <v>238</v>
      </c>
    </row>
    <row r="326">
      <c r="A326" s="1" t="s">
        <v>744</v>
      </c>
      <c r="B326" s="1" t="str">
        <f>IFERROR(__xludf.DUMMYFUNCTION("IFERROR(REGEXEXTRACT(A326, ""res(269|122)""), ""none"")"),"269")</f>
        <v>269</v>
      </c>
      <c r="C326" s="1">
        <v>-17.880646</v>
      </c>
      <c r="D326" s="1">
        <v>7.0</v>
      </c>
      <c r="E326" s="1">
        <v>3.0</v>
      </c>
      <c r="F326" s="1">
        <v>0.285714</v>
      </c>
      <c r="G326" s="1">
        <v>2.0</v>
      </c>
      <c r="H326" s="1">
        <v>-0.782756</v>
      </c>
      <c r="I326" s="1">
        <v>100.0</v>
      </c>
      <c r="J326" s="1">
        <v>0.0</v>
      </c>
      <c r="K326" s="1">
        <v>0.0</v>
      </c>
      <c r="L326" s="1">
        <v>93.622312</v>
      </c>
      <c r="M326" s="1" t="s">
        <v>745</v>
      </c>
    </row>
    <row r="327">
      <c r="A327" s="1" t="s">
        <v>746</v>
      </c>
      <c r="B327" s="1" t="str">
        <f>IFERROR(__xludf.DUMMYFUNCTION("IFERROR(REGEXEXTRACT(A327, ""res(269|122)""), ""none"")"),"269")</f>
        <v>269</v>
      </c>
      <c r="C327" s="1">
        <v>-15.808583</v>
      </c>
      <c r="D327" s="1">
        <v>8.0</v>
      </c>
      <c r="E327" s="1">
        <v>3.0</v>
      </c>
      <c r="F327" s="1">
        <v>0.25</v>
      </c>
      <c r="G327" s="1">
        <v>2.0</v>
      </c>
      <c r="H327" s="1">
        <v>-0.274418999999999</v>
      </c>
      <c r="I327" s="1">
        <v>100.0</v>
      </c>
      <c r="J327" s="1">
        <v>0.0</v>
      </c>
      <c r="K327" s="1">
        <v>0.0</v>
      </c>
      <c r="L327" s="1">
        <v>97.166998</v>
      </c>
      <c r="M327" s="1" t="s">
        <v>747</v>
      </c>
    </row>
    <row r="328">
      <c r="A328" s="1" t="s">
        <v>748</v>
      </c>
      <c r="B328" s="1" t="str">
        <f>IFERROR(__xludf.DUMMYFUNCTION("IFERROR(REGEXEXTRACT(A328, ""res(269|122)""), ""none"")"),"269")</f>
        <v>269</v>
      </c>
      <c r="C328" s="1">
        <v>-15.922666</v>
      </c>
      <c r="D328" s="1">
        <v>11.0</v>
      </c>
      <c r="E328" s="1">
        <v>4.0</v>
      </c>
      <c r="F328" s="1">
        <v>0.272727</v>
      </c>
      <c r="G328" s="1">
        <v>2.0</v>
      </c>
      <c r="H328" s="1">
        <v>-1.281239</v>
      </c>
      <c r="I328" s="1">
        <v>100.0</v>
      </c>
      <c r="J328" s="1">
        <v>0.0</v>
      </c>
      <c r="K328" s="1">
        <v>0.0</v>
      </c>
      <c r="L328" s="1">
        <v>100.068822</v>
      </c>
      <c r="M328" s="1" t="s">
        <v>749</v>
      </c>
    </row>
    <row r="329">
      <c r="A329" s="1" t="s">
        <v>239</v>
      </c>
      <c r="B329" s="1" t="str">
        <f>IFERROR(__xludf.DUMMYFUNCTION("IFERROR(REGEXEXTRACT(A329, ""res(269|122)""), ""none"")"),"122")</f>
        <v>122</v>
      </c>
      <c r="C329" s="1">
        <v>-15.291041</v>
      </c>
      <c r="D329" s="1">
        <v>8.0</v>
      </c>
      <c r="E329" s="1">
        <v>3.0</v>
      </c>
      <c r="F329" s="1">
        <v>0.375</v>
      </c>
      <c r="G329" s="1">
        <v>2.0</v>
      </c>
      <c r="H329" s="1">
        <v>-0.739298999999999</v>
      </c>
      <c r="I329" s="1">
        <v>100.0</v>
      </c>
      <c r="J329" s="1">
        <v>0.0</v>
      </c>
      <c r="K329" s="1">
        <v>0.0</v>
      </c>
      <c r="L329" s="1">
        <v>97.34466</v>
      </c>
      <c r="M329" s="1" t="s">
        <v>240</v>
      </c>
    </row>
    <row r="330">
      <c r="A330" s="1" t="s">
        <v>750</v>
      </c>
      <c r="B330" s="1" t="str">
        <f>IFERROR(__xludf.DUMMYFUNCTION("IFERROR(REGEXEXTRACT(A330, ""res(269|122)""), ""none"")"),"269")</f>
        <v>269</v>
      </c>
      <c r="C330" s="1">
        <v>-16.054057</v>
      </c>
      <c r="D330" s="1">
        <v>8.0</v>
      </c>
      <c r="E330" s="1">
        <v>3.0</v>
      </c>
      <c r="F330" s="1">
        <v>0.25</v>
      </c>
      <c r="G330" s="1">
        <v>3.0</v>
      </c>
      <c r="H330" s="1">
        <v>-2.086385</v>
      </c>
      <c r="I330" s="1">
        <v>100.0</v>
      </c>
      <c r="J330" s="1">
        <v>0.0</v>
      </c>
      <c r="K330" s="1">
        <v>0.0</v>
      </c>
      <c r="L330" s="1">
        <v>96.109558</v>
      </c>
      <c r="M330" s="1" t="s">
        <v>751</v>
      </c>
    </row>
    <row r="331">
      <c r="A331" s="1" t="s">
        <v>752</v>
      </c>
      <c r="B331" s="1" t="str">
        <f>IFERROR(__xludf.DUMMYFUNCTION("IFERROR(REGEXEXTRACT(A331, ""res(269|122)""), ""none"")"),"269")</f>
        <v>269</v>
      </c>
      <c r="C331" s="1">
        <v>-15.254939</v>
      </c>
      <c r="D331" s="1">
        <v>10.0</v>
      </c>
      <c r="E331" s="1">
        <v>2.0</v>
      </c>
      <c r="F331" s="1">
        <v>0.3</v>
      </c>
      <c r="G331" s="1">
        <v>3.0</v>
      </c>
      <c r="H331" s="1">
        <v>-1.268036</v>
      </c>
      <c r="I331" s="1">
        <v>100.0</v>
      </c>
      <c r="J331" s="1">
        <v>0.0</v>
      </c>
      <c r="K331" s="1">
        <v>0.0</v>
      </c>
      <c r="L331" s="1">
        <v>98.777025</v>
      </c>
      <c r="M331" s="1" t="s">
        <v>753</v>
      </c>
    </row>
    <row r="332">
      <c r="A332" s="1" t="s">
        <v>1010</v>
      </c>
      <c r="B332" s="1" t="str">
        <f>IFERROR(__xludf.DUMMYFUNCTION("IFERROR(REGEXEXTRACT(A332, ""res(269|122)""), ""none"")"),"122")</f>
        <v>122</v>
      </c>
      <c r="C332" s="1">
        <v>-17.523214</v>
      </c>
      <c r="D332" s="1">
        <v>11.0</v>
      </c>
      <c r="E332" s="1">
        <v>4.0</v>
      </c>
      <c r="F332" s="1">
        <v>0.363636</v>
      </c>
      <c r="G332" s="1">
        <v>2.0</v>
      </c>
      <c r="H332" s="1">
        <v>-1.221166</v>
      </c>
      <c r="I332" s="1">
        <v>100.0</v>
      </c>
      <c r="J332" s="1">
        <v>0.0</v>
      </c>
      <c r="K332" s="1">
        <v>0.0</v>
      </c>
      <c r="L332" s="1">
        <v>98.619256</v>
      </c>
      <c r="M332" s="1" t="s">
        <v>1011</v>
      </c>
    </row>
    <row r="333">
      <c r="A333" s="1" t="s">
        <v>754</v>
      </c>
      <c r="B333" s="1" t="str">
        <f>IFERROR(__xludf.DUMMYFUNCTION("IFERROR(REGEXEXTRACT(A333, ""res(269|122)""), ""none"")"),"269")</f>
        <v>269</v>
      </c>
      <c r="C333" s="1">
        <v>-15.154038</v>
      </c>
      <c r="D333" s="1">
        <v>9.0</v>
      </c>
      <c r="E333" s="1">
        <v>2.0</v>
      </c>
      <c r="F333" s="1">
        <v>0.333333</v>
      </c>
      <c r="G333" s="1">
        <v>2.0</v>
      </c>
      <c r="H333" s="1">
        <v>-0.848837</v>
      </c>
      <c r="I333" s="1">
        <v>100.0</v>
      </c>
      <c r="J333" s="1">
        <v>0.0</v>
      </c>
      <c r="K333" s="1">
        <v>0.0</v>
      </c>
      <c r="L333" s="1">
        <v>97.330458</v>
      </c>
      <c r="M333" s="1" t="s">
        <v>755</v>
      </c>
    </row>
    <row r="334">
      <c r="A334" s="1" t="s">
        <v>756</v>
      </c>
      <c r="B334" s="1" t="str">
        <f>IFERROR(__xludf.DUMMYFUNCTION("IFERROR(REGEXEXTRACT(A334, ""res(269|122)""), ""none"")"),"269")</f>
        <v>269</v>
      </c>
      <c r="C334" s="1">
        <v>-15.837791</v>
      </c>
      <c r="D334" s="1">
        <v>7.0</v>
      </c>
      <c r="E334" s="1">
        <v>2.0</v>
      </c>
      <c r="F334" s="1">
        <v>0.285714</v>
      </c>
      <c r="G334" s="1">
        <v>2.0</v>
      </c>
      <c r="H334" s="1">
        <v>-1.071572</v>
      </c>
      <c r="I334" s="1">
        <v>100.0</v>
      </c>
      <c r="J334" s="1">
        <v>0.0</v>
      </c>
      <c r="K334" s="1">
        <v>0.0</v>
      </c>
      <c r="L334" s="1">
        <v>94.376351</v>
      </c>
      <c r="M334" s="1" t="s">
        <v>757</v>
      </c>
    </row>
    <row r="335">
      <c r="A335" s="1" t="s">
        <v>758</v>
      </c>
      <c r="B335" s="1" t="str">
        <f>IFERROR(__xludf.DUMMYFUNCTION("IFERROR(REGEXEXTRACT(A335, ""res(269|122)""), ""none"")"),"269")</f>
        <v>269</v>
      </c>
      <c r="C335" s="1">
        <v>-15.397445</v>
      </c>
      <c r="D335" s="1">
        <v>8.0</v>
      </c>
      <c r="E335" s="1">
        <v>5.0</v>
      </c>
      <c r="F335" s="1">
        <v>0.5</v>
      </c>
      <c r="G335" s="1">
        <v>2.0</v>
      </c>
      <c r="H335" s="1">
        <v>-1.534955</v>
      </c>
      <c r="I335" s="1">
        <v>100.0</v>
      </c>
      <c r="J335" s="1">
        <v>0.0</v>
      </c>
      <c r="K335" s="1">
        <v>0.0</v>
      </c>
      <c r="L335" s="1">
        <v>98.5676</v>
      </c>
      <c r="M335" s="1" t="s">
        <v>759</v>
      </c>
    </row>
    <row r="336">
      <c r="A336" s="1" t="s">
        <v>760</v>
      </c>
      <c r="B336" s="1" t="str">
        <f>IFERROR(__xludf.DUMMYFUNCTION("IFERROR(REGEXEXTRACT(A336, ""res(269|122)""), ""none"")"),"269")</f>
        <v>269</v>
      </c>
      <c r="C336" s="1">
        <v>-15.876867</v>
      </c>
      <c r="D336" s="1">
        <v>9.0</v>
      </c>
      <c r="E336" s="1">
        <v>5.0</v>
      </c>
      <c r="F336" s="1">
        <v>0.444444</v>
      </c>
      <c r="G336" s="1">
        <v>2.0</v>
      </c>
      <c r="H336" s="1">
        <v>-0.548546</v>
      </c>
      <c r="I336" s="1">
        <v>100.0</v>
      </c>
      <c r="J336" s="1">
        <v>0.0</v>
      </c>
      <c r="K336" s="1">
        <v>0.0</v>
      </c>
      <c r="L336" s="1">
        <v>100.019031</v>
      </c>
      <c r="M336" s="1" t="s">
        <v>761</v>
      </c>
    </row>
    <row r="337">
      <c r="A337" s="1" t="s">
        <v>1012</v>
      </c>
      <c r="B337" s="1" t="str">
        <f>IFERROR(__xludf.DUMMYFUNCTION("IFERROR(REGEXEXTRACT(A337, ""res(269|122)""), ""none"")"),"122")</f>
        <v>122</v>
      </c>
      <c r="C337" s="1">
        <v>-15.685805</v>
      </c>
      <c r="D337" s="1">
        <v>10.0</v>
      </c>
      <c r="E337" s="1">
        <v>3.0</v>
      </c>
      <c r="F337" s="1">
        <v>0.3</v>
      </c>
      <c r="G337" s="1">
        <v>2.0</v>
      </c>
      <c r="H337" s="1">
        <v>-0.997716</v>
      </c>
      <c r="I337" s="1">
        <v>100.0</v>
      </c>
      <c r="J337" s="1">
        <v>0.0</v>
      </c>
      <c r="K337" s="1">
        <v>0.0</v>
      </c>
      <c r="L337" s="1">
        <v>98.616479</v>
      </c>
      <c r="M337" s="1" t="s">
        <v>1013</v>
      </c>
    </row>
    <row r="338">
      <c r="A338" s="1" t="s">
        <v>762</v>
      </c>
      <c r="B338" s="1" t="str">
        <f>IFERROR(__xludf.DUMMYFUNCTION("IFERROR(REGEXEXTRACT(A338, ""res(269|122)""), ""none"")"),"269")</f>
        <v>269</v>
      </c>
      <c r="C338" s="1">
        <v>-15.298627</v>
      </c>
      <c r="D338" s="1">
        <v>8.0</v>
      </c>
      <c r="E338" s="1">
        <v>2.0</v>
      </c>
      <c r="F338" s="1">
        <v>0.25</v>
      </c>
      <c r="G338" s="1">
        <v>2.0</v>
      </c>
      <c r="H338" s="1">
        <v>-0.483175</v>
      </c>
      <c r="I338" s="1">
        <v>100.0</v>
      </c>
      <c r="J338" s="1">
        <v>0.0</v>
      </c>
      <c r="K338" s="1">
        <v>0.0</v>
      </c>
      <c r="L338" s="1">
        <v>96.468198</v>
      </c>
      <c r="M338" s="1" t="s">
        <v>763</v>
      </c>
    </row>
    <row r="339">
      <c r="A339" s="1" t="s">
        <v>1014</v>
      </c>
      <c r="B339" s="1" t="str">
        <f>IFERROR(__xludf.DUMMYFUNCTION("IFERROR(REGEXEXTRACT(A339, ""res(269|122)""), ""none"")"),"122")</f>
        <v>122</v>
      </c>
      <c r="C339" s="1">
        <v>-17.896335</v>
      </c>
      <c r="D339" s="1">
        <v>10.0</v>
      </c>
      <c r="E339" s="1">
        <v>4.0</v>
      </c>
      <c r="F339" s="1">
        <v>0.3</v>
      </c>
      <c r="G339" s="1">
        <v>2.0</v>
      </c>
      <c r="H339" s="1">
        <v>-0.787613</v>
      </c>
      <c r="I339" s="1">
        <v>100.0</v>
      </c>
      <c r="J339" s="1">
        <v>0.0</v>
      </c>
      <c r="K339" s="1">
        <v>0.0</v>
      </c>
      <c r="L339" s="1">
        <v>97.616052</v>
      </c>
      <c r="M339" s="1" t="s">
        <v>1015</v>
      </c>
    </row>
    <row r="340">
      <c r="A340" s="1" t="s">
        <v>764</v>
      </c>
      <c r="B340" s="1" t="str">
        <f>IFERROR(__xludf.DUMMYFUNCTION("IFERROR(REGEXEXTRACT(A340, ""res(269|122)""), ""none"")"),"269")</f>
        <v>269</v>
      </c>
      <c r="C340" s="1">
        <v>-18.469678</v>
      </c>
      <c r="D340" s="1">
        <v>10.0</v>
      </c>
      <c r="E340" s="1">
        <v>4.0</v>
      </c>
      <c r="F340" s="1">
        <v>0.4</v>
      </c>
      <c r="G340" s="1">
        <v>2.0</v>
      </c>
      <c r="H340" s="1">
        <v>-1.363106</v>
      </c>
      <c r="I340" s="1">
        <v>100.0</v>
      </c>
      <c r="J340" s="1">
        <v>0.0</v>
      </c>
      <c r="K340" s="1">
        <v>0.0</v>
      </c>
      <c r="L340" s="1">
        <v>96.567216</v>
      </c>
      <c r="M340" s="1" t="s">
        <v>765</v>
      </c>
    </row>
    <row r="341">
      <c r="A341" s="1" t="s">
        <v>766</v>
      </c>
      <c r="B341" s="1" t="str">
        <f>IFERROR(__xludf.DUMMYFUNCTION("IFERROR(REGEXEXTRACT(A341, ""res(269|122)""), ""none"")"),"269")</f>
        <v>269</v>
      </c>
      <c r="C341" s="1">
        <v>-16.667832</v>
      </c>
      <c r="D341" s="1">
        <v>6.0</v>
      </c>
      <c r="E341" s="1">
        <v>2.0</v>
      </c>
      <c r="F341" s="1">
        <v>0.333333</v>
      </c>
      <c r="G341" s="1">
        <v>2.0</v>
      </c>
      <c r="H341" s="1">
        <v>-1.030818</v>
      </c>
      <c r="I341" s="1">
        <v>100.0</v>
      </c>
      <c r="J341" s="1">
        <v>0.0</v>
      </c>
      <c r="K341" s="1">
        <v>0.0</v>
      </c>
      <c r="L341" s="1">
        <v>92.634683</v>
      </c>
      <c r="M341" s="1" t="s">
        <v>767</v>
      </c>
    </row>
    <row r="342">
      <c r="A342" s="1" t="s">
        <v>374</v>
      </c>
      <c r="B342" s="1" t="str">
        <f>IFERROR(__xludf.DUMMYFUNCTION("IFERROR(REGEXEXTRACT(A342, ""res(269|122)""), ""none"")"),"269")</f>
        <v>269</v>
      </c>
      <c r="C342" s="1">
        <v>-16.118663</v>
      </c>
      <c r="D342" s="1">
        <v>9.0</v>
      </c>
      <c r="E342" s="1">
        <v>1.0</v>
      </c>
      <c r="F342" s="1">
        <v>0.333333</v>
      </c>
      <c r="G342" s="1">
        <v>2.0</v>
      </c>
      <c r="H342" s="1">
        <v>-0.368431</v>
      </c>
      <c r="I342" s="1">
        <v>100.0</v>
      </c>
      <c r="J342" s="1">
        <v>0.0</v>
      </c>
      <c r="K342" s="1">
        <v>0.0</v>
      </c>
      <c r="L342" s="1">
        <v>95.846239</v>
      </c>
      <c r="M342" s="1" t="s">
        <v>174</v>
      </c>
    </row>
    <row r="343">
      <c r="A343" s="1" t="s">
        <v>768</v>
      </c>
      <c r="B343" s="1" t="str">
        <f>IFERROR(__xludf.DUMMYFUNCTION("IFERROR(REGEXEXTRACT(A343, ""res(269|122)""), ""none"")"),"269")</f>
        <v>269</v>
      </c>
      <c r="C343" s="1">
        <v>-15.215774</v>
      </c>
      <c r="D343" s="1">
        <v>7.0</v>
      </c>
      <c r="E343" s="1">
        <v>3.0</v>
      </c>
      <c r="F343" s="1">
        <v>0.285714</v>
      </c>
      <c r="G343" s="1">
        <v>2.0</v>
      </c>
      <c r="H343" s="1">
        <v>-0.616062</v>
      </c>
      <c r="I343" s="1">
        <v>100.0</v>
      </c>
      <c r="J343" s="1">
        <v>0.0</v>
      </c>
      <c r="K343" s="1">
        <v>0.0</v>
      </c>
      <c r="L343" s="1">
        <v>96.453878</v>
      </c>
      <c r="M343" s="1" t="s">
        <v>769</v>
      </c>
    </row>
    <row r="344">
      <c r="A344" s="1" t="s">
        <v>1016</v>
      </c>
      <c r="B344" s="1" t="str">
        <f>IFERROR(__xludf.DUMMYFUNCTION("IFERROR(REGEXEXTRACT(A344, ""res(269|122)""), ""none"")"),"122")</f>
        <v>122</v>
      </c>
      <c r="C344" s="1">
        <v>-16.549445</v>
      </c>
      <c r="D344" s="1">
        <v>8.0</v>
      </c>
      <c r="E344" s="1">
        <v>3.0</v>
      </c>
      <c r="F344" s="1">
        <v>0.25</v>
      </c>
      <c r="G344" s="1">
        <v>3.0</v>
      </c>
      <c r="H344" s="1">
        <v>-0.9363</v>
      </c>
      <c r="I344" s="1">
        <v>100.0</v>
      </c>
      <c r="J344" s="1">
        <v>0.0</v>
      </c>
      <c r="K344" s="1">
        <v>0.0</v>
      </c>
      <c r="L344" s="1">
        <v>96.764255</v>
      </c>
      <c r="M344" s="1" t="s">
        <v>1017</v>
      </c>
    </row>
    <row r="345">
      <c r="A345" s="1" t="s">
        <v>770</v>
      </c>
      <c r="B345" s="1" t="str">
        <f>IFERROR(__xludf.DUMMYFUNCTION("IFERROR(REGEXEXTRACT(A345, ""res(269|122)""), ""none"")"),"269")</f>
        <v>269</v>
      </c>
      <c r="C345" s="1">
        <v>-15.561513</v>
      </c>
      <c r="D345" s="1">
        <v>7.0</v>
      </c>
      <c r="E345" s="1">
        <v>2.0</v>
      </c>
      <c r="F345" s="1">
        <v>0.285714</v>
      </c>
      <c r="G345" s="1">
        <v>2.0</v>
      </c>
      <c r="H345" s="1">
        <v>-0.958047</v>
      </c>
      <c r="I345" s="1">
        <v>100.0</v>
      </c>
      <c r="J345" s="1">
        <v>0.0</v>
      </c>
      <c r="K345" s="1">
        <v>0.0</v>
      </c>
      <c r="L345" s="1">
        <v>94.766154</v>
      </c>
      <c r="M345" s="1" t="s">
        <v>771</v>
      </c>
    </row>
    <row r="346">
      <c r="A346" s="1" t="s">
        <v>1018</v>
      </c>
      <c r="B346" s="1" t="str">
        <f>IFERROR(__xludf.DUMMYFUNCTION("IFERROR(REGEXEXTRACT(A346, ""res(269|122)""), ""none"")"),"122")</f>
        <v>122</v>
      </c>
      <c r="C346" s="1">
        <v>-15.226468</v>
      </c>
      <c r="D346" s="1">
        <v>10.0</v>
      </c>
      <c r="E346" s="1">
        <v>4.0</v>
      </c>
      <c r="F346" s="1">
        <v>0.3</v>
      </c>
      <c r="G346" s="1">
        <v>2.0</v>
      </c>
      <c r="H346" s="1">
        <v>-1.532869</v>
      </c>
      <c r="I346" s="1">
        <v>100.0</v>
      </c>
      <c r="J346" s="1">
        <v>0.0</v>
      </c>
      <c r="K346" s="1">
        <v>0.0</v>
      </c>
      <c r="L346" s="1">
        <v>99.540663</v>
      </c>
      <c r="M346" s="1" t="s">
        <v>1019</v>
      </c>
    </row>
    <row r="347">
      <c r="A347" s="1" t="s">
        <v>772</v>
      </c>
      <c r="B347" s="1" t="str">
        <f>IFERROR(__xludf.DUMMYFUNCTION("IFERROR(REGEXEXTRACT(A347, ""res(269|122)""), ""none"")"),"269")</f>
        <v>269</v>
      </c>
      <c r="C347" s="1">
        <v>-15.089943</v>
      </c>
      <c r="D347" s="1">
        <v>9.0</v>
      </c>
      <c r="E347" s="1">
        <v>3.0</v>
      </c>
      <c r="F347" s="1">
        <v>0.444444</v>
      </c>
      <c r="G347" s="1">
        <v>2.0</v>
      </c>
      <c r="H347" s="1">
        <v>-0.893755</v>
      </c>
      <c r="I347" s="1">
        <v>100.0</v>
      </c>
      <c r="J347" s="1">
        <v>0.0</v>
      </c>
      <c r="K347" s="1">
        <v>0.0</v>
      </c>
      <c r="L347" s="1">
        <v>98.460746</v>
      </c>
      <c r="M347" s="1" t="s">
        <v>773</v>
      </c>
    </row>
    <row r="348">
      <c r="A348" s="1" t="s">
        <v>774</v>
      </c>
      <c r="B348" s="1" t="str">
        <f>IFERROR(__xludf.DUMMYFUNCTION("IFERROR(REGEXEXTRACT(A348, ""res(269|122)""), ""none"")"),"269")</f>
        <v>269</v>
      </c>
      <c r="C348" s="1">
        <v>-15.129961</v>
      </c>
      <c r="D348" s="1">
        <v>9.0</v>
      </c>
      <c r="E348" s="1">
        <v>1.0</v>
      </c>
      <c r="F348" s="1">
        <v>0.333333</v>
      </c>
      <c r="G348" s="1">
        <v>2.0</v>
      </c>
      <c r="H348" s="1">
        <v>-1.424951</v>
      </c>
      <c r="I348" s="1">
        <v>100.0</v>
      </c>
      <c r="J348" s="1">
        <v>0.0</v>
      </c>
      <c r="K348" s="1">
        <v>0.0</v>
      </c>
      <c r="L348" s="1">
        <v>95.778421</v>
      </c>
      <c r="M348" s="1" t="s">
        <v>775</v>
      </c>
    </row>
    <row r="349">
      <c r="A349" s="1" t="s">
        <v>776</v>
      </c>
      <c r="B349" s="1" t="str">
        <f>IFERROR(__xludf.DUMMYFUNCTION("IFERROR(REGEXEXTRACT(A349, ""res(269|122)""), ""none"")"),"269")</f>
        <v>269</v>
      </c>
      <c r="C349" s="1">
        <v>-15.779634</v>
      </c>
      <c r="D349" s="1">
        <v>10.0</v>
      </c>
      <c r="E349" s="1">
        <v>5.0</v>
      </c>
      <c r="F349" s="1">
        <v>0.3</v>
      </c>
      <c r="G349" s="1">
        <v>2.0</v>
      </c>
      <c r="H349" s="1">
        <v>-0.855369</v>
      </c>
      <c r="I349" s="1">
        <v>100.0</v>
      </c>
      <c r="J349" s="1">
        <v>0.0</v>
      </c>
      <c r="K349" s="1">
        <v>0.0</v>
      </c>
      <c r="L349" s="1">
        <v>100.664997</v>
      </c>
      <c r="M349" s="1" t="s">
        <v>777</v>
      </c>
    </row>
    <row r="350">
      <c r="A350" s="1" t="s">
        <v>1020</v>
      </c>
      <c r="B350" s="1" t="str">
        <f>IFERROR(__xludf.DUMMYFUNCTION("IFERROR(REGEXEXTRACT(A350, ""res(269|122)""), ""none"")"),"122")</f>
        <v>122</v>
      </c>
      <c r="C350" s="1">
        <v>-16.65836</v>
      </c>
      <c r="D350" s="1">
        <v>9.0</v>
      </c>
      <c r="E350" s="1">
        <v>4.0</v>
      </c>
      <c r="F350" s="1">
        <v>0.444444</v>
      </c>
      <c r="G350" s="1">
        <v>2.0</v>
      </c>
      <c r="H350" s="1">
        <v>-1.273656</v>
      </c>
      <c r="I350" s="1">
        <v>100.0</v>
      </c>
      <c r="J350" s="1">
        <v>0.0</v>
      </c>
      <c r="K350" s="1">
        <v>0.0</v>
      </c>
      <c r="L350" s="1">
        <v>97.512428</v>
      </c>
      <c r="M350" s="1" t="s">
        <v>1021</v>
      </c>
    </row>
    <row r="351">
      <c r="A351" s="1" t="s">
        <v>778</v>
      </c>
      <c r="B351" s="1" t="str">
        <f>IFERROR(__xludf.DUMMYFUNCTION("IFERROR(REGEXEXTRACT(A351, ""res(269|122)""), ""none"")"),"269")</f>
        <v>269</v>
      </c>
      <c r="C351" s="1">
        <v>-15.06211</v>
      </c>
      <c r="D351" s="1">
        <v>7.0</v>
      </c>
      <c r="E351" s="1">
        <v>3.0</v>
      </c>
      <c r="F351" s="1">
        <v>0.285714</v>
      </c>
      <c r="G351" s="1">
        <v>2.0</v>
      </c>
      <c r="H351" s="1">
        <v>-0.778561</v>
      </c>
      <c r="I351" s="1">
        <v>100.0</v>
      </c>
      <c r="J351" s="1">
        <v>0.0</v>
      </c>
      <c r="K351" s="1">
        <v>0.0</v>
      </c>
      <c r="L351" s="1">
        <v>96.445043</v>
      </c>
      <c r="M351" s="1" t="s">
        <v>779</v>
      </c>
    </row>
    <row r="352">
      <c r="A352" s="1" t="s">
        <v>780</v>
      </c>
      <c r="B352" s="1" t="str">
        <f>IFERROR(__xludf.DUMMYFUNCTION("IFERROR(REGEXEXTRACT(A352, ""res(269|122)""), ""none"")"),"269")</f>
        <v>269</v>
      </c>
      <c r="C352" s="1">
        <v>-15.228987</v>
      </c>
      <c r="D352" s="1">
        <v>7.0</v>
      </c>
      <c r="E352" s="1">
        <v>1.0</v>
      </c>
      <c r="F352" s="1">
        <v>0.285714</v>
      </c>
      <c r="G352" s="1">
        <v>2.0</v>
      </c>
      <c r="H352" s="1">
        <v>-0.497766</v>
      </c>
      <c r="I352" s="1">
        <v>100.0</v>
      </c>
      <c r="J352" s="1">
        <v>0.0</v>
      </c>
      <c r="K352" s="1">
        <v>0.0</v>
      </c>
      <c r="L352" s="1">
        <v>94.558961</v>
      </c>
      <c r="M352" s="1" t="s">
        <v>781</v>
      </c>
    </row>
    <row r="353">
      <c r="A353" s="1" t="s">
        <v>782</v>
      </c>
      <c r="B353" s="1" t="str">
        <f>IFERROR(__xludf.DUMMYFUNCTION("IFERROR(REGEXEXTRACT(A353, ""res(269|122)""), ""none"")"),"269")</f>
        <v>269</v>
      </c>
      <c r="C353" s="1">
        <v>-16.62153</v>
      </c>
      <c r="D353" s="1">
        <v>7.0</v>
      </c>
      <c r="E353" s="1">
        <v>3.0</v>
      </c>
      <c r="F353" s="1">
        <v>0.285714</v>
      </c>
      <c r="G353" s="1">
        <v>2.0</v>
      </c>
      <c r="H353" s="1">
        <v>-0.582049</v>
      </c>
      <c r="I353" s="1">
        <v>100.0</v>
      </c>
      <c r="J353" s="1">
        <v>0.0</v>
      </c>
      <c r="K353" s="1">
        <v>0.0</v>
      </c>
      <c r="L353" s="1">
        <v>95.082135</v>
      </c>
      <c r="M353" s="1" t="s">
        <v>783</v>
      </c>
    </row>
    <row r="354">
      <c r="A354" s="1" t="s">
        <v>375</v>
      </c>
      <c r="B354" s="1" t="str">
        <f>IFERROR(__xludf.DUMMYFUNCTION("IFERROR(REGEXEXTRACT(A354, ""res(269|122)""), ""none"")"),"269")</f>
        <v>269</v>
      </c>
      <c r="C354" s="1">
        <v>-15.441678</v>
      </c>
      <c r="D354" s="1">
        <v>7.0</v>
      </c>
      <c r="E354" s="1">
        <v>3.0</v>
      </c>
      <c r="F354" s="1">
        <v>0.571429</v>
      </c>
      <c r="G354" s="1">
        <v>2.0</v>
      </c>
      <c r="H354" s="1">
        <v>-0.383116</v>
      </c>
      <c r="I354" s="1">
        <v>100.0</v>
      </c>
      <c r="J354" s="1">
        <v>0.0</v>
      </c>
      <c r="K354" s="1">
        <v>0.0</v>
      </c>
      <c r="L354" s="1">
        <v>96.746635</v>
      </c>
      <c r="M354" s="1" t="s">
        <v>376</v>
      </c>
    </row>
    <row r="355">
      <c r="A355" s="1" t="s">
        <v>1022</v>
      </c>
      <c r="B355" s="1" t="str">
        <f>IFERROR(__xludf.DUMMYFUNCTION("IFERROR(REGEXEXTRACT(A355, ""res(269|122)""), ""none"")"),"122")</f>
        <v>122</v>
      </c>
      <c r="C355" s="1">
        <v>-15.06419</v>
      </c>
      <c r="D355" s="1">
        <v>7.0</v>
      </c>
      <c r="E355" s="1">
        <v>3.0</v>
      </c>
      <c r="F355" s="1">
        <v>0.428571</v>
      </c>
      <c r="G355" s="1">
        <v>2.0</v>
      </c>
      <c r="H355" s="1">
        <v>-1.570972</v>
      </c>
      <c r="I355" s="1">
        <v>100.0</v>
      </c>
      <c r="J355" s="1">
        <v>0.0</v>
      </c>
      <c r="K355" s="1">
        <v>0.0</v>
      </c>
      <c r="L355" s="1">
        <v>95.793409</v>
      </c>
      <c r="M355" s="1" t="s">
        <v>1023</v>
      </c>
    </row>
    <row r="356">
      <c r="A356" s="1" t="s">
        <v>241</v>
      </c>
      <c r="B356" s="1" t="str">
        <f>IFERROR(__xludf.DUMMYFUNCTION("IFERROR(REGEXEXTRACT(A356, ""res(269|122)""), ""none"")"),"122")</f>
        <v>122</v>
      </c>
      <c r="C356" s="1">
        <v>-15.786774</v>
      </c>
      <c r="D356" s="1">
        <v>8.0</v>
      </c>
      <c r="E356" s="1">
        <v>4.0</v>
      </c>
      <c r="F356" s="1">
        <v>0.25</v>
      </c>
      <c r="G356" s="1">
        <v>3.0</v>
      </c>
      <c r="H356" s="1">
        <v>-1.312683</v>
      </c>
      <c r="I356" s="1">
        <v>100.0</v>
      </c>
      <c r="J356" s="1">
        <v>0.0</v>
      </c>
      <c r="K356" s="1">
        <v>0.0</v>
      </c>
      <c r="L356" s="1">
        <v>98.150543</v>
      </c>
      <c r="M356" s="1" t="s">
        <v>242</v>
      </c>
    </row>
    <row r="357">
      <c r="A357" s="1" t="s">
        <v>784</v>
      </c>
      <c r="B357" s="1" t="str">
        <f>IFERROR(__xludf.DUMMYFUNCTION("IFERROR(REGEXEXTRACT(A357, ""res(269|122)""), ""none"")"),"269")</f>
        <v>269</v>
      </c>
      <c r="C357" s="1">
        <v>-16.853684</v>
      </c>
      <c r="D357" s="1">
        <v>8.0</v>
      </c>
      <c r="E357" s="1">
        <v>2.0</v>
      </c>
      <c r="F357" s="1">
        <v>0.25</v>
      </c>
      <c r="G357" s="1">
        <v>2.0</v>
      </c>
      <c r="H357" s="1">
        <v>-0.61432</v>
      </c>
      <c r="I357" s="1">
        <v>100.0</v>
      </c>
      <c r="J357" s="1">
        <v>0.0</v>
      </c>
      <c r="K357" s="1">
        <v>0.0</v>
      </c>
      <c r="L357" s="1">
        <v>94.781996</v>
      </c>
      <c r="M357" s="1" t="s">
        <v>785</v>
      </c>
    </row>
    <row r="358">
      <c r="A358" s="1" t="s">
        <v>786</v>
      </c>
      <c r="B358" s="1" t="str">
        <f>IFERROR(__xludf.DUMMYFUNCTION("IFERROR(REGEXEXTRACT(A358, ""res(269|122)""), ""none"")"),"269")</f>
        <v>269</v>
      </c>
      <c r="C358" s="1">
        <v>-16.043158</v>
      </c>
      <c r="D358" s="1">
        <v>11.0</v>
      </c>
      <c r="E358" s="1">
        <v>4.0</v>
      </c>
      <c r="F358" s="1">
        <v>0.272727</v>
      </c>
      <c r="G358" s="1">
        <v>2.0</v>
      </c>
      <c r="H358" s="1">
        <v>-0.622452999999999</v>
      </c>
      <c r="I358" s="1">
        <v>100.0</v>
      </c>
      <c r="J358" s="1">
        <v>0.0</v>
      </c>
      <c r="K358" s="1">
        <v>0.0</v>
      </c>
      <c r="L358" s="1">
        <v>100.607116</v>
      </c>
      <c r="M358" s="1" t="s">
        <v>787</v>
      </c>
    </row>
    <row r="359">
      <c r="A359" s="1" t="s">
        <v>788</v>
      </c>
      <c r="B359" s="1" t="str">
        <f>IFERROR(__xludf.DUMMYFUNCTION("IFERROR(REGEXEXTRACT(A359, ""res(269|122)""), ""none"")"),"269")</f>
        <v>269</v>
      </c>
      <c r="C359" s="1">
        <v>-17.026364</v>
      </c>
      <c r="D359" s="1">
        <v>9.0</v>
      </c>
      <c r="E359" s="1">
        <v>3.0</v>
      </c>
      <c r="F359" s="1">
        <v>0.333333</v>
      </c>
      <c r="G359" s="1">
        <v>2.0</v>
      </c>
      <c r="H359" s="1">
        <v>-1.021611</v>
      </c>
      <c r="I359" s="1">
        <v>100.0</v>
      </c>
      <c r="J359" s="1">
        <v>0.0</v>
      </c>
      <c r="K359" s="1">
        <v>0.0</v>
      </c>
      <c r="L359" s="1">
        <v>96.285358</v>
      </c>
      <c r="M359" s="1" t="s">
        <v>789</v>
      </c>
    </row>
    <row r="360">
      <c r="A360" s="1" t="s">
        <v>1024</v>
      </c>
      <c r="B360" s="1" t="str">
        <f>IFERROR(__xludf.DUMMYFUNCTION("IFERROR(REGEXEXTRACT(A360, ""res(269|122)""), ""none"")"),"122")</f>
        <v>122</v>
      </c>
      <c r="C360" s="1">
        <v>-15.384902</v>
      </c>
      <c r="D360" s="1">
        <v>10.0</v>
      </c>
      <c r="E360" s="1">
        <v>3.0</v>
      </c>
      <c r="F360" s="1">
        <v>0.4</v>
      </c>
      <c r="G360" s="1">
        <v>2.0</v>
      </c>
      <c r="H360" s="1">
        <v>-0.667675999999999</v>
      </c>
      <c r="I360" s="1">
        <v>100.0</v>
      </c>
      <c r="J360" s="1">
        <v>0.0</v>
      </c>
      <c r="K360" s="1">
        <v>0.0</v>
      </c>
      <c r="L360" s="1">
        <v>99.347422</v>
      </c>
      <c r="M360" s="1" t="s">
        <v>1025</v>
      </c>
    </row>
    <row r="361">
      <c r="A361" s="1" t="s">
        <v>243</v>
      </c>
      <c r="B361" s="1" t="str">
        <f>IFERROR(__xludf.DUMMYFUNCTION("IFERROR(REGEXEXTRACT(A361, ""res(269|122)""), ""none"")"),"122")</f>
        <v>122</v>
      </c>
      <c r="C361" s="1">
        <v>-15.074335</v>
      </c>
      <c r="D361" s="1">
        <v>8.0</v>
      </c>
      <c r="E361" s="1">
        <v>3.0</v>
      </c>
      <c r="F361" s="1">
        <v>0.25</v>
      </c>
      <c r="G361" s="1">
        <v>3.0</v>
      </c>
      <c r="H361" s="1">
        <v>-2.102802</v>
      </c>
      <c r="I361" s="1">
        <v>100.0</v>
      </c>
      <c r="J361" s="1">
        <v>0.0</v>
      </c>
      <c r="K361" s="1">
        <v>0.0</v>
      </c>
      <c r="L361" s="1">
        <v>97.072863</v>
      </c>
      <c r="M361" s="1" t="s">
        <v>244</v>
      </c>
    </row>
    <row r="362">
      <c r="A362" s="1" t="s">
        <v>1026</v>
      </c>
      <c r="B362" s="1" t="str">
        <f>IFERROR(__xludf.DUMMYFUNCTION("IFERROR(REGEXEXTRACT(A362, ""res(269|122)""), ""none"")"),"122")</f>
        <v>122</v>
      </c>
      <c r="C362" s="1">
        <v>-15.996958</v>
      </c>
      <c r="D362" s="1">
        <v>8.0</v>
      </c>
      <c r="E362" s="1">
        <v>4.0</v>
      </c>
      <c r="F362" s="1">
        <v>0.375</v>
      </c>
      <c r="G362" s="1">
        <v>2.0</v>
      </c>
      <c r="H362" s="1">
        <v>-0.877178</v>
      </c>
      <c r="I362" s="1">
        <v>100.0</v>
      </c>
      <c r="J362" s="1">
        <v>0.0</v>
      </c>
      <c r="K362" s="1">
        <v>0.0</v>
      </c>
      <c r="L362" s="1">
        <v>97.500864</v>
      </c>
      <c r="M362" s="1" t="s">
        <v>1027</v>
      </c>
    </row>
    <row r="363">
      <c r="A363" s="1" t="s">
        <v>790</v>
      </c>
      <c r="B363" s="1" t="str">
        <f>IFERROR(__xludf.DUMMYFUNCTION("IFERROR(REGEXEXTRACT(A363, ""res(269|122)""), ""none"")"),"269")</f>
        <v>269</v>
      </c>
      <c r="C363" s="1">
        <v>-15.968585</v>
      </c>
      <c r="D363" s="1">
        <v>7.0</v>
      </c>
      <c r="E363" s="1">
        <v>2.0</v>
      </c>
      <c r="F363" s="1">
        <v>0.285714</v>
      </c>
      <c r="G363" s="1">
        <v>2.0</v>
      </c>
      <c r="H363" s="1">
        <v>-1.25003</v>
      </c>
      <c r="I363" s="1">
        <v>100.0</v>
      </c>
      <c r="J363" s="1">
        <v>0.0</v>
      </c>
      <c r="K363" s="1">
        <v>0.0</v>
      </c>
      <c r="L363" s="1">
        <v>94.067099</v>
      </c>
      <c r="M363" s="1" t="s">
        <v>791</v>
      </c>
    </row>
    <row r="364">
      <c r="A364" s="1" t="s">
        <v>792</v>
      </c>
      <c r="B364" s="1" t="str">
        <f>IFERROR(__xludf.DUMMYFUNCTION("IFERROR(REGEXEXTRACT(A364, ""res(269|122)""), ""none"")"),"269")</f>
        <v>269</v>
      </c>
      <c r="C364" s="1">
        <v>-15.701944</v>
      </c>
      <c r="D364" s="1">
        <v>7.0</v>
      </c>
      <c r="E364" s="1">
        <v>3.0</v>
      </c>
      <c r="F364" s="1">
        <v>0.285714</v>
      </c>
      <c r="G364" s="1">
        <v>2.0</v>
      </c>
      <c r="H364" s="1">
        <v>-0.189779</v>
      </c>
      <c r="I364" s="1">
        <v>100.0</v>
      </c>
      <c r="J364" s="1">
        <v>0.0</v>
      </c>
      <c r="K364" s="1">
        <v>0.0</v>
      </c>
      <c r="L364" s="1">
        <v>96.393991</v>
      </c>
      <c r="M364" s="1" t="s">
        <v>793</v>
      </c>
    </row>
    <row r="365">
      <c r="A365" s="1" t="s">
        <v>794</v>
      </c>
      <c r="B365" s="1" t="str">
        <f>IFERROR(__xludf.DUMMYFUNCTION("IFERROR(REGEXEXTRACT(A365, ""res(269|122)""), ""none"")"),"269")</f>
        <v>269</v>
      </c>
      <c r="C365" s="1">
        <v>-15.795906</v>
      </c>
      <c r="D365" s="1">
        <v>11.0</v>
      </c>
      <c r="E365" s="1">
        <v>4.0</v>
      </c>
      <c r="F365" s="1">
        <v>0.363636</v>
      </c>
      <c r="G365" s="1">
        <v>2.0</v>
      </c>
      <c r="H365" s="1">
        <v>-1.368672</v>
      </c>
      <c r="I365" s="1">
        <v>100.0</v>
      </c>
      <c r="J365" s="1">
        <v>0.0</v>
      </c>
      <c r="K365" s="1">
        <v>0.0</v>
      </c>
      <c r="L365" s="1">
        <v>100.199058</v>
      </c>
      <c r="M365" s="1" t="s">
        <v>795</v>
      </c>
    </row>
    <row r="366">
      <c r="A366" s="1" t="s">
        <v>796</v>
      </c>
      <c r="B366" s="1" t="str">
        <f>IFERROR(__xludf.DUMMYFUNCTION("IFERROR(REGEXEXTRACT(A366, ""res(269|122)""), ""none"")"),"269")</f>
        <v>269</v>
      </c>
      <c r="C366" s="1">
        <v>-16.171652</v>
      </c>
      <c r="D366" s="1">
        <v>11.0</v>
      </c>
      <c r="E366" s="1">
        <v>4.0</v>
      </c>
      <c r="F366" s="1">
        <v>0.272727</v>
      </c>
      <c r="G366" s="1">
        <v>2.0</v>
      </c>
      <c r="H366" s="1">
        <v>-0.585379</v>
      </c>
      <c r="I366" s="1">
        <v>100.0</v>
      </c>
      <c r="J366" s="1">
        <v>0.0</v>
      </c>
      <c r="K366" s="1">
        <v>0.0</v>
      </c>
      <c r="L366" s="1">
        <v>100.515696</v>
      </c>
      <c r="M366" s="1" t="s">
        <v>797</v>
      </c>
    </row>
    <row r="367">
      <c r="A367" s="1" t="s">
        <v>798</v>
      </c>
      <c r="B367" s="1" t="str">
        <f>IFERROR(__xludf.DUMMYFUNCTION("IFERROR(REGEXEXTRACT(A367, ""res(269|122)""), ""none"")"),"269")</f>
        <v>269</v>
      </c>
      <c r="C367" s="1">
        <v>-16.782024</v>
      </c>
      <c r="D367" s="1">
        <v>12.0</v>
      </c>
      <c r="E367" s="1">
        <v>4.0</v>
      </c>
      <c r="F367" s="1">
        <v>0.583333</v>
      </c>
      <c r="G367" s="1">
        <v>2.0</v>
      </c>
      <c r="H367" s="1">
        <v>-1.036546</v>
      </c>
      <c r="I367" s="1">
        <v>100.0</v>
      </c>
      <c r="J367" s="1">
        <v>0.0</v>
      </c>
      <c r="K367" s="1">
        <v>0.0</v>
      </c>
      <c r="L367" s="1">
        <v>100.764763</v>
      </c>
      <c r="M367" s="1" t="s">
        <v>799</v>
      </c>
    </row>
    <row r="368">
      <c r="A368" s="1" t="s">
        <v>1028</v>
      </c>
      <c r="B368" s="1" t="str">
        <f>IFERROR(__xludf.DUMMYFUNCTION("IFERROR(REGEXEXTRACT(A368, ""res(269|122)""), ""none"")"),"122")</f>
        <v>122</v>
      </c>
      <c r="C368" s="1">
        <v>-18.757266</v>
      </c>
      <c r="D368" s="1">
        <v>8.0</v>
      </c>
      <c r="E368" s="1">
        <v>4.0</v>
      </c>
      <c r="F368" s="1">
        <v>0.25</v>
      </c>
      <c r="G368" s="1">
        <v>2.0</v>
      </c>
      <c r="H368" s="1">
        <v>-1.539235</v>
      </c>
      <c r="I368" s="1">
        <v>100.0</v>
      </c>
      <c r="J368" s="1">
        <v>0.0</v>
      </c>
      <c r="K368" s="1">
        <v>0.0</v>
      </c>
      <c r="L368" s="1">
        <v>93.953499</v>
      </c>
      <c r="M368" s="1" t="s">
        <v>1029</v>
      </c>
    </row>
    <row r="369">
      <c r="A369" s="1" t="s">
        <v>245</v>
      </c>
      <c r="B369" s="1" t="str">
        <f>IFERROR(__xludf.DUMMYFUNCTION("IFERROR(REGEXEXTRACT(A369, ""res(269|122)""), ""none"")"),"122")</f>
        <v>122</v>
      </c>
      <c r="C369" s="1">
        <v>-16.056932</v>
      </c>
      <c r="D369" s="1">
        <v>7.0</v>
      </c>
      <c r="E369" s="1">
        <v>3.0</v>
      </c>
      <c r="F369" s="1">
        <v>0.571429</v>
      </c>
      <c r="G369" s="1">
        <v>2.0</v>
      </c>
      <c r="H369" s="1">
        <v>-0.884192</v>
      </c>
      <c r="I369" s="1">
        <v>100.0</v>
      </c>
      <c r="J369" s="1">
        <v>0.0</v>
      </c>
      <c r="K369" s="1">
        <v>0.0</v>
      </c>
      <c r="L369" s="1">
        <v>95.630305</v>
      </c>
      <c r="M369" s="1" t="s">
        <v>246</v>
      </c>
    </row>
    <row r="370">
      <c r="A370" s="1" t="s">
        <v>1030</v>
      </c>
      <c r="B370" s="1" t="str">
        <f>IFERROR(__xludf.DUMMYFUNCTION("IFERROR(REGEXEXTRACT(A370, ""res(269|122)""), ""none"")"),"122")</f>
        <v>122</v>
      </c>
      <c r="C370" s="1">
        <v>-15.904397</v>
      </c>
      <c r="D370" s="1">
        <v>12.0</v>
      </c>
      <c r="E370" s="1">
        <v>4.0</v>
      </c>
      <c r="F370" s="1">
        <v>0.333333</v>
      </c>
      <c r="G370" s="1">
        <v>2.0</v>
      </c>
      <c r="H370" s="1">
        <v>-1.18016599999999</v>
      </c>
      <c r="I370" s="1">
        <v>100.0</v>
      </c>
      <c r="J370" s="1">
        <v>0.0</v>
      </c>
      <c r="K370" s="1">
        <v>0.0</v>
      </c>
      <c r="L370" s="1">
        <v>101.24877</v>
      </c>
      <c r="M370" s="1" t="s">
        <v>1031</v>
      </c>
    </row>
    <row r="371">
      <c r="A371" s="1" t="s">
        <v>1032</v>
      </c>
      <c r="B371" s="1" t="str">
        <f>IFERROR(__xludf.DUMMYFUNCTION("IFERROR(REGEXEXTRACT(A371, ""res(269|122)""), ""none"")"),"122")</f>
        <v>122</v>
      </c>
      <c r="C371" s="1">
        <v>-15.533497</v>
      </c>
      <c r="D371" s="1">
        <v>9.0</v>
      </c>
      <c r="E371" s="1">
        <v>4.0</v>
      </c>
      <c r="F371" s="1">
        <v>0.444444</v>
      </c>
      <c r="G371" s="1">
        <v>2.0</v>
      </c>
      <c r="H371" s="1">
        <v>-1.43683</v>
      </c>
      <c r="I371" s="1">
        <v>100.0</v>
      </c>
      <c r="J371" s="1">
        <v>0.0</v>
      </c>
      <c r="K371" s="1">
        <v>0.0</v>
      </c>
      <c r="L371" s="1">
        <v>98.474117</v>
      </c>
      <c r="M371" s="1" t="s">
        <v>1033</v>
      </c>
    </row>
    <row r="372">
      <c r="A372" s="1" t="s">
        <v>800</v>
      </c>
      <c r="B372" s="1" t="str">
        <f>IFERROR(__xludf.DUMMYFUNCTION("IFERROR(REGEXEXTRACT(A372, ""res(269|122)""), ""none"")"),"269")</f>
        <v>269</v>
      </c>
      <c r="C372" s="1">
        <v>-16.864079</v>
      </c>
      <c r="D372" s="1">
        <v>8.0</v>
      </c>
      <c r="E372" s="1">
        <v>3.0</v>
      </c>
      <c r="F372" s="1">
        <v>0.375</v>
      </c>
      <c r="G372" s="1">
        <v>2.0</v>
      </c>
      <c r="H372" s="1">
        <v>-0.61508</v>
      </c>
      <c r="I372" s="1">
        <v>100.0</v>
      </c>
      <c r="J372" s="1">
        <v>0.0</v>
      </c>
      <c r="K372" s="1">
        <v>0.0</v>
      </c>
      <c r="L372" s="1">
        <v>95.895841</v>
      </c>
      <c r="M372" s="1" t="s">
        <v>801</v>
      </c>
    </row>
    <row r="373">
      <c r="A373" s="1" t="s">
        <v>802</v>
      </c>
      <c r="B373" s="1" t="str">
        <f>IFERROR(__xludf.DUMMYFUNCTION("IFERROR(REGEXEXTRACT(A373, ""res(269|122)""), ""none"")"),"269")</f>
        <v>269</v>
      </c>
      <c r="C373" s="1">
        <v>-15.073154</v>
      </c>
      <c r="D373" s="1">
        <v>10.0</v>
      </c>
      <c r="E373" s="1">
        <v>2.0</v>
      </c>
      <c r="F373" s="1">
        <v>0.4</v>
      </c>
      <c r="G373" s="1">
        <v>2.0</v>
      </c>
      <c r="H373" s="1">
        <v>-1.488286</v>
      </c>
      <c r="I373" s="1">
        <v>100.0</v>
      </c>
      <c r="J373" s="1">
        <v>0.0</v>
      </c>
      <c r="K373" s="1">
        <v>0.0</v>
      </c>
      <c r="L373" s="1">
        <v>97.83856</v>
      </c>
      <c r="M373" s="1" t="s">
        <v>803</v>
      </c>
    </row>
    <row r="374">
      <c r="A374" s="1" t="s">
        <v>804</v>
      </c>
      <c r="B374" s="1" t="str">
        <f>IFERROR(__xludf.DUMMYFUNCTION("IFERROR(REGEXEXTRACT(A374, ""res(269|122)""), ""none"")"),"269")</f>
        <v>269</v>
      </c>
      <c r="C374" s="1">
        <v>-16.216069</v>
      </c>
      <c r="D374" s="1">
        <v>7.0</v>
      </c>
      <c r="E374" s="1">
        <v>2.0</v>
      </c>
      <c r="F374" s="1">
        <v>0.285714</v>
      </c>
      <c r="G374" s="1">
        <v>2.0</v>
      </c>
      <c r="H374" s="1">
        <v>-0.390856</v>
      </c>
      <c r="I374" s="1">
        <v>100.0</v>
      </c>
      <c r="J374" s="1">
        <v>0.0</v>
      </c>
      <c r="K374" s="1">
        <v>0.0</v>
      </c>
      <c r="L374" s="1">
        <v>94.678789</v>
      </c>
      <c r="M374" s="1" t="s">
        <v>805</v>
      </c>
    </row>
    <row r="375">
      <c r="A375" s="1" t="s">
        <v>806</v>
      </c>
      <c r="B375" s="1" t="str">
        <f>IFERROR(__xludf.DUMMYFUNCTION("IFERROR(REGEXEXTRACT(A375, ""res(269|122)""), ""none"")"),"269")</f>
        <v>269</v>
      </c>
      <c r="C375" s="1">
        <v>-17.639319</v>
      </c>
      <c r="D375" s="1">
        <v>12.0</v>
      </c>
      <c r="E375" s="1">
        <v>3.0</v>
      </c>
      <c r="F375" s="1">
        <v>0.25</v>
      </c>
      <c r="G375" s="1">
        <v>2.0</v>
      </c>
      <c r="H375" s="1">
        <v>-0.813736</v>
      </c>
      <c r="I375" s="1">
        <v>100.0</v>
      </c>
      <c r="J375" s="1">
        <v>0.0</v>
      </c>
      <c r="K375" s="1">
        <v>0.0</v>
      </c>
      <c r="L375" s="1">
        <v>98.796945</v>
      </c>
      <c r="M375" s="1" t="s">
        <v>807</v>
      </c>
    </row>
    <row r="376">
      <c r="A376" s="1" t="s">
        <v>808</v>
      </c>
      <c r="B376" s="1" t="str">
        <f>IFERROR(__xludf.DUMMYFUNCTION("IFERROR(REGEXEXTRACT(A376, ""res(269|122)""), ""none"")"),"269")</f>
        <v>269</v>
      </c>
      <c r="C376" s="1">
        <v>-15.326067</v>
      </c>
      <c r="D376" s="1">
        <v>6.0</v>
      </c>
      <c r="E376" s="1">
        <v>1.0</v>
      </c>
      <c r="F376" s="1">
        <v>0.333333</v>
      </c>
      <c r="G376" s="1">
        <v>2.0</v>
      </c>
      <c r="H376" s="1">
        <v>-1.450523</v>
      </c>
      <c r="I376" s="1">
        <v>100.0</v>
      </c>
      <c r="J376" s="1">
        <v>0.0</v>
      </c>
      <c r="K376" s="1">
        <v>0.0</v>
      </c>
      <c r="L376" s="1">
        <v>92.556743</v>
      </c>
      <c r="M376" s="1" t="s">
        <v>809</v>
      </c>
    </row>
    <row r="377">
      <c r="A377" s="1" t="s">
        <v>810</v>
      </c>
      <c r="B377" s="1" t="str">
        <f>IFERROR(__xludf.DUMMYFUNCTION("IFERROR(REGEXEXTRACT(A377, ""res(269|122)""), ""none"")"),"269")</f>
        <v>269</v>
      </c>
      <c r="C377" s="1">
        <v>-16.419687</v>
      </c>
      <c r="D377" s="1">
        <v>11.0</v>
      </c>
      <c r="E377" s="1">
        <v>4.0</v>
      </c>
      <c r="F377" s="1">
        <v>0.272727</v>
      </c>
      <c r="G377" s="1">
        <v>2.0</v>
      </c>
      <c r="H377" s="1">
        <v>-0.954938</v>
      </c>
      <c r="I377" s="1">
        <v>100.0</v>
      </c>
      <c r="J377" s="1">
        <v>0.0</v>
      </c>
      <c r="K377" s="1">
        <v>0.0</v>
      </c>
      <c r="L377" s="1">
        <v>99.898102</v>
      </c>
      <c r="M377" s="1" t="s">
        <v>811</v>
      </c>
    </row>
    <row r="378">
      <c r="A378" s="1" t="s">
        <v>812</v>
      </c>
      <c r="B378" s="1" t="str">
        <f>IFERROR(__xludf.DUMMYFUNCTION("IFERROR(REGEXEXTRACT(A378, ""res(269|122)""), ""none"")"),"269")</f>
        <v>269</v>
      </c>
      <c r="C378" s="1">
        <v>-15.739191</v>
      </c>
      <c r="D378" s="1">
        <v>8.0</v>
      </c>
      <c r="E378" s="1">
        <v>3.0</v>
      </c>
      <c r="F378" s="1">
        <v>0.625</v>
      </c>
      <c r="G378" s="1">
        <v>2.0</v>
      </c>
      <c r="H378" s="1">
        <v>-0.299369999999999</v>
      </c>
      <c r="I378" s="1">
        <v>100.0</v>
      </c>
      <c r="J378" s="1">
        <v>0.0</v>
      </c>
      <c r="K378" s="1">
        <v>0.0</v>
      </c>
      <c r="L378" s="1">
        <v>97.586439</v>
      </c>
      <c r="M378" s="1" t="s">
        <v>813</v>
      </c>
    </row>
    <row r="379">
      <c r="A379" s="1" t="s">
        <v>247</v>
      </c>
      <c r="B379" s="1" t="str">
        <f>IFERROR(__xludf.DUMMYFUNCTION("IFERROR(REGEXEXTRACT(A379, ""res(269|122)""), ""none"")"),"122")</f>
        <v>122</v>
      </c>
      <c r="C379" s="1">
        <v>-17.375967</v>
      </c>
      <c r="D379" s="1">
        <v>8.0</v>
      </c>
      <c r="E379" s="1">
        <v>3.0</v>
      </c>
      <c r="F379" s="1">
        <v>0.25</v>
      </c>
      <c r="G379" s="1">
        <v>2.0</v>
      </c>
      <c r="H379" s="1">
        <v>-1.320226</v>
      </c>
      <c r="I379" s="1">
        <v>100.0</v>
      </c>
      <c r="J379" s="1">
        <v>0.0</v>
      </c>
      <c r="K379" s="1">
        <v>0.0</v>
      </c>
      <c r="L379" s="1">
        <v>94.553807</v>
      </c>
      <c r="M379" s="1" t="s">
        <v>110</v>
      </c>
    </row>
    <row r="380">
      <c r="A380" s="1" t="s">
        <v>1034</v>
      </c>
      <c r="B380" s="1" t="str">
        <f>IFERROR(__xludf.DUMMYFUNCTION("IFERROR(REGEXEXTRACT(A380, ""res(269|122)""), ""none"")"),"122")</f>
        <v>122</v>
      </c>
      <c r="C380" s="1">
        <v>-15.652489</v>
      </c>
      <c r="D380" s="1">
        <v>7.0</v>
      </c>
      <c r="E380" s="1">
        <v>3.0</v>
      </c>
      <c r="F380" s="1">
        <v>0.285714</v>
      </c>
      <c r="G380" s="1">
        <v>2.0</v>
      </c>
      <c r="H380" s="1">
        <v>-1.224364</v>
      </c>
      <c r="I380" s="1">
        <v>100.0</v>
      </c>
      <c r="J380" s="1">
        <v>0.0</v>
      </c>
      <c r="K380" s="1">
        <v>0.0</v>
      </c>
      <c r="L380" s="1">
        <v>95.408861</v>
      </c>
      <c r="M380" s="1" t="s">
        <v>1035</v>
      </c>
    </row>
    <row r="381">
      <c r="A381" s="1" t="s">
        <v>377</v>
      </c>
      <c r="B381" s="1" t="str">
        <f>IFERROR(__xludf.DUMMYFUNCTION("IFERROR(REGEXEXTRACT(A381, ""res(269|122)""), ""none"")"),"269")</f>
        <v>269</v>
      </c>
      <c r="C381" s="1">
        <v>-15.43829</v>
      </c>
      <c r="D381" s="1">
        <v>8.0</v>
      </c>
      <c r="E381" s="1">
        <v>3.0</v>
      </c>
      <c r="F381" s="1">
        <v>0.375</v>
      </c>
      <c r="G381" s="1">
        <v>2.0</v>
      </c>
      <c r="H381" s="1">
        <v>-1.14393</v>
      </c>
      <c r="I381" s="1">
        <v>100.0</v>
      </c>
      <c r="J381" s="1">
        <v>0.0</v>
      </c>
      <c r="K381" s="1">
        <v>0.0</v>
      </c>
      <c r="L381" s="1">
        <v>96.79278</v>
      </c>
      <c r="M381" s="1" t="s">
        <v>378</v>
      </c>
    </row>
    <row r="382">
      <c r="A382" s="1" t="s">
        <v>1036</v>
      </c>
      <c r="B382" s="1" t="str">
        <f>IFERROR(__xludf.DUMMYFUNCTION("IFERROR(REGEXEXTRACT(A382, ""res(269|122)""), ""none"")"),"122")</f>
        <v>122</v>
      </c>
      <c r="C382" s="1">
        <v>-15.041809</v>
      </c>
      <c r="D382" s="1">
        <v>8.0</v>
      </c>
      <c r="E382" s="1">
        <v>3.0</v>
      </c>
      <c r="F382" s="1">
        <v>0.375</v>
      </c>
      <c r="G382" s="1">
        <v>2.0</v>
      </c>
      <c r="H382" s="1">
        <v>-1.245626</v>
      </c>
      <c r="I382" s="1">
        <v>100.0</v>
      </c>
      <c r="J382" s="1">
        <v>0.0</v>
      </c>
      <c r="K382" s="1">
        <v>0.0</v>
      </c>
      <c r="L382" s="1">
        <v>97.087565</v>
      </c>
      <c r="M382" s="1" t="s">
        <v>1037</v>
      </c>
    </row>
    <row r="383">
      <c r="A383" s="1" t="s">
        <v>1038</v>
      </c>
      <c r="B383" s="1" t="str">
        <f>IFERROR(__xludf.DUMMYFUNCTION("IFERROR(REGEXEXTRACT(A383, ""res(269|122)""), ""none"")"),"122")</f>
        <v>122</v>
      </c>
      <c r="C383" s="1">
        <v>-19.051158</v>
      </c>
      <c r="D383" s="1">
        <v>12.0</v>
      </c>
      <c r="E383" s="1">
        <v>3.0</v>
      </c>
      <c r="F383" s="1">
        <v>0.416667</v>
      </c>
      <c r="G383" s="1">
        <v>2.0</v>
      </c>
      <c r="H383" s="1">
        <v>-1.48236</v>
      </c>
      <c r="I383" s="1">
        <v>100.0</v>
      </c>
      <c r="J383" s="1">
        <v>0.0</v>
      </c>
      <c r="K383" s="1">
        <v>0.0</v>
      </c>
      <c r="L383" s="1">
        <v>96.883149</v>
      </c>
      <c r="M383" s="1" t="s">
        <v>1039</v>
      </c>
    </row>
    <row r="384">
      <c r="A384" s="1" t="s">
        <v>1040</v>
      </c>
      <c r="B384" s="1" t="str">
        <f>IFERROR(__xludf.DUMMYFUNCTION("IFERROR(REGEXEXTRACT(A384, ""res(269|122)""), ""none"")"),"122")</f>
        <v>122</v>
      </c>
      <c r="C384" s="1">
        <v>-15.417922</v>
      </c>
      <c r="D384" s="1">
        <v>10.0</v>
      </c>
      <c r="E384" s="1">
        <v>4.0</v>
      </c>
      <c r="F384" s="1">
        <v>0.3</v>
      </c>
      <c r="G384" s="1">
        <v>2.0</v>
      </c>
      <c r="H384" s="1">
        <v>-1.29702</v>
      </c>
      <c r="I384" s="1">
        <v>100.0</v>
      </c>
      <c r="J384" s="1">
        <v>0.0</v>
      </c>
      <c r="K384" s="1">
        <v>0.0</v>
      </c>
      <c r="L384" s="1">
        <v>99.585058</v>
      </c>
      <c r="M384" s="1" t="s">
        <v>1041</v>
      </c>
    </row>
    <row r="385">
      <c r="A385" s="1" t="s">
        <v>814</v>
      </c>
      <c r="B385" s="1" t="str">
        <f>IFERROR(__xludf.DUMMYFUNCTION("IFERROR(REGEXEXTRACT(A385, ""res(269|122)""), ""none"")"),"269")</f>
        <v>269</v>
      </c>
      <c r="C385" s="1">
        <v>-15.995072</v>
      </c>
      <c r="D385" s="1">
        <v>11.0</v>
      </c>
      <c r="E385" s="1">
        <v>3.0</v>
      </c>
      <c r="F385" s="1">
        <v>0.363636</v>
      </c>
      <c r="G385" s="1">
        <v>2.0</v>
      </c>
      <c r="H385" s="1">
        <v>-1.313084</v>
      </c>
      <c r="I385" s="1">
        <v>100.0</v>
      </c>
      <c r="J385" s="1">
        <v>0.0</v>
      </c>
      <c r="K385" s="1">
        <v>0.0</v>
      </c>
      <c r="L385" s="1">
        <v>99.05548</v>
      </c>
      <c r="M385" s="1" t="s">
        <v>815</v>
      </c>
    </row>
    <row r="386">
      <c r="A386" s="1" t="s">
        <v>248</v>
      </c>
      <c r="B386" s="1" t="str">
        <f>IFERROR(__xludf.DUMMYFUNCTION("IFERROR(REGEXEXTRACT(A386, ""res(269|122)""), ""none"")"),"122")</f>
        <v>122</v>
      </c>
      <c r="C386" s="1">
        <v>-17.093997</v>
      </c>
      <c r="D386" s="1">
        <v>10.0</v>
      </c>
      <c r="E386" s="1">
        <v>3.0</v>
      </c>
      <c r="F386" s="1">
        <v>0.3</v>
      </c>
      <c r="G386" s="1">
        <v>2.0</v>
      </c>
      <c r="H386" s="1">
        <v>-0.77841</v>
      </c>
      <c r="I386" s="1">
        <v>100.0</v>
      </c>
      <c r="J386" s="1">
        <v>0.0</v>
      </c>
      <c r="K386" s="1">
        <v>0.0</v>
      </c>
      <c r="L386" s="1">
        <v>97.427593</v>
      </c>
      <c r="M386" s="1" t="s">
        <v>249</v>
      </c>
    </row>
    <row r="387">
      <c r="A387" s="1" t="s">
        <v>1042</v>
      </c>
      <c r="B387" s="1" t="str">
        <f>IFERROR(__xludf.DUMMYFUNCTION("IFERROR(REGEXEXTRACT(A387, ""res(269|122)""), ""none"")"),"122")</f>
        <v>122</v>
      </c>
      <c r="C387" s="1">
        <v>-15.379389</v>
      </c>
      <c r="D387" s="1">
        <v>8.0</v>
      </c>
      <c r="E387" s="1">
        <v>3.0</v>
      </c>
      <c r="F387" s="1">
        <v>0.375</v>
      </c>
      <c r="G387" s="1">
        <v>2.0</v>
      </c>
      <c r="H387" s="1">
        <v>-1.234147</v>
      </c>
      <c r="I387" s="1">
        <v>100.0</v>
      </c>
      <c r="J387" s="1">
        <v>0.0</v>
      </c>
      <c r="K387" s="1">
        <v>0.0</v>
      </c>
      <c r="L387" s="1">
        <v>96.761464</v>
      </c>
      <c r="M387" s="1" t="s">
        <v>1043</v>
      </c>
    </row>
    <row r="388">
      <c r="A388" s="1" t="s">
        <v>816</v>
      </c>
      <c r="B388" s="1" t="str">
        <f>IFERROR(__xludf.DUMMYFUNCTION("IFERROR(REGEXEXTRACT(A388, ""res(269|122)""), ""none"")"),"269")</f>
        <v>269</v>
      </c>
      <c r="C388" s="1">
        <v>-15.888689</v>
      </c>
      <c r="D388" s="1">
        <v>10.0</v>
      </c>
      <c r="E388" s="1">
        <v>2.0</v>
      </c>
      <c r="F388" s="1">
        <v>0.3</v>
      </c>
      <c r="G388" s="1">
        <v>2.0</v>
      </c>
      <c r="H388" s="1">
        <v>-0.501779</v>
      </c>
      <c r="I388" s="1">
        <v>100.0</v>
      </c>
      <c r="J388" s="1">
        <v>0.0</v>
      </c>
      <c r="K388" s="1">
        <v>0.0</v>
      </c>
      <c r="L388" s="1">
        <v>97.909532</v>
      </c>
      <c r="M388" s="1" t="s">
        <v>817</v>
      </c>
    </row>
    <row r="389">
      <c r="A389" s="1" t="s">
        <v>818</v>
      </c>
      <c r="B389" s="1" t="str">
        <f>IFERROR(__xludf.DUMMYFUNCTION("IFERROR(REGEXEXTRACT(A389, ""res(269|122)""), ""none"")"),"269")</f>
        <v>269</v>
      </c>
      <c r="C389" s="1">
        <v>-15.155713</v>
      </c>
      <c r="D389" s="1">
        <v>7.0</v>
      </c>
      <c r="E389" s="1">
        <v>2.0</v>
      </c>
      <c r="F389" s="1">
        <v>0.428571</v>
      </c>
      <c r="G389" s="1">
        <v>2.0</v>
      </c>
      <c r="H389" s="1">
        <v>-1.146592</v>
      </c>
      <c r="I389" s="1">
        <v>100.0</v>
      </c>
      <c r="J389" s="1">
        <v>0.0</v>
      </c>
      <c r="K389" s="1">
        <v>0.0</v>
      </c>
      <c r="L389" s="1">
        <v>95.126266</v>
      </c>
      <c r="M389" s="1" t="s">
        <v>819</v>
      </c>
    </row>
    <row r="390">
      <c r="A390" s="1" t="s">
        <v>379</v>
      </c>
      <c r="B390" s="1" t="str">
        <f>IFERROR(__xludf.DUMMYFUNCTION("IFERROR(REGEXEXTRACT(A390, ""res(269|122)""), ""none"")"),"269")</f>
        <v>269</v>
      </c>
      <c r="C390" s="1">
        <v>-16.179464</v>
      </c>
      <c r="D390" s="1">
        <v>11.0</v>
      </c>
      <c r="E390" s="1">
        <v>5.0</v>
      </c>
      <c r="F390" s="1">
        <v>0.454545</v>
      </c>
      <c r="G390" s="1">
        <v>2.0</v>
      </c>
      <c r="H390" s="1">
        <v>-0.328299</v>
      </c>
      <c r="I390" s="1">
        <v>100.0</v>
      </c>
      <c r="J390" s="1">
        <v>0.0</v>
      </c>
      <c r="K390" s="1">
        <v>0.0</v>
      </c>
      <c r="L390" s="1">
        <v>101.946782</v>
      </c>
      <c r="M390" s="1" t="s">
        <v>380</v>
      </c>
    </row>
    <row r="391">
      <c r="A391" s="1" t="s">
        <v>820</v>
      </c>
      <c r="B391" s="1" t="str">
        <f>IFERROR(__xludf.DUMMYFUNCTION("IFERROR(REGEXEXTRACT(A391, ""res(269|122)""), ""none"")"),"269")</f>
        <v>269</v>
      </c>
      <c r="C391" s="1">
        <v>-15.633367</v>
      </c>
      <c r="D391" s="1">
        <v>7.0</v>
      </c>
      <c r="E391" s="1">
        <v>1.0</v>
      </c>
      <c r="F391" s="1">
        <v>0.285714</v>
      </c>
      <c r="G391" s="1">
        <v>2.0</v>
      </c>
      <c r="H391" s="1">
        <v>-1.709096</v>
      </c>
      <c r="I391" s="1">
        <v>100.0</v>
      </c>
      <c r="J391" s="1">
        <v>0.0</v>
      </c>
      <c r="K391" s="1">
        <v>0.0</v>
      </c>
      <c r="L391" s="1">
        <v>92.943251</v>
      </c>
      <c r="M391" s="1" t="s">
        <v>821</v>
      </c>
    </row>
    <row r="392">
      <c r="A392" s="1" t="s">
        <v>250</v>
      </c>
      <c r="B392" s="1" t="str">
        <f>IFERROR(__xludf.DUMMYFUNCTION("IFERROR(REGEXEXTRACT(A392, ""res(269|122)""), ""none"")"),"122")</f>
        <v>122</v>
      </c>
      <c r="C392" s="1">
        <v>-17.086206</v>
      </c>
      <c r="D392" s="1">
        <v>7.0</v>
      </c>
      <c r="E392" s="1">
        <v>4.0</v>
      </c>
      <c r="F392" s="1">
        <v>0.285714</v>
      </c>
      <c r="G392" s="1">
        <v>3.0</v>
      </c>
      <c r="H392" s="1">
        <v>-1.038701</v>
      </c>
      <c r="I392" s="1">
        <v>100.0</v>
      </c>
      <c r="J392" s="1">
        <v>0.0</v>
      </c>
      <c r="K392" s="1">
        <v>0.0</v>
      </c>
      <c r="L392" s="1">
        <v>96.160807</v>
      </c>
      <c r="M392" s="1" t="s">
        <v>65</v>
      </c>
    </row>
    <row r="393">
      <c r="A393" s="1" t="s">
        <v>822</v>
      </c>
      <c r="B393" s="1" t="str">
        <f>IFERROR(__xludf.DUMMYFUNCTION("IFERROR(REGEXEXTRACT(A393, ""res(269|122)""), ""none"")"),"269")</f>
        <v>269</v>
      </c>
      <c r="C393" s="1">
        <v>-15.42158</v>
      </c>
      <c r="D393" s="1">
        <v>11.0</v>
      </c>
      <c r="E393" s="1">
        <v>4.0</v>
      </c>
      <c r="F393" s="1">
        <v>0.272727</v>
      </c>
      <c r="G393" s="1">
        <v>3.0</v>
      </c>
      <c r="H393" s="1">
        <v>-1.893395</v>
      </c>
      <c r="I393" s="1">
        <v>100.0</v>
      </c>
      <c r="J393" s="1">
        <v>0.0</v>
      </c>
      <c r="K393" s="1">
        <v>0.0</v>
      </c>
      <c r="L393" s="1">
        <v>100.957752</v>
      </c>
      <c r="M393" s="1" t="s">
        <v>823</v>
      </c>
    </row>
    <row r="394">
      <c r="A394" s="1" t="s">
        <v>381</v>
      </c>
      <c r="B394" s="1" t="str">
        <f>IFERROR(__xludf.DUMMYFUNCTION("IFERROR(REGEXEXTRACT(A394, ""res(269|122)""), ""none"")"),"269")</f>
        <v>269</v>
      </c>
      <c r="C394" s="1">
        <v>-15.935374</v>
      </c>
      <c r="D394" s="1">
        <v>10.0</v>
      </c>
      <c r="E394" s="1">
        <v>2.0</v>
      </c>
      <c r="F394" s="1">
        <v>0.3</v>
      </c>
      <c r="G394" s="1">
        <v>3.0</v>
      </c>
      <c r="H394" s="1">
        <v>-1.849118</v>
      </c>
      <c r="I394" s="1">
        <v>100.0</v>
      </c>
      <c r="J394" s="1">
        <v>0.0</v>
      </c>
      <c r="K394" s="1">
        <v>0.0</v>
      </c>
      <c r="L394" s="1">
        <v>97.515508</v>
      </c>
      <c r="M394" s="1" t="s">
        <v>177</v>
      </c>
    </row>
    <row r="395">
      <c r="A395" s="1" t="s">
        <v>824</v>
      </c>
      <c r="B395" s="1" t="str">
        <f>IFERROR(__xludf.DUMMYFUNCTION("IFERROR(REGEXEXTRACT(A395, ""res(269|122)""), ""none"")"),"269")</f>
        <v>269</v>
      </c>
      <c r="C395" s="1">
        <v>-15.008357</v>
      </c>
      <c r="D395" s="1">
        <v>8.0</v>
      </c>
      <c r="E395" s="1">
        <v>2.0</v>
      </c>
      <c r="F395" s="1">
        <v>0.25</v>
      </c>
      <c r="G395" s="1">
        <v>2.0</v>
      </c>
      <c r="H395" s="1">
        <v>-0.295051</v>
      </c>
      <c r="I395" s="1">
        <v>100.0</v>
      </c>
      <c r="J395" s="1">
        <v>0.0</v>
      </c>
      <c r="K395" s="1">
        <v>0.0</v>
      </c>
      <c r="L395" s="1">
        <v>96.946592</v>
      </c>
      <c r="M395" s="1" t="s">
        <v>825</v>
      </c>
    </row>
    <row r="396">
      <c r="A396" s="1" t="s">
        <v>826</v>
      </c>
      <c r="B396" s="1" t="str">
        <f>IFERROR(__xludf.DUMMYFUNCTION("IFERROR(REGEXEXTRACT(A396, ""res(269|122)""), ""none"")"),"269")</f>
        <v>269</v>
      </c>
      <c r="C396" s="1">
        <v>-16.467141</v>
      </c>
      <c r="D396" s="1">
        <v>9.0</v>
      </c>
      <c r="E396" s="1">
        <v>1.0</v>
      </c>
      <c r="F396" s="1">
        <v>0.333333</v>
      </c>
      <c r="G396" s="1">
        <v>2.0</v>
      </c>
      <c r="H396" s="1">
        <v>-0.424315999999999</v>
      </c>
      <c r="I396" s="1">
        <v>100.0</v>
      </c>
      <c r="J396" s="1">
        <v>0.0</v>
      </c>
      <c r="K396" s="1">
        <v>0.0</v>
      </c>
      <c r="L396" s="1">
        <v>95.441876</v>
      </c>
      <c r="M396" s="1" t="s">
        <v>827</v>
      </c>
    </row>
    <row r="397">
      <c r="A397" s="1" t="s">
        <v>251</v>
      </c>
      <c r="B397" s="1" t="str">
        <f>IFERROR(__xludf.DUMMYFUNCTION("IFERROR(REGEXEXTRACT(A397, ""res(269|122)""), ""none"")"),"122")</f>
        <v>122</v>
      </c>
      <c r="C397" s="1">
        <v>-15.386234</v>
      </c>
      <c r="D397" s="1">
        <v>11.0</v>
      </c>
      <c r="E397" s="1">
        <v>4.0</v>
      </c>
      <c r="F397" s="1">
        <v>0.454545</v>
      </c>
      <c r="G397" s="1">
        <v>2.0</v>
      </c>
      <c r="H397" s="1">
        <v>-0.508212</v>
      </c>
      <c r="I397" s="1">
        <v>100.0</v>
      </c>
      <c r="J397" s="1">
        <v>0.0</v>
      </c>
      <c r="K397" s="1">
        <v>0.0</v>
      </c>
      <c r="L397" s="1">
        <v>101.560099</v>
      </c>
      <c r="M397" s="1" t="s">
        <v>69</v>
      </c>
    </row>
    <row r="398">
      <c r="A398" s="1" t="s">
        <v>828</v>
      </c>
      <c r="B398" s="1" t="str">
        <f>IFERROR(__xludf.DUMMYFUNCTION("IFERROR(REGEXEXTRACT(A398, ""res(269|122)""), ""none"")"),"269")</f>
        <v>269</v>
      </c>
      <c r="C398" s="1">
        <v>-15.535685</v>
      </c>
      <c r="D398" s="1">
        <v>8.0</v>
      </c>
      <c r="E398" s="1">
        <v>2.0</v>
      </c>
      <c r="F398" s="1">
        <v>0.25</v>
      </c>
      <c r="G398" s="1">
        <v>2.0</v>
      </c>
      <c r="H398" s="1">
        <v>-0.527892</v>
      </c>
      <c r="I398" s="1">
        <v>100.0</v>
      </c>
      <c r="J398" s="1">
        <v>0.0</v>
      </c>
      <c r="K398" s="1">
        <v>0.0</v>
      </c>
      <c r="L398" s="1">
        <v>96.186423</v>
      </c>
      <c r="M398" s="1" t="s">
        <v>829</v>
      </c>
    </row>
    <row r="399">
      <c r="A399" s="1" t="s">
        <v>830</v>
      </c>
      <c r="B399" s="1" t="str">
        <f>IFERROR(__xludf.DUMMYFUNCTION("IFERROR(REGEXEXTRACT(A399, ""res(269|122)""), ""none"")"),"269")</f>
        <v>269</v>
      </c>
      <c r="C399" s="1">
        <v>-15.839717</v>
      </c>
      <c r="D399" s="1">
        <v>6.0</v>
      </c>
      <c r="E399" s="1">
        <v>1.0</v>
      </c>
      <c r="F399" s="1">
        <v>0.5</v>
      </c>
      <c r="G399" s="1">
        <v>2.0</v>
      </c>
      <c r="H399" s="1">
        <v>-0.508068</v>
      </c>
      <c r="I399" s="1">
        <v>100.0</v>
      </c>
      <c r="J399" s="1">
        <v>0.0</v>
      </c>
      <c r="K399" s="1">
        <v>0.0</v>
      </c>
      <c r="L399" s="1">
        <v>93.152215</v>
      </c>
      <c r="M399" s="1" t="s">
        <v>831</v>
      </c>
    </row>
    <row r="400">
      <c r="A400" s="1" t="s">
        <v>832</v>
      </c>
      <c r="B400" s="1" t="str">
        <f>IFERROR(__xludf.DUMMYFUNCTION("IFERROR(REGEXEXTRACT(A400, ""res(269|122)""), ""none"")"),"269")</f>
        <v>269</v>
      </c>
      <c r="C400" s="1">
        <v>-15.836233</v>
      </c>
      <c r="D400" s="1">
        <v>7.0</v>
      </c>
      <c r="E400" s="1">
        <v>3.0</v>
      </c>
      <c r="F400" s="1">
        <v>0.428571</v>
      </c>
      <c r="G400" s="1">
        <v>2.0</v>
      </c>
      <c r="H400" s="1">
        <v>-0.436698</v>
      </c>
      <c r="I400" s="1">
        <v>100.0</v>
      </c>
      <c r="J400" s="1">
        <v>0.0</v>
      </c>
      <c r="K400" s="1">
        <v>0.0</v>
      </c>
      <c r="L400" s="1">
        <v>96.15564</v>
      </c>
      <c r="M400" s="1" t="s">
        <v>833</v>
      </c>
    </row>
    <row r="401">
      <c r="A401" s="1" t="s">
        <v>382</v>
      </c>
      <c r="B401" s="1" t="str">
        <f>IFERROR(__xludf.DUMMYFUNCTION("IFERROR(REGEXEXTRACT(A401, ""res(269|122)""), ""none"")"),"269")</f>
        <v>269</v>
      </c>
      <c r="C401" s="1">
        <v>-15.953649</v>
      </c>
      <c r="D401" s="1">
        <v>12.0</v>
      </c>
      <c r="E401" s="1">
        <v>5.0</v>
      </c>
      <c r="F401" s="1">
        <v>0.416667</v>
      </c>
      <c r="G401" s="1">
        <v>3.0</v>
      </c>
      <c r="H401" s="1">
        <v>-0.584621</v>
      </c>
      <c r="I401" s="1">
        <v>100.0</v>
      </c>
      <c r="J401" s="1">
        <v>0.0</v>
      </c>
      <c r="K401" s="1">
        <v>0.0</v>
      </c>
      <c r="L401" s="1">
        <v>103.878397</v>
      </c>
      <c r="M401" s="1" t="s">
        <v>180</v>
      </c>
    </row>
    <row r="402">
      <c r="A402" s="1" t="s">
        <v>383</v>
      </c>
      <c r="B402" s="1" t="str">
        <f>IFERROR(__xludf.DUMMYFUNCTION("IFERROR(REGEXEXTRACT(A402, ""res(269|122)""), ""none"")"),"269")</f>
        <v>269</v>
      </c>
      <c r="C402" s="1">
        <v>-15.953649</v>
      </c>
      <c r="D402" s="1">
        <v>12.0</v>
      </c>
      <c r="E402" s="1">
        <v>5.0</v>
      </c>
      <c r="F402" s="1">
        <v>0.416667</v>
      </c>
      <c r="G402" s="1">
        <v>3.0</v>
      </c>
      <c r="H402" s="1">
        <v>-0.584621</v>
      </c>
      <c r="I402" s="1">
        <v>100.0</v>
      </c>
      <c r="J402" s="1">
        <v>0.0</v>
      </c>
      <c r="K402" s="1">
        <v>0.0</v>
      </c>
      <c r="L402" s="1">
        <v>103.878397</v>
      </c>
      <c r="M402" s="1" t="s">
        <v>183</v>
      </c>
    </row>
    <row r="403">
      <c r="A403" s="1" t="s">
        <v>834</v>
      </c>
      <c r="B403" s="1" t="str">
        <f>IFERROR(__xludf.DUMMYFUNCTION("IFERROR(REGEXEXTRACT(A403, ""res(269|122)""), ""none"")"),"269")</f>
        <v>269</v>
      </c>
      <c r="C403" s="1">
        <v>-16.225663</v>
      </c>
      <c r="D403" s="1">
        <v>8.0</v>
      </c>
      <c r="E403" s="1">
        <v>2.0</v>
      </c>
      <c r="F403" s="1">
        <v>0.375</v>
      </c>
      <c r="G403" s="1">
        <v>2.0</v>
      </c>
      <c r="H403" s="1">
        <v>-0.720027</v>
      </c>
      <c r="I403" s="1">
        <v>100.0</v>
      </c>
      <c r="J403" s="1">
        <v>0.0</v>
      </c>
      <c r="K403" s="1">
        <v>0.0</v>
      </c>
      <c r="L403" s="1">
        <v>95.42931</v>
      </c>
      <c r="M403" s="1" t="s">
        <v>835</v>
      </c>
    </row>
    <row r="404">
      <c r="A404" s="1" t="s">
        <v>252</v>
      </c>
      <c r="B404" s="1" t="str">
        <f>IFERROR(__xludf.DUMMYFUNCTION("IFERROR(REGEXEXTRACT(A404, ""res(269|122)""), ""none"")"),"122")</f>
        <v>122</v>
      </c>
      <c r="C404" s="1">
        <v>-16.231911</v>
      </c>
      <c r="D404" s="1">
        <v>12.0</v>
      </c>
      <c r="E404" s="1">
        <v>2.0</v>
      </c>
      <c r="F404" s="1">
        <v>0.25</v>
      </c>
      <c r="G404" s="1">
        <v>2.0</v>
      </c>
      <c r="H404" s="1">
        <v>-0.38947</v>
      </c>
      <c r="I404" s="1">
        <v>100.0</v>
      </c>
      <c r="J404" s="1">
        <v>0.0</v>
      </c>
      <c r="K404" s="1">
        <v>0.0</v>
      </c>
      <c r="L404" s="1">
        <v>99.628619</v>
      </c>
      <c r="M404" s="1" t="s">
        <v>114</v>
      </c>
    </row>
    <row r="405">
      <c r="A405" s="1" t="s">
        <v>836</v>
      </c>
      <c r="B405" s="1" t="str">
        <f>IFERROR(__xludf.DUMMYFUNCTION("IFERROR(REGEXEXTRACT(A405, ""res(269|122)""), ""none"")"),"269")</f>
        <v>269</v>
      </c>
      <c r="C405" s="1">
        <v>-15.207792</v>
      </c>
      <c r="D405" s="1">
        <v>10.0</v>
      </c>
      <c r="E405" s="1">
        <v>5.0</v>
      </c>
      <c r="F405" s="1">
        <v>0.5</v>
      </c>
      <c r="G405" s="1">
        <v>2.0</v>
      </c>
      <c r="H405" s="1">
        <v>-0.487261</v>
      </c>
      <c r="I405" s="1">
        <v>100.0</v>
      </c>
      <c r="J405" s="1">
        <v>0.0</v>
      </c>
      <c r="K405" s="1">
        <v>0.0</v>
      </c>
      <c r="L405" s="1">
        <v>101.804947</v>
      </c>
      <c r="M405" s="1" t="s">
        <v>837</v>
      </c>
    </row>
    <row r="406">
      <c r="A406" s="1" t="s">
        <v>253</v>
      </c>
      <c r="B406" s="1" t="str">
        <f>IFERROR(__xludf.DUMMYFUNCTION("IFERROR(REGEXEXTRACT(A406, ""res(269|122)""), ""none"")"),"122")</f>
        <v>122</v>
      </c>
      <c r="C406" s="1">
        <v>-15.527357</v>
      </c>
      <c r="D406" s="1">
        <v>8.0</v>
      </c>
      <c r="E406" s="1">
        <v>3.0</v>
      </c>
      <c r="F406" s="1">
        <v>0.25</v>
      </c>
      <c r="G406" s="1">
        <v>2.0</v>
      </c>
      <c r="H406" s="1">
        <v>-0.966032</v>
      </c>
      <c r="I406" s="1">
        <v>100.0</v>
      </c>
      <c r="J406" s="1">
        <v>0.0</v>
      </c>
      <c r="K406" s="1">
        <v>0.0</v>
      </c>
      <c r="L406" s="1">
        <v>96.756611</v>
      </c>
      <c r="M406" s="1" t="s">
        <v>254</v>
      </c>
    </row>
    <row r="407">
      <c r="A407" s="1" t="s">
        <v>384</v>
      </c>
      <c r="B407" s="1" t="str">
        <f>IFERROR(__xludf.DUMMYFUNCTION("IFERROR(REGEXEXTRACT(A407, ""res(269|122)""), ""none"")"),"269")</f>
        <v>269</v>
      </c>
      <c r="C407" s="1">
        <v>-15.47128</v>
      </c>
      <c r="D407" s="1">
        <v>8.0</v>
      </c>
      <c r="E407" s="1">
        <v>5.0</v>
      </c>
      <c r="F407" s="1">
        <v>0.5</v>
      </c>
      <c r="G407" s="1">
        <v>2.0</v>
      </c>
      <c r="H407" s="1">
        <v>-0.38008</v>
      </c>
      <c r="I407" s="1">
        <v>100.0</v>
      </c>
      <c r="J407" s="1">
        <v>0.0</v>
      </c>
      <c r="K407" s="1">
        <v>0.0</v>
      </c>
      <c r="L407" s="1">
        <v>99.64864</v>
      </c>
      <c r="M407" s="1" t="s">
        <v>385</v>
      </c>
    </row>
    <row r="408">
      <c r="A408" s="1" t="s">
        <v>386</v>
      </c>
      <c r="B408" s="1" t="str">
        <f>IFERROR(__xludf.DUMMYFUNCTION("IFERROR(REGEXEXTRACT(A408, ""res(269|122)""), ""none"")"),"269")</f>
        <v>269</v>
      </c>
      <c r="C408" s="1">
        <v>-15.47128</v>
      </c>
      <c r="D408" s="1">
        <v>8.0</v>
      </c>
      <c r="E408" s="1">
        <v>5.0</v>
      </c>
      <c r="F408" s="1">
        <v>0.5</v>
      </c>
      <c r="G408" s="1">
        <v>2.0</v>
      </c>
      <c r="H408" s="1">
        <v>-0.38008</v>
      </c>
      <c r="I408" s="1">
        <v>100.0</v>
      </c>
      <c r="J408" s="1">
        <v>0.0</v>
      </c>
      <c r="K408" s="1">
        <v>0.0</v>
      </c>
      <c r="L408" s="1">
        <v>99.64864</v>
      </c>
      <c r="M408" s="1" t="s">
        <v>185</v>
      </c>
    </row>
    <row r="409">
      <c r="A409" s="1" t="s">
        <v>387</v>
      </c>
      <c r="B409" s="1" t="str">
        <f>IFERROR(__xludf.DUMMYFUNCTION("IFERROR(REGEXEXTRACT(A409, ""res(269|122)""), ""none"")"),"269")</f>
        <v>269</v>
      </c>
      <c r="C409" s="1">
        <v>-15.350062</v>
      </c>
      <c r="D409" s="1">
        <v>8.0</v>
      </c>
      <c r="E409" s="1">
        <v>3.0</v>
      </c>
      <c r="F409" s="1">
        <v>0.375</v>
      </c>
      <c r="G409" s="1">
        <v>2.0</v>
      </c>
      <c r="H409" s="1">
        <v>-1.00126</v>
      </c>
      <c r="I409" s="1">
        <v>100.0</v>
      </c>
      <c r="J409" s="1">
        <v>0.0</v>
      </c>
      <c r="K409" s="1">
        <v>0.0</v>
      </c>
      <c r="L409" s="1">
        <v>97.023678</v>
      </c>
      <c r="M409" s="1" t="s">
        <v>388</v>
      </c>
    </row>
    <row r="410">
      <c r="A410" s="1" t="s">
        <v>838</v>
      </c>
      <c r="B410" s="1" t="str">
        <f>IFERROR(__xludf.DUMMYFUNCTION("IFERROR(REGEXEXTRACT(A410, ""res(269|122)""), ""none"")"),"269")</f>
        <v>269</v>
      </c>
      <c r="C410" s="1">
        <v>-15.388725</v>
      </c>
      <c r="D410" s="1">
        <v>8.0</v>
      </c>
      <c r="E410" s="1">
        <v>2.0</v>
      </c>
      <c r="F410" s="1">
        <v>0.25</v>
      </c>
      <c r="G410" s="1">
        <v>2.0</v>
      </c>
      <c r="H410" s="1">
        <v>-0.538614</v>
      </c>
      <c r="I410" s="1">
        <v>100.0</v>
      </c>
      <c r="J410" s="1">
        <v>0.0</v>
      </c>
      <c r="K410" s="1">
        <v>0.0</v>
      </c>
      <c r="L410" s="1">
        <v>96.322661</v>
      </c>
      <c r="M410" s="1" t="s">
        <v>839</v>
      </c>
    </row>
    <row r="411">
      <c r="A411" s="1" t="s">
        <v>840</v>
      </c>
      <c r="B411" s="1" t="str">
        <f>IFERROR(__xludf.DUMMYFUNCTION("IFERROR(REGEXEXTRACT(A411, ""res(269|122)""), ""none"")"),"269")</f>
        <v>269</v>
      </c>
      <c r="C411" s="1">
        <v>-15.208228</v>
      </c>
      <c r="D411" s="1">
        <v>7.0</v>
      </c>
      <c r="E411" s="1">
        <v>1.0</v>
      </c>
      <c r="F411" s="1">
        <v>0.285714</v>
      </c>
      <c r="G411" s="1">
        <v>2.0</v>
      </c>
      <c r="H411" s="1">
        <v>-0.319762</v>
      </c>
      <c r="I411" s="1">
        <v>100.0</v>
      </c>
      <c r="J411" s="1">
        <v>0.0</v>
      </c>
      <c r="K411" s="1">
        <v>0.0</v>
      </c>
      <c r="L411" s="1">
        <v>94.757724</v>
      </c>
      <c r="M411" s="1" t="s">
        <v>841</v>
      </c>
    </row>
    <row r="412">
      <c r="A412" s="1" t="s">
        <v>842</v>
      </c>
      <c r="B412" s="1" t="str">
        <f>IFERROR(__xludf.DUMMYFUNCTION("IFERROR(REGEXEXTRACT(A412, ""res(269|122)""), ""none"")"),"269")</f>
        <v>269</v>
      </c>
      <c r="C412" s="1">
        <v>-15.313395</v>
      </c>
      <c r="D412" s="1">
        <v>8.0</v>
      </c>
      <c r="E412" s="1">
        <v>3.0</v>
      </c>
      <c r="F412" s="1">
        <v>0.25</v>
      </c>
      <c r="G412" s="1">
        <v>2.0</v>
      </c>
      <c r="H412" s="1">
        <v>-0.692413</v>
      </c>
      <c r="I412" s="1">
        <v>100.0</v>
      </c>
      <c r="J412" s="1">
        <v>0.0</v>
      </c>
      <c r="K412" s="1">
        <v>0.0</v>
      </c>
      <c r="L412" s="1">
        <v>97.244192</v>
      </c>
      <c r="M412" s="1" t="s">
        <v>843</v>
      </c>
    </row>
    <row r="413">
      <c r="A413" s="1" t="s">
        <v>844</v>
      </c>
      <c r="B413" s="1" t="str">
        <f>IFERROR(__xludf.DUMMYFUNCTION("IFERROR(REGEXEXTRACT(A413, ""res(269|122)""), ""none"")"),"269")</f>
        <v>269</v>
      </c>
      <c r="C413" s="1">
        <v>-15.721708</v>
      </c>
      <c r="D413" s="1">
        <v>8.0</v>
      </c>
      <c r="E413" s="1">
        <v>2.0</v>
      </c>
      <c r="F413" s="1">
        <v>0.25</v>
      </c>
      <c r="G413" s="1">
        <v>2.0</v>
      </c>
      <c r="H413" s="1">
        <v>-0.627078</v>
      </c>
      <c r="I413" s="1">
        <v>100.0</v>
      </c>
      <c r="J413" s="1">
        <v>0.0</v>
      </c>
      <c r="K413" s="1">
        <v>0.0</v>
      </c>
      <c r="L413" s="1">
        <v>95.901214</v>
      </c>
      <c r="M413" s="1" t="s">
        <v>845</v>
      </c>
    </row>
    <row r="414">
      <c r="A414" s="1" t="s">
        <v>389</v>
      </c>
      <c r="B414" s="1" t="str">
        <f>IFERROR(__xludf.DUMMYFUNCTION("IFERROR(REGEXEXTRACT(A414, ""res(269|122)""), ""none"")"),"269")</f>
        <v>269</v>
      </c>
      <c r="C414" s="1">
        <v>-17.013166</v>
      </c>
      <c r="D414" s="1">
        <v>10.0</v>
      </c>
      <c r="E414" s="1">
        <v>3.0</v>
      </c>
      <c r="F414" s="1">
        <v>0.4</v>
      </c>
      <c r="G414" s="1">
        <v>2.0</v>
      </c>
      <c r="H414" s="1">
        <v>-0.429581</v>
      </c>
      <c r="I414" s="1">
        <v>100.0</v>
      </c>
      <c r="J414" s="1">
        <v>0.0</v>
      </c>
      <c r="K414" s="1">
        <v>0.0</v>
      </c>
      <c r="L414" s="1">
        <v>97.957253</v>
      </c>
      <c r="M414" s="1" t="s">
        <v>390</v>
      </c>
    </row>
    <row r="415">
      <c r="A415" s="1" t="s">
        <v>846</v>
      </c>
      <c r="B415" s="1" t="str">
        <f>IFERROR(__xludf.DUMMYFUNCTION("IFERROR(REGEXEXTRACT(A415, ""res(269|122)""), ""none"")"),"269")</f>
        <v>269</v>
      </c>
      <c r="C415" s="1">
        <v>-15.366705</v>
      </c>
      <c r="D415" s="1">
        <v>8.0</v>
      </c>
      <c r="E415" s="1">
        <v>5.0</v>
      </c>
      <c r="F415" s="1">
        <v>0.375</v>
      </c>
      <c r="G415" s="1">
        <v>2.0</v>
      </c>
      <c r="H415" s="1">
        <v>-1.175689</v>
      </c>
      <c r="I415" s="1">
        <v>100.0</v>
      </c>
      <c r="J415" s="1">
        <v>0.0</v>
      </c>
      <c r="K415" s="1">
        <v>0.0</v>
      </c>
      <c r="L415" s="1">
        <v>98.832606</v>
      </c>
      <c r="M415" s="1" t="s">
        <v>847</v>
      </c>
    </row>
    <row r="416">
      <c r="A416" s="1" t="s">
        <v>1044</v>
      </c>
      <c r="B416" s="1" t="str">
        <f>IFERROR(__xludf.DUMMYFUNCTION("IFERROR(REGEXEXTRACT(A416, ""res(269|122)""), ""none"")"),"122")</f>
        <v>122</v>
      </c>
      <c r="C416" s="1">
        <v>-15.952925</v>
      </c>
      <c r="D416" s="1">
        <v>11.0</v>
      </c>
      <c r="E416" s="1">
        <v>4.0</v>
      </c>
      <c r="F416" s="1">
        <v>0.272727</v>
      </c>
      <c r="G416" s="1">
        <v>3.0</v>
      </c>
      <c r="H416" s="1">
        <v>-1.559703</v>
      </c>
      <c r="I416" s="1">
        <v>100.0</v>
      </c>
      <c r="J416" s="1">
        <v>0.0</v>
      </c>
      <c r="K416" s="1">
        <v>0.0</v>
      </c>
      <c r="L416" s="1">
        <v>100.760099</v>
      </c>
      <c r="M416" s="1" t="s">
        <v>1045</v>
      </c>
    </row>
    <row r="417">
      <c r="A417" s="1" t="s">
        <v>848</v>
      </c>
      <c r="B417" s="1" t="str">
        <f>IFERROR(__xludf.DUMMYFUNCTION("IFERROR(REGEXEXTRACT(A417, ""res(269|122)""), ""none"")"),"269")</f>
        <v>269</v>
      </c>
      <c r="C417" s="1">
        <v>-16.609541</v>
      </c>
      <c r="D417" s="1">
        <v>13.0</v>
      </c>
      <c r="E417" s="1">
        <v>3.0</v>
      </c>
      <c r="F417" s="1">
        <v>0.307692</v>
      </c>
      <c r="G417" s="1">
        <v>2.0</v>
      </c>
      <c r="H417" s="1">
        <v>-0.78753</v>
      </c>
      <c r="I417" s="1">
        <v>100.0</v>
      </c>
      <c r="J417" s="1">
        <v>0.0</v>
      </c>
      <c r="K417" s="1">
        <v>0.0</v>
      </c>
      <c r="L417" s="1">
        <v>100.910621</v>
      </c>
      <c r="M417" s="1" t="s">
        <v>849</v>
      </c>
    </row>
    <row r="418">
      <c r="A418" s="1" t="s">
        <v>391</v>
      </c>
      <c r="B418" s="1" t="str">
        <f>IFERROR(__xludf.DUMMYFUNCTION("IFERROR(REGEXEXTRACT(A418, ""res(269|122)""), ""none"")"),"269")</f>
        <v>269</v>
      </c>
      <c r="C418" s="1">
        <v>-17.033126</v>
      </c>
      <c r="D418" s="1">
        <v>11.0</v>
      </c>
      <c r="E418" s="1">
        <v>5.0</v>
      </c>
      <c r="F418" s="1">
        <v>0.363636</v>
      </c>
      <c r="G418" s="1">
        <v>2.0</v>
      </c>
      <c r="H418" s="1">
        <v>-1.0082</v>
      </c>
      <c r="I418" s="1">
        <v>100.0</v>
      </c>
      <c r="J418" s="1">
        <v>0.0</v>
      </c>
      <c r="K418" s="1">
        <v>0.0</v>
      </c>
      <c r="L418" s="1">
        <v>100.32231</v>
      </c>
      <c r="M418" s="1" t="s">
        <v>392</v>
      </c>
    </row>
    <row r="419">
      <c r="A419" s="1" t="s">
        <v>850</v>
      </c>
      <c r="B419" s="1" t="str">
        <f>IFERROR(__xludf.DUMMYFUNCTION("IFERROR(REGEXEXTRACT(A419, ""res(269|122)""), ""none"")"),"269")</f>
        <v>269</v>
      </c>
      <c r="C419" s="1">
        <v>-17.462623</v>
      </c>
      <c r="D419" s="1">
        <v>7.0</v>
      </c>
      <c r="E419" s="1">
        <v>3.0</v>
      </c>
      <c r="F419" s="1">
        <v>0.571429</v>
      </c>
      <c r="G419" s="1">
        <v>2.0</v>
      </c>
      <c r="H419" s="1">
        <v>-0.909463</v>
      </c>
      <c r="I419" s="1">
        <v>100.0</v>
      </c>
      <c r="J419" s="1">
        <v>0.0</v>
      </c>
      <c r="K419" s="1">
        <v>0.0</v>
      </c>
      <c r="L419" s="1">
        <v>94.199343</v>
      </c>
      <c r="M419" s="1" t="s">
        <v>851</v>
      </c>
    </row>
    <row r="420">
      <c r="A420" s="1" t="s">
        <v>852</v>
      </c>
      <c r="B420" s="1" t="str">
        <f>IFERROR(__xludf.DUMMYFUNCTION("IFERROR(REGEXEXTRACT(A420, ""res(269|122)""), ""none"")"),"269")</f>
        <v>269</v>
      </c>
      <c r="C420" s="1">
        <v>-16.083759</v>
      </c>
      <c r="D420" s="1">
        <v>8.0</v>
      </c>
      <c r="E420" s="1">
        <v>3.0</v>
      </c>
      <c r="F420" s="1">
        <v>0.25</v>
      </c>
      <c r="G420" s="1">
        <v>3.0</v>
      </c>
      <c r="H420" s="1">
        <v>-1.577405</v>
      </c>
      <c r="I420" s="1">
        <v>100.0</v>
      </c>
      <c r="J420" s="1">
        <v>0.0</v>
      </c>
      <c r="K420" s="1">
        <v>0.0</v>
      </c>
      <c r="L420" s="1">
        <v>96.588836</v>
      </c>
      <c r="M420" s="1" t="s">
        <v>853</v>
      </c>
    </row>
    <row r="421">
      <c r="A421" s="1" t="s">
        <v>854</v>
      </c>
      <c r="B421" s="1" t="str">
        <f>IFERROR(__xludf.DUMMYFUNCTION("IFERROR(REGEXEXTRACT(A421, ""res(269|122)""), ""none"")"),"269")</f>
        <v>269</v>
      </c>
      <c r="C421" s="1">
        <v>-15.73636</v>
      </c>
      <c r="D421" s="1">
        <v>6.0</v>
      </c>
      <c r="E421" s="1">
        <v>3.0</v>
      </c>
      <c r="F421" s="1">
        <v>0.5</v>
      </c>
      <c r="G421" s="1">
        <v>2.0</v>
      </c>
      <c r="H421" s="1">
        <v>-0.341348999999999</v>
      </c>
      <c r="I421" s="1">
        <v>100.0</v>
      </c>
      <c r="J421" s="1">
        <v>0.0</v>
      </c>
      <c r="K421" s="1">
        <v>0.0</v>
      </c>
      <c r="L421" s="1">
        <v>95.422291</v>
      </c>
      <c r="M421" s="1" t="s">
        <v>855</v>
      </c>
    </row>
    <row r="422">
      <c r="A422" s="1" t="s">
        <v>856</v>
      </c>
      <c r="B422" s="1" t="str">
        <f>IFERROR(__xludf.DUMMYFUNCTION("IFERROR(REGEXEXTRACT(A422, ""res(269|122)""), ""none"")"),"269")</f>
        <v>269</v>
      </c>
      <c r="C422" s="1">
        <v>-15.16839</v>
      </c>
      <c r="D422" s="1">
        <v>10.0</v>
      </c>
      <c r="E422" s="1">
        <v>3.0</v>
      </c>
      <c r="F422" s="1">
        <v>0.4</v>
      </c>
      <c r="G422" s="1">
        <v>2.0</v>
      </c>
      <c r="H422" s="1">
        <v>-1.293499</v>
      </c>
      <c r="I422" s="1">
        <v>100.0</v>
      </c>
      <c r="J422" s="1">
        <v>0.0</v>
      </c>
      <c r="K422" s="1">
        <v>0.0</v>
      </c>
      <c r="L422" s="1">
        <v>98.938111</v>
      </c>
      <c r="M422" s="1" t="s">
        <v>857</v>
      </c>
    </row>
    <row r="423">
      <c r="A423" s="1" t="s">
        <v>858</v>
      </c>
      <c r="B423" s="1" t="str">
        <f>IFERROR(__xludf.DUMMYFUNCTION("IFERROR(REGEXEXTRACT(A423, ""res(269|122)""), ""none"")"),"269")</f>
        <v>269</v>
      </c>
      <c r="C423" s="1">
        <v>-15.267258</v>
      </c>
      <c r="D423" s="1">
        <v>10.0</v>
      </c>
      <c r="E423" s="1">
        <v>3.0</v>
      </c>
      <c r="F423" s="1">
        <v>0.4</v>
      </c>
      <c r="G423" s="1">
        <v>2.0</v>
      </c>
      <c r="H423" s="1">
        <v>-0.752593</v>
      </c>
      <c r="I423" s="1">
        <v>100.0</v>
      </c>
      <c r="J423" s="1">
        <v>0.0</v>
      </c>
      <c r="K423" s="1">
        <v>0.0</v>
      </c>
      <c r="L423" s="1">
        <v>99.380149</v>
      </c>
      <c r="M423" s="1" t="s">
        <v>859</v>
      </c>
    </row>
    <row r="424">
      <c r="A424" s="1" t="s">
        <v>860</v>
      </c>
      <c r="B424" s="1" t="str">
        <f>IFERROR(__xludf.DUMMYFUNCTION("IFERROR(REGEXEXTRACT(A424, ""res(269|122)""), ""none"")"),"269")</f>
        <v>269</v>
      </c>
      <c r="C424" s="1">
        <v>-15.466833</v>
      </c>
      <c r="D424" s="1">
        <v>8.0</v>
      </c>
      <c r="E424" s="1">
        <v>3.0</v>
      </c>
      <c r="F424" s="1">
        <v>0.5</v>
      </c>
      <c r="G424" s="1">
        <v>2.0</v>
      </c>
      <c r="H424" s="1">
        <v>-0.908309</v>
      </c>
      <c r="I424" s="1">
        <v>100.0</v>
      </c>
      <c r="J424" s="1">
        <v>0.0</v>
      </c>
      <c r="K424" s="1">
        <v>0.0</v>
      </c>
      <c r="L424" s="1">
        <v>97.124858</v>
      </c>
      <c r="M424" s="1" t="s">
        <v>861</v>
      </c>
    </row>
    <row r="425">
      <c r="A425" s="1" t="s">
        <v>1046</v>
      </c>
      <c r="B425" s="1" t="str">
        <f>IFERROR(__xludf.DUMMYFUNCTION("IFERROR(REGEXEXTRACT(A425, ""res(269|122)""), ""none"")"),"122")</f>
        <v>122</v>
      </c>
      <c r="C425" s="1">
        <v>-16.345306</v>
      </c>
      <c r="D425" s="1">
        <v>6.0</v>
      </c>
      <c r="E425" s="1">
        <v>2.0</v>
      </c>
      <c r="F425" s="1">
        <v>0.333333</v>
      </c>
      <c r="G425" s="1">
        <v>2.0</v>
      </c>
      <c r="H425" s="1">
        <v>-1.398216</v>
      </c>
      <c r="I425" s="1">
        <v>100.0</v>
      </c>
      <c r="J425" s="1">
        <v>0.0</v>
      </c>
      <c r="K425" s="1">
        <v>0.0</v>
      </c>
      <c r="L425" s="1">
        <v>92.589811</v>
      </c>
      <c r="M425" s="1" t="s">
        <v>1047</v>
      </c>
    </row>
    <row r="426">
      <c r="A426" s="1" t="s">
        <v>862</v>
      </c>
      <c r="B426" s="1" t="str">
        <f>IFERROR(__xludf.DUMMYFUNCTION("IFERROR(REGEXEXTRACT(A426, ""res(269|122)""), ""none"")"),"269")</f>
        <v>269</v>
      </c>
      <c r="C426" s="1">
        <v>-15.440269</v>
      </c>
      <c r="D426" s="1">
        <v>9.0</v>
      </c>
      <c r="E426" s="1">
        <v>2.0</v>
      </c>
      <c r="F426" s="1">
        <v>0.333333</v>
      </c>
      <c r="G426" s="1">
        <v>2.0</v>
      </c>
      <c r="H426" s="1">
        <v>-0.877261</v>
      </c>
      <c r="I426" s="1">
        <v>100.0</v>
      </c>
      <c r="J426" s="1">
        <v>0.0</v>
      </c>
      <c r="K426" s="1">
        <v>0.0</v>
      </c>
      <c r="L426" s="1">
        <v>97.015803</v>
      </c>
      <c r="M426" s="1" t="s">
        <v>863</v>
      </c>
    </row>
    <row r="427">
      <c r="A427" s="1" t="s">
        <v>864</v>
      </c>
      <c r="B427" s="1" t="str">
        <f>IFERROR(__xludf.DUMMYFUNCTION("IFERROR(REGEXEXTRACT(A427, ""res(269|122)""), ""none"")"),"269")</f>
        <v>269</v>
      </c>
      <c r="C427" s="1">
        <v>-15.95213</v>
      </c>
      <c r="D427" s="1">
        <v>10.0</v>
      </c>
      <c r="E427" s="1">
        <v>2.0</v>
      </c>
      <c r="F427" s="1">
        <v>0.3</v>
      </c>
      <c r="G427" s="1">
        <v>3.0</v>
      </c>
      <c r="H427" s="1">
        <v>-0.719791</v>
      </c>
      <c r="I427" s="1">
        <v>100.0</v>
      </c>
      <c r="J427" s="1">
        <v>0.0</v>
      </c>
      <c r="K427" s="1">
        <v>0.0</v>
      </c>
      <c r="L427" s="1">
        <v>98.628079</v>
      </c>
      <c r="M427" s="1" t="s">
        <v>865</v>
      </c>
    </row>
    <row r="428">
      <c r="A428" s="1" t="s">
        <v>1048</v>
      </c>
      <c r="B428" s="1" t="str">
        <f>IFERROR(__xludf.DUMMYFUNCTION("IFERROR(REGEXEXTRACT(A428, ""res(269|122)""), ""none"")"),"122")</f>
        <v>122</v>
      </c>
      <c r="C428" s="1">
        <v>-15.497532</v>
      </c>
      <c r="D428" s="1">
        <v>11.0</v>
      </c>
      <c r="E428" s="1">
        <v>4.0</v>
      </c>
      <c r="F428" s="1">
        <v>0.363636</v>
      </c>
      <c r="G428" s="1">
        <v>2.0</v>
      </c>
      <c r="H428" s="1">
        <v>-1.243276</v>
      </c>
      <c r="I428" s="1">
        <v>100.0</v>
      </c>
      <c r="J428" s="1">
        <v>0.0</v>
      </c>
      <c r="K428" s="1">
        <v>0.0</v>
      </c>
      <c r="L428" s="1">
        <v>100.622828</v>
      </c>
      <c r="M428" s="1" t="s">
        <v>1049</v>
      </c>
    </row>
    <row r="429">
      <c r="A429" s="1" t="s">
        <v>866</v>
      </c>
      <c r="B429" s="1" t="str">
        <f>IFERROR(__xludf.DUMMYFUNCTION("IFERROR(REGEXEXTRACT(A429, ""res(269|122)""), ""none"")"),"269")</f>
        <v>269</v>
      </c>
      <c r="C429" s="1">
        <v>-15.017663</v>
      </c>
      <c r="D429" s="1">
        <v>9.0</v>
      </c>
      <c r="E429" s="1">
        <v>2.0</v>
      </c>
      <c r="F429" s="1">
        <v>0.333333</v>
      </c>
      <c r="G429" s="1">
        <v>2.0</v>
      </c>
      <c r="H429" s="1">
        <v>-0.893776999999999</v>
      </c>
      <c r="I429" s="1">
        <v>100.0</v>
      </c>
      <c r="J429" s="1">
        <v>0.0</v>
      </c>
      <c r="K429" s="1">
        <v>0.0</v>
      </c>
      <c r="L429" s="1">
        <v>97.421893</v>
      </c>
      <c r="M429" s="1" t="s">
        <v>867</v>
      </c>
    </row>
    <row r="430">
      <c r="A430" s="1" t="s">
        <v>393</v>
      </c>
      <c r="B430" s="1" t="str">
        <f>IFERROR(__xludf.DUMMYFUNCTION("IFERROR(REGEXEXTRACT(A430, ""res(269|122)""), ""none"")"),"269")</f>
        <v>269</v>
      </c>
      <c r="C430" s="1">
        <v>-15.889195</v>
      </c>
      <c r="D430" s="1">
        <v>10.0</v>
      </c>
      <c r="E430" s="1">
        <v>4.0</v>
      </c>
      <c r="F430" s="1">
        <v>0.3</v>
      </c>
      <c r="G430" s="1">
        <v>2.0</v>
      </c>
      <c r="H430" s="1">
        <v>-1.177871</v>
      </c>
      <c r="I430" s="1">
        <v>100.0</v>
      </c>
      <c r="J430" s="1">
        <v>0.0</v>
      </c>
      <c r="K430" s="1">
        <v>0.0</v>
      </c>
      <c r="L430" s="1">
        <v>99.232934</v>
      </c>
      <c r="M430" s="1" t="s">
        <v>394</v>
      </c>
    </row>
    <row r="431">
      <c r="A431" s="1" t="s">
        <v>868</v>
      </c>
      <c r="B431" s="1" t="str">
        <f>IFERROR(__xludf.DUMMYFUNCTION("IFERROR(REGEXEXTRACT(A431, ""res(269|122)""), ""none"")"),"269")</f>
        <v>269</v>
      </c>
      <c r="C431" s="1">
        <v>-15.798237</v>
      </c>
      <c r="D431" s="1">
        <v>10.0</v>
      </c>
      <c r="E431" s="1">
        <v>5.0</v>
      </c>
      <c r="F431" s="1">
        <v>0.3</v>
      </c>
      <c r="G431" s="1">
        <v>2.0</v>
      </c>
      <c r="H431" s="1">
        <v>-0.411076</v>
      </c>
      <c r="I431" s="1">
        <v>100.0</v>
      </c>
      <c r="J431" s="1">
        <v>0.0</v>
      </c>
      <c r="K431" s="1">
        <v>0.0</v>
      </c>
      <c r="L431" s="1">
        <v>101.090687</v>
      </c>
      <c r="M431" s="1" t="s">
        <v>869</v>
      </c>
    </row>
    <row r="432">
      <c r="A432" s="1" t="s">
        <v>870</v>
      </c>
      <c r="B432" s="1" t="str">
        <f>IFERROR(__xludf.DUMMYFUNCTION("IFERROR(REGEXEXTRACT(A432, ""res(269|122)""), ""none"")"),"269")</f>
        <v>269</v>
      </c>
      <c r="C432" s="1">
        <v>-16.621533</v>
      </c>
      <c r="D432" s="1">
        <v>7.0</v>
      </c>
      <c r="E432" s="1">
        <v>4.0</v>
      </c>
      <c r="F432" s="1">
        <v>0.285714</v>
      </c>
      <c r="G432" s="1">
        <v>2.0</v>
      </c>
      <c r="H432" s="1">
        <v>-0.270832</v>
      </c>
      <c r="I432" s="1">
        <v>100.0</v>
      </c>
      <c r="J432" s="1">
        <v>0.0</v>
      </c>
      <c r="K432" s="1">
        <v>0.0</v>
      </c>
      <c r="L432" s="1">
        <v>96.393349</v>
      </c>
      <c r="M432" s="1" t="s">
        <v>871</v>
      </c>
    </row>
    <row r="433">
      <c r="A433" s="1" t="s">
        <v>872</v>
      </c>
      <c r="B433" s="1" t="str">
        <f>IFERROR(__xludf.DUMMYFUNCTION("IFERROR(REGEXEXTRACT(A433, ""res(269|122)""), ""none"")"),"269")</f>
        <v>269</v>
      </c>
      <c r="C433" s="1">
        <v>-16.35205</v>
      </c>
      <c r="D433" s="1">
        <v>8.0</v>
      </c>
      <c r="E433" s="1">
        <v>2.0</v>
      </c>
      <c r="F433" s="1">
        <v>0.25</v>
      </c>
      <c r="G433" s="1">
        <v>2.0</v>
      </c>
      <c r="H433" s="1">
        <v>-0.15387</v>
      </c>
      <c r="I433" s="1">
        <v>100.0</v>
      </c>
      <c r="J433" s="1">
        <v>0.0</v>
      </c>
      <c r="K433" s="1">
        <v>0.0</v>
      </c>
      <c r="L433" s="1">
        <v>95.74408</v>
      </c>
      <c r="M433" s="1" t="s">
        <v>873</v>
      </c>
    </row>
    <row r="434">
      <c r="A434" s="1" t="s">
        <v>255</v>
      </c>
      <c r="B434" s="1" t="str">
        <f>IFERROR(__xludf.DUMMYFUNCTION("IFERROR(REGEXEXTRACT(A434, ""res(269|122)""), ""none"")"),"122")</f>
        <v>122</v>
      </c>
      <c r="C434" s="1">
        <v>-15.777823</v>
      </c>
      <c r="D434" s="1">
        <v>9.0</v>
      </c>
      <c r="E434" s="1">
        <v>4.0</v>
      </c>
      <c r="F434" s="1">
        <v>0.333333</v>
      </c>
      <c r="G434" s="1">
        <v>2.0</v>
      </c>
      <c r="H434" s="1">
        <v>-1.671146</v>
      </c>
      <c r="I434" s="1">
        <v>100.0</v>
      </c>
      <c r="J434" s="1">
        <v>0.0</v>
      </c>
      <c r="K434" s="1">
        <v>0.0</v>
      </c>
      <c r="L434" s="1">
        <v>97.884364</v>
      </c>
      <c r="M434" s="1" t="s">
        <v>256</v>
      </c>
    </row>
    <row r="435">
      <c r="A435" s="1" t="s">
        <v>874</v>
      </c>
      <c r="B435" s="1" t="str">
        <f>IFERROR(__xludf.DUMMYFUNCTION("IFERROR(REGEXEXTRACT(A435, ""res(269|122)""), ""none"")"),"269")</f>
        <v>269</v>
      </c>
      <c r="C435" s="1">
        <v>-15.406217</v>
      </c>
      <c r="D435" s="1">
        <v>8.0</v>
      </c>
      <c r="E435" s="1">
        <v>5.0</v>
      </c>
      <c r="F435" s="1">
        <v>0.25</v>
      </c>
      <c r="G435" s="1">
        <v>2.0</v>
      </c>
      <c r="H435" s="1">
        <v>-0.966931</v>
      </c>
      <c r="I435" s="1">
        <v>100.0</v>
      </c>
      <c r="J435" s="1">
        <v>0.0</v>
      </c>
      <c r="K435" s="1">
        <v>0.0</v>
      </c>
      <c r="L435" s="1">
        <v>98.876852</v>
      </c>
      <c r="M435" s="1" t="s">
        <v>875</v>
      </c>
    </row>
    <row r="436">
      <c r="A436" s="1" t="s">
        <v>876</v>
      </c>
      <c r="B436" s="1" t="str">
        <f>IFERROR(__xludf.DUMMYFUNCTION("IFERROR(REGEXEXTRACT(A436, ""res(269|122)""), ""none"")"),"269")</f>
        <v>269</v>
      </c>
      <c r="C436" s="1">
        <v>-17.556171</v>
      </c>
      <c r="D436" s="1">
        <v>8.0</v>
      </c>
      <c r="E436" s="1">
        <v>3.0</v>
      </c>
      <c r="F436" s="1">
        <v>0.25</v>
      </c>
      <c r="G436" s="1">
        <v>2.0</v>
      </c>
      <c r="H436" s="1">
        <v>-1.35943</v>
      </c>
      <c r="I436" s="1">
        <v>100.0</v>
      </c>
      <c r="J436" s="1">
        <v>0.0</v>
      </c>
      <c r="K436" s="1">
        <v>0.0</v>
      </c>
      <c r="L436" s="1">
        <v>94.334399</v>
      </c>
      <c r="M436" s="1" t="s">
        <v>877</v>
      </c>
    </row>
    <row r="437">
      <c r="A437" s="1" t="s">
        <v>1050</v>
      </c>
      <c r="B437" s="1" t="str">
        <f>IFERROR(__xludf.DUMMYFUNCTION("IFERROR(REGEXEXTRACT(A437, ""res(269|122)""), ""none"")"),"122")</f>
        <v>122</v>
      </c>
      <c r="C437" s="1">
        <v>-15.111201</v>
      </c>
      <c r="D437" s="1">
        <v>9.0</v>
      </c>
      <c r="E437" s="1">
        <v>4.0</v>
      </c>
      <c r="F437" s="1">
        <v>0.444444</v>
      </c>
      <c r="G437" s="1">
        <v>2.0</v>
      </c>
      <c r="H437" s="1">
        <v>-0.653188999999999</v>
      </c>
      <c r="I437" s="1">
        <v>100.0</v>
      </c>
      <c r="J437" s="1">
        <v>0.0</v>
      </c>
      <c r="K437" s="1">
        <v>0.0</v>
      </c>
      <c r="L437" s="1">
        <v>99.680054</v>
      </c>
      <c r="M437" s="1" t="s">
        <v>1051</v>
      </c>
    </row>
    <row r="438">
      <c r="A438" s="1" t="s">
        <v>878</v>
      </c>
      <c r="B438" s="1" t="str">
        <f>IFERROR(__xludf.DUMMYFUNCTION("IFERROR(REGEXEXTRACT(A438, ""res(269|122)""), ""none"")"),"269")</f>
        <v>269</v>
      </c>
      <c r="C438" s="1">
        <v>-15.508555</v>
      </c>
      <c r="D438" s="1">
        <v>11.0</v>
      </c>
      <c r="E438" s="1">
        <v>1.0</v>
      </c>
      <c r="F438" s="1">
        <v>0.272727</v>
      </c>
      <c r="G438" s="1">
        <v>2.0</v>
      </c>
      <c r="H438" s="1">
        <v>-0.8107</v>
      </c>
      <c r="I438" s="1">
        <v>100.0</v>
      </c>
      <c r="J438" s="1">
        <v>0.0</v>
      </c>
      <c r="K438" s="1">
        <v>0.0</v>
      </c>
      <c r="L438" s="1">
        <v>97.953472</v>
      </c>
      <c r="M438" s="1" t="s">
        <v>879</v>
      </c>
    </row>
    <row r="439">
      <c r="A439" s="1" t="s">
        <v>880</v>
      </c>
      <c r="B439" s="1" t="str">
        <f>IFERROR(__xludf.DUMMYFUNCTION("IFERROR(REGEXEXTRACT(A439, ""res(269|122)""), ""none"")"),"269")</f>
        <v>269</v>
      </c>
      <c r="C439" s="1">
        <v>-16.108989</v>
      </c>
      <c r="D439" s="1">
        <v>9.0</v>
      </c>
      <c r="E439" s="1">
        <v>4.0</v>
      </c>
      <c r="F439" s="1">
        <v>0.333333</v>
      </c>
      <c r="G439" s="1">
        <v>2.0</v>
      </c>
      <c r="H439" s="1">
        <v>-0.91906</v>
      </c>
      <c r="I439" s="1">
        <v>100.0</v>
      </c>
      <c r="J439" s="1">
        <v>0.0</v>
      </c>
      <c r="K439" s="1">
        <v>0.0</v>
      </c>
      <c r="L439" s="1">
        <v>98.305284</v>
      </c>
      <c r="M439" s="1" t="s">
        <v>881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</v>
      </c>
    </row>
    <row r="2">
      <c r="A2" s="1" t="s">
        <v>430</v>
      </c>
      <c r="B2" s="1">
        <v>-15.73021</v>
      </c>
      <c r="C2" s="1">
        <v>8.0</v>
      </c>
      <c r="D2" s="1">
        <v>2.0</v>
      </c>
      <c r="E2" s="1">
        <v>0.25</v>
      </c>
      <c r="F2" s="1">
        <v>2.0</v>
      </c>
      <c r="G2" s="1">
        <v>-0.653344</v>
      </c>
      <c r="H2" s="1">
        <v>100.0</v>
      </c>
      <c r="I2" s="1">
        <v>0.0</v>
      </c>
      <c r="J2" s="1">
        <v>0.0</v>
      </c>
      <c r="K2" s="1">
        <v>95.866446</v>
      </c>
      <c r="L2" s="1" t="s">
        <v>431</v>
      </c>
    </row>
    <row r="3">
      <c r="A3" s="1" t="s">
        <v>257</v>
      </c>
      <c r="B3" s="1">
        <v>-16.620105</v>
      </c>
      <c r="C3" s="1">
        <v>12.0</v>
      </c>
      <c r="D3" s="1">
        <v>3.0</v>
      </c>
      <c r="E3" s="1">
        <v>0.416667</v>
      </c>
      <c r="F3" s="1">
        <v>2.0</v>
      </c>
      <c r="G3" s="1">
        <v>-0.664324</v>
      </c>
      <c r="H3" s="1">
        <v>100.0</v>
      </c>
      <c r="I3" s="1">
        <v>0.0</v>
      </c>
      <c r="J3" s="1">
        <v>0.0</v>
      </c>
      <c r="K3" s="1">
        <v>100.132238</v>
      </c>
      <c r="L3" s="1" t="s">
        <v>117</v>
      </c>
    </row>
    <row r="4">
      <c r="A4" s="1" t="s">
        <v>258</v>
      </c>
      <c r="B4" s="1">
        <v>-16.020646</v>
      </c>
      <c r="C4" s="1">
        <v>9.0</v>
      </c>
      <c r="D4" s="1">
        <v>1.0</v>
      </c>
      <c r="E4" s="1">
        <v>0.333333</v>
      </c>
      <c r="F4" s="1">
        <v>3.0</v>
      </c>
      <c r="G4" s="1">
        <v>-2.057194</v>
      </c>
      <c r="H4" s="1">
        <v>100.0</v>
      </c>
      <c r="I4" s="1">
        <v>0.0</v>
      </c>
      <c r="J4" s="1">
        <v>0.0</v>
      </c>
      <c r="K4" s="1">
        <v>95.255493</v>
      </c>
      <c r="L4" s="1" t="s">
        <v>259</v>
      </c>
    </row>
    <row r="5">
      <c r="A5" s="1" t="s">
        <v>260</v>
      </c>
      <c r="B5" s="1">
        <v>-16.416697</v>
      </c>
      <c r="C5" s="1">
        <v>9.0</v>
      </c>
      <c r="D5" s="1">
        <v>1.0</v>
      </c>
      <c r="E5" s="1">
        <v>0.333333</v>
      </c>
      <c r="F5" s="1">
        <v>3.0</v>
      </c>
      <c r="G5" s="1">
        <v>-2.107731</v>
      </c>
      <c r="H5" s="1">
        <v>100.0</v>
      </c>
      <c r="I5" s="1">
        <v>0.0</v>
      </c>
      <c r="J5" s="1">
        <v>0.0</v>
      </c>
      <c r="K5" s="1">
        <v>94.808905</v>
      </c>
      <c r="L5" s="1" t="s">
        <v>261</v>
      </c>
    </row>
    <row r="6">
      <c r="A6" s="1" t="s">
        <v>432</v>
      </c>
      <c r="B6" s="1">
        <v>-15.147452</v>
      </c>
      <c r="C6" s="1">
        <v>8.0</v>
      </c>
      <c r="D6" s="1">
        <v>1.0</v>
      </c>
      <c r="E6" s="1">
        <v>0.25</v>
      </c>
      <c r="F6" s="1">
        <v>2.0</v>
      </c>
      <c r="G6" s="1">
        <v>-0.294954999999999</v>
      </c>
      <c r="H6" s="1">
        <v>100.0</v>
      </c>
      <c r="I6" s="1">
        <v>0.0</v>
      </c>
      <c r="J6" s="1">
        <v>0.0</v>
      </c>
      <c r="K6" s="1">
        <v>95.807593</v>
      </c>
      <c r="L6" s="1" t="s">
        <v>433</v>
      </c>
    </row>
    <row r="7">
      <c r="A7" s="1" t="s">
        <v>434</v>
      </c>
      <c r="B7" s="1">
        <v>-15.389501</v>
      </c>
      <c r="C7" s="1">
        <v>6.0</v>
      </c>
      <c r="D7" s="1">
        <v>2.0</v>
      </c>
      <c r="E7" s="1">
        <v>0.333333</v>
      </c>
      <c r="F7" s="1">
        <v>2.0</v>
      </c>
      <c r="G7" s="1">
        <v>-0.471907</v>
      </c>
      <c r="H7" s="1">
        <v>100.0</v>
      </c>
      <c r="I7" s="1">
        <v>0.0</v>
      </c>
      <c r="J7" s="1">
        <v>0.0</v>
      </c>
      <c r="K7" s="1">
        <v>94.471925</v>
      </c>
      <c r="L7" s="1" t="s">
        <v>435</v>
      </c>
    </row>
    <row r="8">
      <c r="A8" s="1" t="s">
        <v>262</v>
      </c>
      <c r="B8" s="1">
        <v>-15.124595</v>
      </c>
      <c r="C8" s="1">
        <v>8.0</v>
      </c>
      <c r="D8" s="1">
        <v>5.0</v>
      </c>
      <c r="E8" s="1">
        <v>0.375</v>
      </c>
      <c r="F8" s="1">
        <v>2.0</v>
      </c>
      <c r="G8" s="1">
        <v>-0.84012</v>
      </c>
      <c r="H8" s="1">
        <v>100.0</v>
      </c>
      <c r="I8" s="1">
        <v>0.0</v>
      </c>
      <c r="J8" s="1">
        <v>0.0</v>
      </c>
      <c r="K8" s="1">
        <v>99.410285</v>
      </c>
      <c r="L8" s="1" t="s">
        <v>74</v>
      </c>
    </row>
    <row r="9">
      <c r="A9" s="1" t="s">
        <v>436</v>
      </c>
      <c r="B9" s="1">
        <v>-15.107329</v>
      </c>
      <c r="C9" s="1">
        <v>8.0</v>
      </c>
      <c r="D9" s="1">
        <v>3.0</v>
      </c>
      <c r="E9" s="1">
        <v>0.25</v>
      </c>
      <c r="F9" s="1">
        <v>2.0</v>
      </c>
      <c r="G9" s="1">
        <v>-0.715002</v>
      </c>
      <c r="H9" s="1">
        <v>100.0</v>
      </c>
      <c r="I9" s="1">
        <v>0.0</v>
      </c>
      <c r="J9" s="1">
        <v>0.0</v>
      </c>
      <c r="K9" s="1">
        <v>97.427669</v>
      </c>
      <c r="L9" s="1" t="s">
        <v>437</v>
      </c>
    </row>
    <row r="10">
      <c r="A10" s="1" t="s">
        <v>438</v>
      </c>
      <c r="B10" s="1">
        <v>-16.347377</v>
      </c>
      <c r="C10" s="1">
        <v>7.0</v>
      </c>
      <c r="D10" s="1">
        <v>3.0</v>
      </c>
      <c r="E10" s="1">
        <v>0.428571</v>
      </c>
      <c r="F10" s="1">
        <v>2.0</v>
      </c>
      <c r="G10" s="1">
        <v>-1.047751</v>
      </c>
      <c r="H10" s="1">
        <v>100.0</v>
      </c>
      <c r="I10" s="1">
        <v>0.0</v>
      </c>
      <c r="J10" s="1">
        <v>0.0</v>
      </c>
      <c r="K10" s="1">
        <v>95.033443</v>
      </c>
      <c r="L10" s="1" t="s">
        <v>439</v>
      </c>
    </row>
    <row r="11">
      <c r="A11" s="1" t="s">
        <v>440</v>
      </c>
      <c r="B11" s="1">
        <v>-15.526661</v>
      </c>
      <c r="C11" s="1">
        <v>6.0</v>
      </c>
      <c r="D11" s="1">
        <v>4.0</v>
      </c>
      <c r="E11" s="1">
        <v>0.333333</v>
      </c>
      <c r="F11" s="1">
        <v>2.0</v>
      </c>
      <c r="G11" s="1">
        <v>-0.878894</v>
      </c>
      <c r="H11" s="1">
        <v>100.0</v>
      </c>
      <c r="I11" s="1">
        <v>0.0</v>
      </c>
      <c r="J11" s="1">
        <v>0.0</v>
      </c>
      <c r="K11" s="1">
        <v>95.927778</v>
      </c>
      <c r="L11" s="1" t="s">
        <v>441</v>
      </c>
    </row>
    <row r="12">
      <c r="A12" s="1" t="s">
        <v>263</v>
      </c>
      <c r="B12" s="1">
        <v>-15.247766</v>
      </c>
      <c r="C12" s="1">
        <v>6.0</v>
      </c>
      <c r="D12" s="1">
        <v>2.0</v>
      </c>
      <c r="E12" s="1">
        <v>0.333333</v>
      </c>
      <c r="F12" s="1">
        <v>3.0</v>
      </c>
      <c r="G12" s="1">
        <v>-1.003179</v>
      </c>
      <c r="H12" s="1">
        <v>100.0</v>
      </c>
      <c r="I12" s="1">
        <v>0.0</v>
      </c>
      <c r="J12" s="1">
        <v>0.0</v>
      </c>
      <c r="K12" s="1">
        <v>95.082388</v>
      </c>
      <c r="L12" s="1" t="s">
        <v>264</v>
      </c>
    </row>
    <row r="13">
      <c r="A13" s="1" t="s">
        <v>265</v>
      </c>
      <c r="B13" s="1">
        <v>-15.234041</v>
      </c>
      <c r="C13" s="1">
        <v>8.0</v>
      </c>
      <c r="D13" s="1">
        <v>3.0</v>
      </c>
      <c r="E13" s="1">
        <v>0.25</v>
      </c>
      <c r="F13" s="1">
        <v>3.0</v>
      </c>
      <c r="G13" s="1">
        <v>-0.552818</v>
      </c>
      <c r="H13" s="1">
        <v>100.0</v>
      </c>
      <c r="I13" s="1">
        <v>0.0</v>
      </c>
      <c r="J13" s="1">
        <v>0.0</v>
      </c>
      <c r="K13" s="1">
        <v>98.463141</v>
      </c>
      <c r="L13" s="1" t="s">
        <v>120</v>
      </c>
    </row>
    <row r="14">
      <c r="A14" s="1" t="s">
        <v>266</v>
      </c>
      <c r="B14" s="1">
        <v>-15.196061</v>
      </c>
      <c r="C14" s="1">
        <v>7.0</v>
      </c>
      <c r="D14" s="1">
        <v>2.0</v>
      </c>
      <c r="E14" s="1">
        <v>0.285714</v>
      </c>
      <c r="F14" s="1">
        <v>2.0</v>
      </c>
      <c r="G14" s="1">
        <v>-1.471521</v>
      </c>
      <c r="H14" s="1">
        <v>100.0</v>
      </c>
      <c r="I14" s="1">
        <v>0.0</v>
      </c>
      <c r="J14" s="1">
        <v>0.0</v>
      </c>
      <c r="K14" s="1">
        <v>94.618132</v>
      </c>
      <c r="L14" s="1" t="s">
        <v>77</v>
      </c>
    </row>
    <row r="15">
      <c r="A15" s="1" t="s">
        <v>442</v>
      </c>
      <c r="B15" s="1">
        <v>-15.140799</v>
      </c>
      <c r="C15" s="1">
        <v>6.0</v>
      </c>
      <c r="D15" s="1">
        <v>2.0</v>
      </c>
      <c r="E15" s="1">
        <v>0.333333</v>
      </c>
      <c r="F15" s="1">
        <v>2.0</v>
      </c>
      <c r="G15" s="1">
        <v>-0.893388</v>
      </c>
      <c r="H15" s="1">
        <v>100.0</v>
      </c>
      <c r="I15" s="1">
        <v>0.0</v>
      </c>
      <c r="J15" s="1">
        <v>0.0</v>
      </c>
      <c r="K15" s="1">
        <v>94.299146</v>
      </c>
      <c r="L15" s="1" t="s">
        <v>443</v>
      </c>
    </row>
    <row r="16">
      <c r="A16" s="1" t="s">
        <v>444</v>
      </c>
      <c r="B16" s="1">
        <v>-15.673892</v>
      </c>
      <c r="C16" s="1">
        <v>6.0</v>
      </c>
      <c r="D16" s="1">
        <v>4.0</v>
      </c>
      <c r="E16" s="1">
        <v>0.5</v>
      </c>
      <c r="F16" s="1">
        <v>2.0</v>
      </c>
      <c r="G16" s="1">
        <v>-0.675629</v>
      </c>
      <c r="H16" s="1">
        <v>100.0</v>
      </c>
      <c r="I16" s="1">
        <v>0.0</v>
      </c>
      <c r="J16" s="1">
        <v>0.0</v>
      </c>
      <c r="K16" s="1">
        <v>96.150479</v>
      </c>
      <c r="L16" s="1" t="s">
        <v>445</v>
      </c>
    </row>
    <row r="17">
      <c r="A17" s="1" t="s">
        <v>267</v>
      </c>
      <c r="B17" s="1">
        <v>-15.475748</v>
      </c>
      <c r="C17" s="1">
        <v>11.0</v>
      </c>
      <c r="D17" s="1">
        <v>1.0</v>
      </c>
      <c r="E17" s="1">
        <v>0.272727</v>
      </c>
      <c r="F17" s="1">
        <v>2.0</v>
      </c>
      <c r="G17" s="1">
        <v>-0.318571</v>
      </c>
      <c r="H17" s="1">
        <v>100.0</v>
      </c>
      <c r="I17" s="1">
        <v>0.0</v>
      </c>
      <c r="J17" s="1">
        <v>0.0</v>
      </c>
      <c r="K17" s="1">
        <v>98.478408</v>
      </c>
      <c r="L17" s="1" t="s">
        <v>268</v>
      </c>
    </row>
    <row r="18">
      <c r="A18" s="1" t="s">
        <v>188</v>
      </c>
      <c r="B18" s="1">
        <v>-15.535781</v>
      </c>
      <c r="C18" s="1">
        <v>9.0</v>
      </c>
      <c r="D18" s="1">
        <v>3.0</v>
      </c>
      <c r="E18" s="1">
        <v>0.444444</v>
      </c>
      <c r="F18" s="1">
        <v>2.0</v>
      </c>
      <c r="G18" s="1">
        <v>-1.719191</v>
      </c>
      <c r="H18" s="1">
        <v>100.0</v>
      </c>
      <c r="I18" s="1">
        <v>0.0</v>
      </c>
      <c r="J18" s="1">
        <v>0.0</v>
      </c>
      <c r="K18" s="1">
        <v>97.189472</v>
      </c>
      <c r="L18" s="1" t="s">
        <v>22</v>
      </c>
    </row>
    <row r="19">
      <c r="A19" s="1" t="s">
        <v>446</v>
      </c>
      <c r="B19" s="1">
        <v>-15.850201</v>
      </c>
      <c r="C19" s="1">
        <v>7.0</v>
      </c>
      <c r="D19" s="1">
        <v>2.0</v>
      </c>
      <c r="E19" s="1">
        <v>0.285714</v>
      </c>
      <c r="F19" s="1">
        <v>2.0</v>
      </c>
      <c r="G19" s="1">
        <v>-0.774898</v>
      </c>
      <c r="H19" s="1">
        <v>100.0</v>
      </c>
      <c r="I19" s="1">
        <v>0.0</v>
      </c>
      <c r="J19" s="1">
        <v>0.0</v>
      </c>
      <c r="K19" s="1">
        <v>94.660615</v>
      </c>
      <c r="L19" s="1" t="s">
        <v>447</v>
      </c>
    </row>
    <row r="20">
      <c r="A20" s="1" t="s">
        <v>269</v>
      </c>
      <c r="B20" s="1">
        <v>-15.217109</v>
      </c>
      <c r="C20" s="1">
        <v>8.0</v>
      </c>
      <c r="D20" s="1">
        <v>2.0</v>
      </c>
      <c r="E20" s="1">
        <v>0.25</v>
      </c>
      <c r="F20" s="1">
        <v>3.0</v>
      </c>
      <c r="G20" s="1">
        <v>-1.096035</v>
      </c>
      <c r="H20" s="1">
        <v>100.0</v>
      </c>
      <c r="I20" s="1">
        <v>0.0</v>
      </c>
      <c r="J20" s="1">
        <v>0.0</v>
      </c>
      <c r="K20" s="1">
        <v>96.936856</v>
      </c>
      <c r="L20" s="1" t="s">
        <v>270</v>
      </c>
    </row>
    <row r="21">
      <c r="A21" s="1" t="s">
        <v>448</v>
      </c>
      <c r="B21" s="1">
        <v>-18.627045</v>
      </c>
      <c r="C21" s="1">
        <v>9.0</v>
      </c>
      <c r="D21" s="1">
        <v>2.0</v>
      </c>
      <c r="E21" s="1">
        <v>0.333333</v>
      </c>
      <c r="F21" s="1">
        <v>2.0</v>
      </c>
      <c r="G21" s="1">
        <v>-1.464442</v>
      </c>
      <c r="H21" s="1">
        <v>100.0</v>
      </c>
      <c r="I21" s="1">
        <v>0.0</v>
      </c>
      <c r="J21" s="1">
        <v>0.0</v>
      </c>
      <c r="K21" s="1">
        <v>93.241846</v>
      </c>
      <c r="L21" s="1" t="s">
        <v>449</v>
      </c>
    </row>
    <row r="22">
      <c r="A22" s="1" t="s">
        <v>450</v>
      </c>
      <c r="B22" s="1">
        <v>-18.627045</v>
      </c>
      <c r="C22" s="1">
        <v>9.0</v>
      </c>
      <c r="D22" s="1">
        <v>2.0</v>
      </c>
      <c r="E22" s="1">
        <v>0.333333</v>
      </c>
      <c r="F22" s="1">
        <v>2.0</v>
      </c>
      <c r="G22" s="1">
        <v>-1.464442</v>
      </c>
      <c r="H22" s="1">
        <v>100.0</v>
      </c>
      <c r="I22" s="1">
        <v>0.0</v>
      </c>
      <c r="J22" s="1">
        <v>0.0</v>
      </c>
      <c r="K22" s="1">
        <v>93.241846</v>
      </c>
      <c r="L22" s="1" t="s">
        <v>451</v>
      </c>
    </row>
    <row r="23">
      <c r="A23" s="1" t="s">
        <v>452</v>
      </c>
      <c r="B23" s="1">
        <v>-15.471061</v>
      </c>
      <c r="C23" s="1">
        <v>11.0</v>
      </c>
      <c r="D23" s="1">
        <v>5.0</v>
      </c>
      <c r="E23" s="1">
        <v>0.272727</v>
      </c>
      <c r="F23" s="1">
        <v>3.0</v>
      </c>
      <c r="G23" s="1">
        <v>-1.955025</v>
      </c>
      <c r="H23" s="1">
        <v>100.0</v>
      </c>
      <c r="I23" s="1">
        <v>0.0</v>
      </c>
      <c r="J23" s="1">
        <v>0.0</v>
      </c>
      <c r="K23" s="1">
        <v>101.846641</v>
      </c>
      <c r="L23" s="1" t="s">
        <v>453</v>
      </c>
    </row>
    <row r="24">
      <c r="A24" s="1" t="s">
        <v>882</v>
      </c>
      <c r="B24" s="1">
        <v>-15.909327</v>
      </c>
      <c r="C24" s="1">
        <v>10.0</v>
      </c>
      <c r="D24" s="1">
        <v>4.0</v>
      </c>
      <c r="E24" s="1">
        <v>0.3</v>
      </c>
      <c r="F24" s="1">
        <v>2.0</v>
      </c>
      <c r="G24" s="1">
        <v>-0.838915</v>
      </c>
      <c r="H24" s="1">
        <v>100.0</v>
      </c>
      <c r="I24" s="1">
        <v>0.0</v>
      </c>
      <c r="J24" s="1">
        <v>0.0</v>
      </c>
      <c r="K24" s="1">
        <v>99.551758</v>
      </c>
      <c r="L24" s="1" t="s">
        <v>883</v>
      </c>
    </row>
    <row r="25">
      <c r="A25" s="1" t="s">
        <v>884</v>
      </c>
      <c r="B25" s="1">
        <v>-15.853293</v>
      </c>
      <c r="C25" s="1">
        <v>10.0</v>
      </c>
      <c r="D25" s="1">
        <v>3.0</v>
      </c>
      <c r="E25" s="1">
        <v>0.3</v>
      </c>
      <c r="F25" s="1">
        <v>3.0</v>
      </c>
      <c r="G25" s="1">
        <v>-0.169824</v>
      </c>
      <c r="H25" s="1">
        <v>100.0</v>
      </c>
      <c r="I25" s="1">
        <v>0.0</v>
      </c>
      <c r="J25" s="1">
        <v>0.0</v>
      </c>
      <c r="K25" s="1">
        <v>100.276883</v>
      </c>
      <c r="L25" s="1" t="s">
        <v>885</v>
      </c>
    </row>
    <row r="26">
      <c r="A26" s="1" t="s">
        <v>886</v>
      </c>
      <c r="B26" s="1">
        <v>-15.314097</v>
      </c>
      <c r="C26" s="1">
        <v>10.0</v>
      </c>
      <c r="D26" s="1">
        <v>4.0</v>
      </c>
      <c r="E26" s="1">
        <v>0.3</v>
      </c>
      <c r="F26" s="1">
        <v>2.0</v>
      </c>
      <c r="G26" s="1">
        <v>-1.339481</v>
      </c>
      <c r="H26" s="1">
        <v>100.0</v>
      </c>
      <c r="I26" s="1">
        <v>0.0</v>
      </c>
      <c r="J26" s="1">
        <v>0.0</v>
      </c>
      <c r="K26" s="1">
        <v>99.646422</v>
      </c>
      <c r="L26" s="1" t="s">
        <v>887</v>
      </c>
    </row>
    <row r="27">
      <c r="A27" s="1" t="s">
        <v>271</v>
      </c>
      <c r="B27" s="1">
        <v>-16.067978</v>
      </c>
      <c r="C27" s="1">
        <v>10.0</v>
      </c>
      <c r="D27" s="1">
        <v>3.0</v>
      </c>
      <c r="E27" s="1">
        <v>0.4</v>
      </c>
      <c r="F27" s="1">
        <v>4.0</v>
      </c>
      <c r="G27" s="1">
        <v>-1.686262</v>
      </c>
      <c r="H27" s="1">
        <v>100.0</v>
      </c>
      <c r="I27" s="1">
        <v>0.0</v>
      </c>
      <c r="J27" s="1">
        <v>0.0</v>
      </c>
      <c r="K27" s="1">
        <v>99.64576</v>
      </c>
      <c r="L27" s="1" t="s">
        <v>272</v>
      </c>
    </row>
    <row r="28">
      <c r="A28" s="1" t="s">
        <v>273</v>
      </c>
      <c r="B28" s="1">
        <v>-16.067978</v>
      </c>
      <c r="C28" s="1">
        <v>10.0</v>
      </c>
      <c r="D28" s="1">
        <v>3.0</v>
      </c>
      <c r="E28" s="1">
        <v>0.4</v>
      </c>
      <c r="F28" s="1">
        <v>4.0</v>
      </c>
      <c r="G28" s="1">
        <v>-1.686262</v>
      </c>
      <c r="H28" s="1">
        <v>100.0</v>
      </c>
      <c r="I28" s="1">
        <v>0.0</v>
      </c>
      <c r="J28" s="1">
        <v>0.0</v>
      </c>
      <c r="K28" s="1">
        <v>99.64576</v>
      </c>
      <c r="L28" s="1" t="s">
        <v>274</v>
      </c>
    </row>
    <row r="29">
      <c r="A29" s="1" t="s">
        <v>189</v>
      </c>
      <c r="B29" s="1">
        <v>-17.372141</v>
      </c>
      <c r="C29" s="1">
        <v>10.0</v>
      </c>
      <c r="D29" s="1">
        <v>2.0</v>
      </c>
      <c r="E29" s="1">
        <v>0.3</v>
      </c>
      <c r="F29" s="1">
        <v>2.0</v>
      </c>
      <c r="G29" s="1">
        <v>-1.44699499999999</v>
      </c>
      <c r="H29" s="1">
        <v>100.0</v>
      </c>
      <c r="I29" s="1">
        <v>0.0</v>
      </c>
      <c r="J29" s="1">
        <v>0.0</v>
      </c>
      <c r="K29" s="1">
        <v>95.480864</v>
      </c>
      <c r="L29" s="1" t="s">
        <v>190</v>
      </c>
    </row>
    <row r="30">
      <c r="A30" s="1" t="s">
        <v>275</v>
      </c>
      <c r="B30" s="1">
        <v>-15.296307</v>
      </c>
      <c r="C30" s="1">
        <v>7.0</v>
      </c>
      <c r="D30" s="1">
        <v>3.0</v>
      </c>
      <c r="E30" s="1">
        <v>0.285714</v>
      </c>
      <c r="F30" s="1">
        <v>2.0</v>
      </c>
      <c r="G30" s="1">
        <v>-1.992376</v>
      </c>
      <c r="H30" s="1">
        <v>100.0</v>
      </c>
      <c r="I30" s="1">
        <v>0.0</v>
      </c>
      <c r="J30" s="1">
        <v>0.0</v>
      </c>
      <c r="K30" s="1">
        <v>94.997031</v>
      </c>
      <c r="L30" s="1" t="s">
        <v>276</v>
      </c>
    </row>
    <row r="31">
      <c r="A31" s="1" t="s">
        <v>888</v>
      </c>
      <c r="B31" s="1">
        <v>-15.270707</v>
      </c>
      <c r="C31" s="1">
        <v>10.0</v>
      </c>
      <c r="D31" s="1">
        <v>3.0</v>
      </c>
      <c r="E31" s="1">
        <v>0.4</v>
      </c>
      <c r="F31" s="1">
        <v>2.0</v>
      </c>
      <c r="G31" s="1">
        <v>-1.180542</v>
      </c>
      <c r="H31" s="1">
        <v>100.0</v>
      </c>
      <c r="I31" s="1">
        <v>0.0</v>
      </c>
      <c r="J31" s="1">
        <v>0.0</v>
      </c>
      <c r="K31" s="1">
        <v>98.948751</v>
      </c>
      <c r="L31" s="1" t="s">
        <v>889</v>
      </c>
    </row>
    <row r="32">
      <c r="A32" s="1" t="s">
        <v>890</v>
      </c>
      <c r="B32" s="1">
        <v>-15.966543</v>
      </c>
      <c r="C32" s="1">
        <v>7.0</v>
      </c>
      <c r="D32" s="1">
        <v>5.0</v>
      </c>
      <c r="E32" s="1">
        <v>0.571429</v>
      </c>
      <c r="F32" s="1">
        <v>2.0</v>
      </c>
      <c r="G32" s="1">
        <v>-0.746181</v>
      </c>
      <c r="H32" s="1">
        <v>100.0</v>
      </c>
      <c r="I32" s="1">
        <v>0.0</v>
      </c>
      <c r="J32" s="1">
        <v>0.0</v>
      </c>
      <c r="K32" s="1">
        <v>97.858705</v>
      </c>
      <c r="L32" s="1" t="s">
        <v>891</v>
      </c>
    </row>
    <row r="33">
      <c r="A33" s="1" t="s">
        <v>454</v>
      </c>
      <c r="B33" s="1">
        <v>-16.253596</v>
      </c>
      <c r="C33" s="1">
        <v>10.0</v>
      </c>
      <c r="D33" s="1">
        <v>3.0</v>
      </c>
      <c r="E33" s="1">
        <v>0.3</v>
      </c>
      <c r="F33" s="1">
        <v>2.0</v>
      </c>
      <c r="G33" s="1">
        <v>-0.741444</v>
      </c>
      <c r="H33" s="1">
        <v>100.0</v>
      </c>
      <c r="I33" s="1">
        <v>0.0</v>
      </c>
      <c r="J33" s="1">
        <v>0.0</v>
      </c>
      <c r="K33" s="1">
        <v>98.30496</v>
      </c>
      <c r="L33" s="1" t="s">
        <v>455</v>
      </c>
    </row>
    <row r="34">
      <c r="A34" s="1" t="s">
        <v>191</v>
      </c>
      <c r="B34" s="1">
        <v>-15.13854</v>
      </c>
      <c r="C34" s="1">
        <v>9.0</v>
      </c>
      <c r="D34" s="1">
        <v>4.0</v>
      </c>
      <c r="E34" s="1">
        <v>0.333333</v>
      </c>
      <c r="F34" s="1">
        <v>2.0</v>
      </c>
      <c r="G34" s="1">
        <v>-1.065005</v>
      </c>
      <c r="H34" s="1">
        <v>100.0</v>
      </c>
      <c r="I34" s="1">
        <v>0.0</v>
      </c>
      <c r="J34" s="1">
        <v>0.0</v>
      </c>
      <c r="K34" s="1">
        <v>99.129788</v>
      </c>
      <c r="L34" s="1" t="s">
        <v>192</v>
      </c>
    </row>
    <row r="35">
      <c r="A35" s="1" t="s">
        <v>193</v>
      </c>
      <c r="B35" s="1">
        <v>-15.55909</v>
      </c>
      <c r="C35" s="1">
        <v>12.0</v>
      </c>
      <c r="D35" s="1">
        <v>4.0</v>
      </c>
      <c r="E35" s="1">
        <v>0.25</v>
      </c>
      <c r="F35" s="1">
        <v>2.0</v>
      </c>
      <c r="G35" s="1">
        <v>-0.857348</v>
      </c>
      <c r="H35" s="1">
        <v>100.0</v>
      </c>
      <c r="I35" s="1">
        <v>0.0</v>
      </c>
      <c r="J35" s="1">
        <v>0.0</v>
      </c>
      <c r="K35" s="1">
        <v>101.833562</v>
      </c>
      <c r="L35" s="1" t="s">
        <v>194</v>
      </c>
    </row>
    <row r="36">
      <c r="A36" s="1" t="s">
        <v>456</v>
      </c>
      <c r="B36" s="1">
        <v>-15.009468</v>
      </c>
      <c r="C36" s="1">
        <v>12.0</v>
      </c>
      <c r="D36" s="1">
        <v>3.0</v>
      </c>
      <c r="E36" s="1">
        <v>0.25</v>
      </c>
      <c r="F36" s="1">
        <v>2.0</v>
      </c>
      <c r="G36" s="1">
        <v>-0.890163</v>
      </c>
      <c r="H36" s="1">
        <v>100.0</v>
      </c>
      <c r="I36" s="1">
        <v>0.0</v>
      </c>
      <c r="J36" s="1">
        <v>0.0</v>
      </c>
      <c r="K36" s="1">
        <v>101.350369</v>
      </c>
      <c r="L36" s="1" t="s">
        <v>457</v>
      </c>
    </row>
    <row r="37">
      <c r="A37" s="1" t="s">
        <v>277</v>
      </c>
      <c r="B37" s="1">
        <v>-15.325992</v>
      </c>
      <c r="C37" s="1">
        <v>8.0</v>
      </c>
      <c r="D37" s="1">
        <v>2.0</v>
      </c>
      <c r="E37" s="1">
        <v>0.25</v>
      </c>
      <c r="F37" s="1">
        <v>2.0</v>
      </c>
      <c r="G37" s="1">
        <v>-0.597145</v>
      </c>
      <c r="H37" s="1">
        <v>100.0</v>
      </c>
      <c r="I37" s="1">
        <v>0.0</v>
      </c>
      <c r="J37" s="1">
        <v>0.0</v>
      </c>
      <c r="K37" s="1">
        <v>96.326863</v>
      </c>
      <c r="L37" s="1" t="s">
        <v>278</v>
      </c>
    </row>
    <row r="38">
      <c r="A38" s="1" t="s">
        <v>892</v>
      </c>
      <c r="B38" s="1">
        <v>-15.352621</v>
      </c>
      <c r="C38" s="1">
        <v>9.0</v>
      </c>
      <c r="D38" s="1">
        <v>3.0</v>
      </c>
      <c r="E38" s="1">
        <v>0.333333</v>
      </c>
      <c r="F38" s="1">
        <v>2.0</v>
      </c>
      <c r="G38" s="1">
        <v>-0.609783</v>
      </c>
      <c r="H38" s="1">
        <v>100.0</v>
      </c>
      <c r="I38" s="1">
        <v>0.0</v>
      </c>
      <c r="J38" s="1">
        <v>0.0</v>
      </c>
      <c r="K38" s="1">
        <v>98.370929</v>
      </c>
      <c r="L38" s="1" t="s">
        <v>893</v>
      </c>
    </row>
    <row r="39">
      <c r="A39" s="1" t="s">
        <v>894</v>
      </c>
      <c r="B39" s="1">
        <v>-16.976415</v>
      </c>
      <c r="C39" s="1">
        <v>10.0</v>
      </c>
      <c r="D39" s="1">
        <v>3.0</v>
      </c>
      <c r="E39" s="1">
        <v>0.3</v>
      </c>
      <c r="F39" s="1">
        <v>2.0</v>
      </c>
      <c r="G39" s="1">
        <v>-0.947909</v>
      </c>
      <c r="H39" s="1">
        <v>100.0</v>
      </c>
      <c r="I39" s="1">
        <v>0.0</v>
      </c>
      <c r="J39" s="1">
        <v>0.0</v>
      </c>
      <c r="K39" s="1">
        <v>97.375676</v>
      </c>
      <c r="L39" s="1" t="s">
        <v>895</v>
      </c>
    </row>
    <row r="40">
      <c r="A40" s="1" t="s">
        <v>458</v>
      </c>
      <c r="B40" s="1">
        <v>-15.102863</v>
      </c>
      <c r="C40" s="1">
        <v>7.0</v>
      </c>
      <c r="D40" s="1">
        <v>4.0</v>
      </c>
      <c r="E40" s="1">
        <v>0.285714</v>
      </c>
      <c r="F40" s="1">
        <v>2.0</v>
      </c>
      <c r="G40" s="1">
        <v>-0.739385</v>
      </c>
      <c r="H40" s="1">
        <v>100.0</v>
      </c>
      <c r="I40" s="1">
        <v>0.0</v>
      </c>
      <c r="J40" s="1">
        <v>0.0</v>
      </c>
      <c r="K40" s="1">
        <v>97.443466</v>
      </c>
      <c r="L40" s="1" t="s">
        <v>459</v>
      </c>
    </row>
    <row r="41">
      <c r="A41" s="1" t="s">
        <v>460</v>
      </c>
      <c r="B41" s="1">
        <v>-16.336018</v>
      </c>
      <c r="C41" s="1">
        <v>7.0</v>
      </c>
      <c r="D41" s="1">
        <v>2.0</v>
      </c>
      <c r="E41" s="1">
        <v>0.428571</v>
      </c>
      <c r="F41" s="1">
        <v>2.0</v>
      </c>
      <c r="G41" s="1">
        <v>-1.549677</v>
      </c>
      <c r="H41" s="1">
        <v>100.0</v>
      </c>
      <c r="I41" s="1">
        <v>0.0</v>
      </c>
      <c r="J41" s="1">
        <v>0.0</v>
      </c>
      <c r="K41" s="1">
        <v>93.542876</v>
      </c>
      <c r="L41" s="1" t="s">
        <v>461</v>
      </c>
    </row>
    <row r="42">
      <c r="A42" s="1" t="s">
        <v>195</v>
      </c>
      <c r="B42" s="1">
        <v>-16.502904</v>
      </c>
      <c r="C42" s="1">
        <v>8.0</v>
      </c>
      <c r="D42" s="1">
        <v>3.0</v>
      </c>
      <c r="E42" s="1">
        <v>0.25</v>
      </c>
      <c r="F42" s="1">
        <v>3.0</v>
      </c>
      <c r="G42" s="1">
        <v>-0.998347</v>
      </c>
      <c r="H42" s="1">
        <v>100.0</v>
      </c>
      <c r="I42" s="1">
        <v>0.0</v>
      </c>
      <c r="J42" s="1">
        <v>0.0</v>
      </c>
      <c r="K42" s="1">
        <v>96.748749</v>
      </c>
      <c r="L42" s="1" t="s">
        <v>196</v>
      </c>
    </row>
    <row r="43">
      <c r="A43" s="1" t="s">
        <v>197</v>
      </c>
      <c r="B43" s="1">
        <v>-16.222639</v>
      </c>
      <c r="C43" s="1">
        <v>10.0</v>
      </c>
      <c r="D43" s="1">
        <v>3.0</v>
      </c>
      <c r="E43" s="1">
        <v>0.3</v>
      </c>
      <c r="F43" s="1">
        <v>2.0</v>
      </c>
      <c r="G43" s="1">
        <v>-1.763647</v>
      </c>
      <c r="H43" s="1">
        <v>100.0</v>
      </c>
      <c r="I43" s="1">
        <v>0.0</v>
      </c>
      <c r="J43" s="1">
        <v>0.0</v>
      </c>
      <c r="K43" s="1">
        <v>97.313714</v>
      </c>
      <c r="L43" s="1" t="s">
        <v>94</v>
      </c>
    </row>
    <row r="44">
      <c r="A44" s="1" t="s">
        <v>198</v>
      </c>
      <c r="B44" s="1">
        <v>-15.296063</v>
      </c>
      <c r="C44" s="1">
        <v>8.0</v>
      </c>
      <c r="D44" s="1">
        <v>3.0</v>
      </c>
      <c r="E44" s="1">
        <v>0.25</v>
      </c>
      <c r="F44" s="1">
        <v>2.0</v>
      </c>
      <c r="G44" s="1">
        <v>-1.293353</v>
      </c>
      <c r="H44" s="1">
        <v>100.0</v>
      </c>
      <c r="I44" s="1">
        <v>0.0</v>
      </c>
      <c r="J44" s="1">
        <v>0.0</v>
      </c>
      <c r="K44" s="1">
        <v>96.660584</v>
      </c>
      <c r="L44" s="1" t="s">
        <v>30</v>
      </c>
    </row>
    <row r="45">
      <c r="A45" s="1" t="s">
        <v>896</v>
      </c>
      <c r="B45" s="1">
        <v>-15.173012</v>
      </c>
      <c r="C45" s="1">
        <v>10.0</v>
      </c>
      <c r="D45" s="1">
        <v>4.0</v>
      </c>
      <c r="E45" s="1">
        <v>0.3</v>
      </c>
      <c r="F45" s="1">
        <v>2.0</v>
      </c>
      <c r="G45" s="1">
        <v>-1.39177</v>
      </c>
      <c r="H45" s="1">
        <v>100.0</v>
      </c>
      <c r="I45" s="1">
        <v>0.0</v>
      </c>
      <c r="J45" s="1">
        <v>0.0</v>
      </c>
      <c r="K45" s="1">
        <v>99.735218</v>
      </c>
      <c r="L45" s="1" t="s">
        <v>897</v>
      </c>
    </row>
    <row r="46">
      <c r="A46" s="1" t="s">
        <v>279</v>
      </c>
      <c r="B46" s="1">
        <v>-15.778424</v>
      </c>
      <c r="C46" s="1">
        <v>10.0</v>
      </c>
      <c r="D46" s="1">
        <v>4.0</v>
      </c>
      <c r="E46" s="1">
        <v>0.3</v>
      </c>
      <c r="F46" s="1">
        <v>2.0</v>
      </c>
      <c r="G46" s="1">
        <v>-0.444144</v>
      </c>
      <c r="H46" s="1">
        <v>100.0</v>
      </c>
      <c r="I46" s="1">
        <v>0.0</v>
      </c>
      <c r="J46" s="1">
        <v>0.0</v>
      </c>
      <c r="K46" s="1">
        <v>100.077432</v>
      </c>
      <c r="L46" s="1" t="s">
        <v>123</v>
      </c>
    </row>
    <row r="47">
      <c r="A47" s="1" t="s">
        <v>199</v>
      </c>
      <c r="B47" s="1">
        <v>-15.047575</v>
      </c>
      <c r="C47" s="1">
        <v>8.0</v>
      </c>
      <c r="D47" s="1">
        <v>4.0</v>
      </c>
      <c r="E47" s="1">
        <v>0.25</v>
      </c>
      <c r="F47" s="1">
        <v>2.0</v>
      </c>
      <c r="G47" s="1">
        <v>-1.824829</v>
      </c>
      <c r="H47" s="1">
        <v>100.0</v>
      </c>
      <c r="I47" s="1">
        <v>0.0</v>
      </c>
      <c r="J47" s="1">
        <v>0.0</v>
      </c>
      <c r="K47" s="1">
        <v>97.377596</v>
      </c>
      <c r="L47" s="1" t="s">
        <v>200</v>
      </c>
    </row>
    <row r="48">
      <c r="A48" s="1" t="s">
        <v>462</v>
      </c>
      <c r="B48" s="1">
        <v>-15.125422</v>
      </c>
      <c r="C48" s="1">
        <v>8.0</v>
      </c>
      <c r="D48" s="1">
        <v>2.0</v>
      </c>
      <c r="E48" s="1">
        <v>0.25</v>
      </c>
      <c r="F48" s="1">
        <v>2.0</v>
      </c>
      <c r="G48" s="1">
        <v>-0.988743</v>
      </c>
      <c r="H48" s="1">
        <v>100.0</v>
      </c>
      <c r="I48" s="1">
        <v>0.0</v>
      </c>
      <c r="J48" s="1">
        <v>0.0</v>
      </c>
      <c r="K48" s="1">
        <v>96.135835</v>
      </c>
      <c r="L48" s="1" t="s">
        <v>463</v>
      </c>
    </row>
    <row r="49">
      <c r="A49" s="1" t="s">
        <v>464</v>
      </c>
      <c r="B49" s="1">
        <v>-16.19124</v>
      </c>
      <c r="C49" s="1">
        <v>11.0</v>
      </c>
      <c r="D49" s="1">
        <v>2.0</v>
      </c>
      <c r="E49" s="1">
        <v>0.272727</v>
      </c>
      <c r="F49" s="1">
        <v>2.0</v>
      </c>
      <c r="G49" s="1">
        <v>-0.467883</v>
      </c>
      <c r="H49" s="1">
        <v>100.0</v>
      </c>
      <c r="I49" s="1">
        <v>0.0</v>
      </c>
      <c r="J49" s="1">
        <v>0.0</v>
      </c>
      <c r="K49" s="1">
        <v>98.613604</v>
      </c>
      <c r="L49" s="1" t="s">
        <v>465</v>
      </c>
    </row>
    <row r="50">
      <c r="A50" s="1" t="s">
        <v>466</v>
      </c>
      <c r="B50" s="1">
        <v>-16.072605</v>
      </c>
      <c r="C50" s="1">
        <v>7.0</v>
      </c>
      <c r="D50" s="1">
        <v>3.0</v>
      </c>
      <c r="E50" s="1">
        <v>0.285714</v>
      </c>
      <c r="F50" s="1">
        <v>3.0</v>
      </c>
      <c r="G50" s="1">
        <v>-1.341939</v>
      </c>
      <c r="H50" s="1">
        <v>100.0</v>
      </c>
      <c r="I50" s="1">
        <v>0.0</v>
      </c>
      <c r="J50" s="1">
        <v>0.0</v>
      </c>
      <c r="K50" s="1">
        <v>95.87117</v>
      </c>
      <c r="L50" s="1" t="s">
        <v>467</v>
      </c>
    </row>
    <row r="51">
      <c r="A51" s="1" t="s">
        <v>898</v>
      </c>
      <c r="B51" s="1">
        <v>-15.089032</v>
      </c>
      <c r="C51" s="1">
        <v>11.0</v>
      </c>
      <c r="D51" s="1">
        <v>4.0</v>
      </c>
      <c r="E51" s="1">
        <v>0.272727</v>
      </c>
      <c r="F51" s="1">
        <v>2.0</v>
      </c>
      <c r="G51" s="1">
        <v>-0.598739999999999</v>
      </c>
      <c r="H51" s="1">
        <v>100.0</v>
      </c>
      <c r="I51" s="1">
        <v>0.0</v>
      </c>
      <c r="J51" s="1">
        <v>0.0</v>
      </c>
      <c r="K51" s="1">
        <v>101.584955</v>
      </c>
      <c r="L51" s="1" t="s">
        <v>899</v>
      </c>
    </row>
    <row r="52">
      <c r="A52" s="1" t="s">
        <v>468</v>
      </c>
      <c r="B52" s="1">
        <v>-15.019141</v>
      </c>
      <c r="C52" s="1">
        <v>7.0</v>
      </c>
      <c r="D52" s="1">
        <v>2.0</v>
      </c>
      <c r="E52" s="1">
        <v>0.285714</v>
      </c>
      <c r="F52" s="1">
        <v>2.0</v>
      </c>
      <c r="G52" s="1">
        <v>-1.307925</v>
      </c>
      <c r="H52" s="1">
        <v>100.0</v>
      </c>
      <c r="I52" s="1">
        <v>0.0</v>
      </c>
      <c r="J52" s="1">
        <v>0.0</v>
      </c>
      <c r="K52" s="1">
        <v>94.958648</v>
      </c>
      <c r="L52" s="1" t="s">
        <v>469</v>
      </c>
    </row>
    <row r="53">
      <c r="A53" s="1" t="s">
        <v>201</v>
      </c>
      <c r="B53" s="1">
        <v>-15.950047</v>
      </c>
      <c r="C53" s="1">
        <v>7.0</v>
      </c>
      <c r="D53" s="1">
        <v>3.0</v>
      </c>
      <c r="E53" s="1">
        <v>0.285714</v>
      </c>
      <c r="F53" s="1">
        <v>3.0</v>
      </c>
      <c r="G53" s="1">
        <v>-1.505897</v>
      </c>
      <c r="H53" s="1">
        <v>100.0</v>
      </c>
      <c r="I53" s="1">
        <v>0.0</v>
      </c>
      <c r="J53" s="1">
        <v>0.0</v>
      </c>
      <c r="K53" s="1">
        <v>95.82977</v>
      </c>
      <c r="L53" s="1" t="s">
        <v>35</v>
      </c>
    </row>
    <row r="54">
      <c r="A54" s="1" t="s">
        <v>470</v>
      </c>
      <c r="B54" s="1">
        <v>-15.694478</v>
      </c>
      <c r="C54" s="1">
        <v>9.0</v>
      </c>
      <c r="D54" s="1">
        <v>2.0</v>
      </c>
      <c r="E54" s="1">
        <v>0.333333</v>
      </c>
      <c r="F54" s="1">
        <v>3.0</v>
      </c>
      <c r="G54" s="1">
        <v>-0.857403999999999</v>
      </c>
      <c r="H54" s="1">
        <v>100.0</v>
      </c>
      <c r="I54" s="1">
        <v>0.0</v>
      </c>
      <c r="J54" s="1">
        <v>0.0</v>
      </c>
      <c r="K54" s="1">
        <v>97.781451</v>
      </c>
      <c r="L54" s="1" t="s">
        <v>471</v>
      </c>
    </row>
    <row r="55">
      <c r="A55" s="1" t="s">
        <v>900</v>
      </c>
      <c r="B55" s="1">
        <v>-15.476784</v>
      </c>
      <c r="C55" s="1">
        <v>9.0</v>
      </c>
      <c r="D55" s="1">
        <v>3.0</v>
      </c>
      <c r="E55" s="1">
        <v>0.333333</v>
      </c>
      <c r="F55" s="1">
        <v>2.0</v>
      </c>
      <c r="G55" s="1">
        <v>-1.337507</v>
      </c>
      <c r="H55" s="1">
        <v>100.0</v>
      </c>
      <c r="I55" s="1">
        <v>0.0</v>
      </c>
      <c r="J55" s="1">
        <v>0.0</v>
      </c>
      <c r="K55" s="1">
        <v>97.519042</v>
      </c>
      <c r="L55" s="1" t="s">
        <v>901</v>
      </c>
    </row>
    <row r="56">
      <c r="A56" s="1" t="s">
        <v>280</v>
      </c>
      <c r="B56" s="1">
        <v>-16.377062</v>
      </c>
      <c r="C56" s="1">
        <v>9.0</v>
      </c>
      <c r="D56" s="1">
        <v>1.0</v>
      </c>
      <c r="E56" s="1">
        <v>0.333333</v>
      </c>
      <c r="F56" s="1">
        <v>2.0</v>
      </c>
      <c r="G56" s="1">
        <v>-1.84415</v>
      </c>
      <c r="H56" s="1">
        <v>100.0</v>
      </c>
      <c r="I56" s="1">
        <v>0.0</v>
      </c>
      <c r="J56" s="1">
        <v>0.0</v>
      </c>
      <c r="K56" s="1">
        <v>94.112121</v>
      </c>
      <c r="L56" s="1" t="s">
        <v>126</v>
      </c>
    </row>
    <row r="57">
      <c r="A57" s="1" t="s">
        <v>472</v>
      </c>
      <c r="B57" s="1">
        <v>-15.903081</v>
      </c>
      <c r="C57" s="1">
        <v>7.0</v>
      </c>
      <c r="D57" s="1">
        <v>3.0</v>
      </c>
      <c r="E57" s="1">
        <v>0.285714</v>
      </c>
      <c r="F57" s="1">
        <v>2.0</v>
      </c>
      <c r="G57" s="1">
        <v>-0.636751</v>
      </c>
      <c r="H57" s="1">
        <v>100.0</v>
      </c>
      <c r="I57" s="1">
        <v>0.0</v>
      </c>
      <c r="J57" s="1">
        <v>0.0</v>
      </c>
      <c r="K57" s="1">
        <v>95.745882</v>
      </c>
      <c r="L57" s="1" t="s">
        <v>473</v>
      </c>
    </row>
    <row r="58">
      <c r="A58" s="1" t="s">
        <v>474</v>
      </c>
      <c r="B58" s="1">
        <v>-15.522765</v>
      </c>
      <c r="C58" s="1">
        <v>7.0</v>
      </c>
      <c r="D58" s="1">
        <v>3.0</v>
      </c>
      <c r="E58" s="1">
        <v>0.285714</v>
      </c>
      <c r="F58" s="1">
        <v>2.0</v>
      </c>
      <c r="G58" s="1">
        <v>-0.647722999999999</v>
      </c>
      <c r="H58" s="1">
        <v>100.0</v>
      </c>
      <c r="I58" s="1">
        <v>0.0</v>
      </c>
      <c r="J58" s="1">
        <v>0.0</v>
      </c>
      <c r="K58" s="1">
        <v>96.115226</v>
      </c>
      <c r="L58" s="1" t="s">
        <v>475</v>
      </c>
    </row>
    <row r="59">
      <c r="A59" s="1" t="s">
        <v>902</v>
      </c>
      <c r="B59" s="1">
        <v>-15.805707</v>
      </c>
      <c r="C59" s="1">
        <v>11.0</v>
      </c>
      <c r="D59" s="1">
        <v>4.0</v>
      </c>
      <c r="E59" s="1">
        <v>0.454545</v>
      </c>
      <c r="F59" s="1">
        <v>2.0</v>
      </c>
      <c r="G59" s="1">
        <v>-1.318406</v>
      </c>
      <c r="H59" s="1">
        <v>100.0</v>
      </c>
      <c r="I59" s="1">
        <v>0.0</v>
      </c>
      <c r="J59" s="1">
        <v>0.0</v>
      </c>
      <c r="K59" s="1">
        <v>100.330432</v>
      </c>
      <c r="L59" s="1" t="s">
        <v>903</v>
      </c>
    </row>
    <row r="60">
      <c r="A60" s="1" t="s">
        <v>202</v>
      </c>
      <c r="B60" s="1">
        <v>-15.642859</v>
      </c>
      <c r="C60" s="1">
        <v>11.0</v>
      </c>
      <c r="D60" s="1">
        <v>3.0</v>
      </c>
      <c r="E60" s="1">
        <v>0.272727</v>
      </c>
      <c r="F60" s="1">
        <v>2.0</v>
      </c>
      <c r="G60" s="1">
        <v>-1.1816</v>
      </c>
      <c r="H60" s="1">
        <v>100.0</v>
      </c>
      <c r="I60" s="1">
        <v>0.0</v>
      </c>
      <c r="J60" s="1">
        <v>0.0</v>
      </c>
      <c r="K60" s="1">
        <v>99.448268</v>
      </c>
      <c r="L60" s="1" t="s">
        <v>203</v>
      </c>
    </row>
    <row r="61">
      <c r="A61" s="1" t="s">
        <v>904</v>
      </c>
      <c r="B61" s="1">
        <v>-15.38509</v>
      </c>
      <c r="C61" s="1">
        <v>9.0</v>
      </c>
      <c r="D61" s="1">
        <v>4.0</v>
      </c>
      <c r="E61" s="1">
        <v>0.333333</v>
      </c>
      <c r="F61" s="1">
        <v>2.0</v>
      </c>
      <c r="G61" s="1">
        <v>-1.023251</v>
      </c>
      <c r="H61" s="1">
        <v>100.0</v>
      </c>
      <c r="I61" s="1">
        <v>0.0</v>
      </c>
      <c r="J61" s="1">
        <v>0.0</v>
      </c>
      <c r="K61" s="1">
        <v>98.924992</v>
      </c>
      <c r="L61" s="1" t="s">
        <v>905</v>
      </c>
    </row>
    <row r="62">
      <c r="A62" s="1" t="s">
        <v>281</v>
      </c>
      <c r="B62" s="1">
        <v>-15.737774</v>
      </c>
      <c r="C62" s="1">
        <v>8.0</v>
      </c>
      <c r="D62" s="1">
        <v>4.0</v>
      </c>
      <c r="E62" s="1">
        <v>0.375</v>
      </c>
      <c r="F62" s="1">
        <v>2.0</v>
      </c>
      <c r="G62" s="1">
        <v>-0.922352</v>
      </c>
      <c r="H62" s="1">
        <v>100.0</v>
      </c>
      <c r="I62" s="1">
        <v>0.0</v>
      </c>
      <c r="J62" s="1">
        <v>0.0</v>
      </c>
      <c r="K62" s="1">
        <v>97.714874</v>
      </c>
      <c r="L62" s="1" t="s">
        <v>282</v>
      </c>
    </row>
    <row r="63">
      <c r="A63" s="1" t="s">
        <v>906</v>
      </c>
      <c r="B63" s="1">
        <v>-15.399542</v>
      </c>
      <c r="C63" s="1">
        <v>10.0</v>
      </c>
      <c r="D63" s="1">
        <v>2.0</v>
      </c>
      <c r="E63" s="1">
        <v>0.6</v>
      </c>
      <c r="F63" s="1">
        <v>2.0</v>
      </c>
      <c r="G63" s="1">
        <v>-0.613366</v>
      </c>
      <c r="H63" s="1">
        <v>100.0</v>
      </c>
      <c r="I63" s="1">
        <v>0.0</v>
      </c>
      <c r="J63" s="1">
        <v>0.0</v>
      </c>
      <c r="K63" s="1">
        <v>98.587092</v>
      </c>
      <c r="L63" s="1" t="s">
        <v>907</v>
      </c>
    </row>
    <row r="64">
      <c r="A64" s="1" t="s">
        <v>283</v>
      </c>
      <c r="B64" s="1">
        <v>-16.004339</v>
      </c>
      <c r="C64" s="1">
        <v>7.0</v>
      </c>
      <c r="D64" s="1">
        <v>1.0</v>
      </c>
      <c r="E64" s="1">
        <v>0.285714</v>
      </c>
      <c r="F64" s="1">
        <v>2.0</v>
      </c>
      <c r="G64" s="1">
        <v>-0.643672</v>
      </c>
      <c r="H64" s="1">
        <v>100.0</v>
      </c>
      <c r="I64" s="1">
        <v>0.0</v>
      </c>
      <c r="J64" s="1">
        <v>0.0</v>
      </c>
      <c r="K64" s="1">
        <v>93.637703</v>
      </c>
      <c r="L64" s="1" t="s">
        <v>129</v>
      </c>
    </row>
    <row r="65">
      <c r="A65" s="1" t="s">
        <v>476</v>
      </c>
      <c r="B65" s="1">
        <v>-15.728531</v>
      </c>
      <c r="C65" s="1">
        <v>8.0</v>
      </c>
      <c r="D65" s="1">
        <v>3.0</v>
      </c>
      <c r="E65" s="1">
        <v>0.25</v>
      </c>
      <c r="F65" s="1">
        <v>2.0</v>
      </c>
      <c r="G65" s="1">
        <v>-1.51629</v>
      </c>
      <c r="H65" s="1">
        <v>100.0</v>
      </c>
      <c r="I65" s="1">
        <v>0.0</v>
      </c>
      <c r="J65" s="1">
        <v>0.0</v>
      </c>
      <c r="K65" s="1">
        <v>96.005179</v>
      </c>
      <c r="L65" s="1" t="s">
        <v>477</v>
      </c>
    </row>
    <row r="66">
      <c r="A66" s="1" t="s">
        <v>204</v>
      </c>
      <c r="B66" s="1">
        <v>-15.476613</v>
      </c>
      <c r="C66" s="1">
        <v>12.0</v>
      </c>
      <c r="D66" s="1">
        <v>4.0</v>
      </c>
      <c r="E66" s="1">
        <v>0.333333</v>
      </c>
      <c r="F66" s="1">
        <v>2.0</v>
      </c>
      <c r="G66" s="1">
        <v>-0.623346</v>
      </c>
      <c r="H66" s="1">
        <v>100.0</v>
      </c>
      <c r="I66" s="1">
        <v>0.0</v>
      </c>
      <c r="J66" s="1">
        <v>0.0</v>
      </c>
      <c r="K66" s="1">
        <v>102.233374</v>
      </c>
      <c r="L66" s="1" t="s">
        <v>99</v>
      </c>
    </row>
    <row r="67">
      <c r="A67" s="1" t="s">
        <v>478</v>
      </c>
      <c r="B67" s="1">
        <v>-15.352353</v>
      </c>
      <c r="C67" s="1">
        <v>8.0</v>
      </c>
      <c r="D67" s="1">
        <v>1.0</v>
      </c>
      <c r="E67" s="1">
        <v>0.25</v>
      </c>
      <c r="F67" s="1">
        <v>2.0</v>
      </c>
      <c r="G67" s="1">
        <v>-0.518455</v>
      </c>
      <c r="H67" s="1">
        <v>100.0</v>
      </c>
      <c r="I67" s="1">
        <v>0.0</v>
      </c>
      <c r="J67" s="1">
        <v>0.0</v>
      </c>
      <c r="K67" s="1">
        <v>95.379192</v>
      </c>
      <c r="L67" s="1" t="s">
        <v>479</v>
      </c>
    </row>
    <row r="68">
      <c r="A68" s="1" t="s">
        <v>205</v>
      </c>
      <c r="B68" s="1">
        <v>-16.216217</v>
      </c>
      <c r="C68" s="1">
        <v>7.0</v>
      </c>
      <c r="D68" s="1">
        <v>4.0</v>
      </c>
      <c r="E68" s="1">
        <v>0.285714</v>
      </c>
      <c r="F68" s="1">
        <v>2.0</v>
      </c>
      <c r="G68" s="1">
        <v>-0.930066</v>
      </c>
      <c r="H68" s="1">
        <v>100.0</v>
      </c>
      <c r="I68" s="1">
        <v>0.0</v>
      </c>
      <c r="J68" s="1">
        <v>0.0</v>
      </c>
      <c r="K68" s="1">
        <v>96.139431</v>
      </c>
      <c r="L68" s="1" t="s">
        <v>206</v>
      </c>
    </row>
    <row r="69">
      <c r="A69" s="1" t="s">
        <v>480</v>
      </c>
      <c r="B69" s="1">
        <v>-15.596951</v>
      </c>
      <c r="C69" s="1">
        <v>10.0</v>
      </c>
      <c r="D69" s="1">
        <v>3.0</v>
      </c>
      <c r="E69" s="1">
        <v>0.3</v>
      </c>
      <c r="F69" s="1">
        <v>2.0</v>
      </c>
      <c r="G69" s="1">
        <v>-0.973844</v>
      </c>
      <c r="H69" s="1">
        <v>100.0</v>
      </c>
      <c r="I69" s="1">
        <v>0.0</v>
      </c>
      <c r="J69" s="1">
        <v>0.0</v>
      </c>
      <c r="K69" s="1">
        <v>98.729205</v>
      </c>
      <c r="L69" s="1" t="s">
        <v>481</v>
      </c>
    </row>
    <row r="70">
      <c r="A70" s="1" t="s">
        <v>207</v>
      </c>
      <c r="B70" s="1">
        <v>-15.113702</v>
      </c>
      <c r="C70" s="1">
        <v>8.0</v>
      </c>
      <c r="D70" s="1">
        <v>3.0</v>
      </c>
      <c r="E70" s="1">
        <v>0.25</v>
      </c>
      <c r="F70" s="1">
        <v>2.0</v>
      </c>
      <c r="G70" s="1">
        <v>-0.761492</v>
      </c>
      <c r="H70" s="1">
        <v>100.0</v>
      </c>
      <c r="I70" s="1">
        <v>0.0</v>
      </c>
      <c r="J70" s="1">
        <v>0.0</v>
      </c>
      <c r="K70" s="1">
        <v>97.374806</v>
      </c>
      <c r="L70" s="1" t="s">
        <v>208</v>
      </c>
    </row>
    <row r="71">
      <c r="A71" s="1" t="s">
        <v>908</v>
      </c>
      <c r="B71" s="1">
        <v>-15.31518</v>
      </c>
      <c r="C71" s="1">
        <v>8.0</v>
      </c>
      <c r="D71" s="1">
        <v>4.0</v>
      </c>
      <c r="E71" s="1">
        <v>0.375</v>
      </c>
      <c r="F71" s="1">
        <v>2.0</v>
      </c>
      <c r="G71" s="1">
        <v>-1.223903</v>
      </c>
      <c r="H71" s="1">
        <v>100.0</v>
      </c>
      <c r="I71" s="1">
        <v>0.0</v>
      </c>
      <c r="J71" s="1">
        <v>0.0</v>
      </c>
      <c r="K71" s="1">
        <v>97.835917</v>
      </c>
      <c r="L71" s="1" t="s">
        <v>909</v>
      </c>
    </row>
    <row r="72">
      <c r="A72" s="1" t="s">
        <v>284</v>
      </c>
      <c r="B72" s="1">
        <v>-15.399039</v>
      </c>
      <c r="C72" s="1">
        <v>6.0</v>
      </c>
      <c r="D72" s="1">
        <v>3.0</v>
      </c>
      <c r="E72" s="1">
        <v>0.333333</v>
      </c>
      <c r="F72" s="1">
        <v>2.0</v>
      </c>
      <c r="G72" s="1">
        <v>-0.254448</v>
      </c>
      <c r="H72" s="1">
        <v>100.0</v>
      </c>
      <c r="I72" s="1">
        <v>0.0</v>
      </c>
      <c r="J72" s="1">
        <v>0.0</v>
      </c>
      <c r="K72" s="1">
        <v>95.679846</v>
      </c>
      <c r="L72" s="1" t="s">
        <v>285</v>
      </c>
    </row>
    <row r="73">
      <c r="A73" s="1" t="s">
        <v>286</v>
      </c>
      <c r="B73" s="1">
        <v>-15.848908</v>
      </c>
      <c r="C73" s="1">
        <v>8.0</v>
      </c>
      <c r="D73" s="1">
        <v>3.0</v>
      </c>
      <c r="E73" s="1">
        <v>0.375</v>
      </c>
      <c r="F73" s="1">
        <v>2.0</v>
      </c>
      <c r="G73" s="1">
        <v>-0.923644</v>
      </c>
      <c r="H73" s="1">
        <v>100.0</v>
      </c>
      <c r="I73" s="1">
        <v>0.0</v>
      </c>
      <c r="J73" s="1">
        <v>0.0</v>
      </c>
      <c r="K73" s="1">
        <v>96.602448</v>
      </c>
      <c r="L73" s="1" t="s">
        <v>287</v>
      </c>
    </row>
    <row r="74">
      <c r="A74" s="1" t="s">
        <v>482</v>
      </c>
      <c r="B74" s="1">
        <v>-15.495405</v>
      </c>
      <c r="C74" s="1">
        <v>9.0</v>
      </c>
      <c r="D74" s="1">
        <v>4.0</v>
      </c>
      <c r="E74" s="1">
        <v>0.333333</v>
      </c>
      <c r="F74" s="1">
        <v>2.0</v>
      </c>
      <c r="G74" s="1">
        <v>-0.620458</v>
      </c>
      <c r="H74" s="1">
        <v>100.0</v>
      </c>
      <c r="I74" s="1">
        <v>0.0</v>
      </c>
      <c r="J74" s="1">
        <v>0.0</v>
      </c>
      <c r="K74" s="1">
        <v>99.21747</v>
      </c>
      <c r="L74" s="1" t="s">
        <v>483</v>
      </c>
    </row>
    <row r="75">
      <c r="A75" s="1" t="s">
        <v>209</v>
      </c>
      <c r="B75" s="1">
        <v>-15.419001</v>
      </c>
      <c r="C75" s="1">
        <v>8.0</v>
      </c>
      <c r="D75" s="1">
        <v>5.0</v>
      </c>
      <c r="E75" s="1">
        <v>0.5</v>
      </c>
      <c r="F75" s="1">
        <v>3.0</v>
      </c>
      <c r="G75" s="1">
        <v>-1.097048</v>
      </c>
      <c r="H75" s="1">
        <v>100.0</v>
      </c>
      <c r="I75" s="1">
        <v>0.0</v>
      </c>
      <c r="J75" s="1">
        <v>0.0</v>
      </c>
      <c r="K75" s="1">
        <v>99.983951</v>
      </c>
      <c r="L75" s="1" t="s">
        <v>210</v>
      </c>
    </row>
    <row r="76">
      <c r="A76" s="1" t="s">
        <v>484</v>
      </c>
      <c r="B76" s="1">
        <v>-15.100581</v>
      </c>
      <c r="C76" s="1">
        <v>10.0</v>
      </c>
      <c r="D76" s="1">
        <v>3.0</v>
      </c>
      <c r="E76" s="1">
        <v>0.3</v>
      </c>
      <c r="F76" s="1">
        <v>2.0</v>
      </c>
      <c r="G76" s="1">
        <v>-0.870712</v>
      </c>
      <c r="H76" s="1">
        <v>100.0</v>
      </c>
      <c r="I76" s="1">
        <v>0.0</v>
      </c>
      <c r="J76" s="1">
        <v>0.0</v>
      </c>
      <c r="K76" s="1">
        <v>99.328707</v>
      </c>
      <c r="L76" s="1" t="s">
        <v>485</v>
      </c>
    </row>
    <row r="77">
      <c r="A77" s="1" t="s">
        <v>486</v>
      </c>
      <c r="B77" s="1">
        <v>-15.478127</v>
      </c>
      <c r="C77" s="1">
        <v>8.0</v>
      </c>
      <c r="D77" s="1">
        <v>3.0</v>
      </c>
      <c r="E77" s="1">
        <v>0.25</v>
      </c>
      <c r="F77" s="1">
        <v>3.0</v>
      </c>
      <c r="G77" s="1">
        <v>-1.86879</v>
      </c>
      <c r="H77" s="1">
        <v>100.0</v>
      </c>
      <c r="I77" s="1">
        <v>0.0</v>
      </c>
      <c r="J77" s="1">
        <v>0.0</v>
      </c>
      <c r="K77" s="1">
        <v>96.903083</v>
      </c>
      <c r="L77" s="1" t="s">
        <v>487</v>
      </c>
    </row>
    <row r="78">
      <c r="A78" s="1" t="s">
        <v>488</v>
      </c>
      <c r="B78" s="1">
        <v>-15.530742</v>
      </c>
      <c r="C78" s="1">
        <v>9.0</v>
      </c>
      <c r="D78" s="1">
        <v>2.0</v>
      </c>
      <c r="E78" s="1">
        <v>0.333333</v>
      </c>
      <c r="F78" s="1">
        <v>2.0</v>
      </c>
      <c r="G78" s="1">
        <v>-1.463579</v>
      </c>
      <c r="H78" s="1">
        <v>100.0</v>
      </c>
      <c r="I78" s="1">
        <v>0.0</v>
      </c>
      <c r="J78" s="1">
        <v>0.0</v>
      </c>
      <c r="K78" s="1">
        <v>96.339012</v>
      </c>
      <c r="L78" s="1" t="s">
        <v>489</v>
      </c>
    </row>
    <row r="79">
      <c r="A79" s="1" t="s">
        <v>910</v>
      </c>
      <c r="B79" s="1">
        <v>-15.898066</v>
      </c>
      <c r="C79" s="1">
        <v>10.0</v>
      </c>
      <c r="D79" s="1">
        <v>5.0</v>
      </c>
      <c r="E79" s="1">
        <v>0.3</v>
      </c>
      <c r="F79" s="1">
        <v>2.0</v>
      </c>
      <c r="G79" s="1">
        <v>-0.756596</v>
      </c>
      <c r="H79" s="1">
        <v>100.0</v>
      </c>
      <c r="I79" s="1">
        <v>0.0</v>
      </c>
      <c r="J79" s="1">
        <v>0.0</v>
      </c>
      <c r="K79" s="1">
        <v>100.645338</v>
      </c>
      <c r="L79" s="1" t="s">
        <v>911</v>
      </c>
    </row>
    <row r="80">
      <c r="A80" s="1" t="s">
        <v>912</v>
      </c>
      <c r="B80" s="1">
        <v>-15.987933</v>
      </c>
      <c r="C80" s="1">
        <v>8.0</v>
      </c>
      <c r="D80" s="1">
        <v>4.0</v>
      </c>
      <c r="E80" s="1">
        <v>0.25</v>
      </c>
      <c r="F80" s="1">
        <v>2.0</v>
      </c>
      <c r="G80" s="1">
        <v>-1.336909</v>
      </c>
      <c r="H80" s="1">
        <v>100.0</v>
      </c>
      <c r="I80" s="1">
        <v>0.0</v>
      </c>
      <c r="J80" s="1">
        <v>0.0</v>
      </c>
      <c r="K80" s="1">
        <v>96.925158</v>
      </c>
      <c r="L80" s="1" t="s">
        <v>913</v>
      </c>
    </row>
    <row r="81">
      <c r="A81" s="1" t="s">
        <v>490</v>
      </c>
      <c r="B81" s="1">
        <v>-15.026162</v>
      </c>
      <c r="C81" s="1">
        <v>8.0</v>
      </c>
      <c r="D81" s="1">
        <v>2.0</v>
      </c>
      <c r="E81" s="1">
        <v>0.5</v>
      </c>
      <c r="F81" s="1">
        <v>2.0</v>
      </c>
      <c r="G81" s="1">
        <v>-1.219584</v>
      </c>
      <c r="H81" s="1">
        <v>100.0</v>
      </c>
      <c r="I81" s="1">
        <v>0.0</v>
      </c>
      <c r="J81" s="1">
        <v>0.0</v>
      </c>
      <c r="K81" s="1">
        <v>96.254254</v>
      </c>
      <c r="L81" s="1" t="s">
        <v>491</v>
      </c>
    </row>
    <row r="82">
      <c r="A82" s="1" t="s">
        <v>492</v>
      </c>
      <c r="B82" s="1">
        <v>-15.026162</v>
      </c>
      <c r="C82" s="1">
        <v>8.0</v>
      </c>
      <c r="D82" s="1">
        <v>2.0</v>
      </c>
      <c r="E82" s="1">
        <v>0.5</v>
      </c>
      <c r="F82" s="1">
        <v>2.0</v>
      </c>
      <c r="G82" s="1">
        <v>-1.219584</v>
      </c>
      <c r="H82" s="1">
        <v>100.0</v>
      </c>
      <c r="I82" s="1">
        <v>0.0</v>
      </c>
      <c r="J82" s="1">
        <v>0.0</v>
      </c>
      <c r="K82" s="1">
        <v>96.254254</v>
      </c>
      <c r="L82" s="1" t="s">
        <v>493</v>
      </c>
    </row>
    <row r="83">
      <c r="A83" s="1" t="s">
        <v>914</v>
      </c>
      <c r="B83" s="1">
        <v>-15.292696</v>
      </c>
      <c r="C83" s="1">
        <v>11.0</v>
      </c>
      <c r="D83" s="1">
        <v>2.0</v>
      </c>
      <c r="E83" s="1">
        <v>0.272727</v>
      </c>
      <c r="F83" s="1">
        <v>2.0</v>
      </c>
      <c r="G83" s="1">
        <v>-0.566388</v>
      </c>
      <c r="H83" s="1">
        <v>100.0</v>
      </c>
      <c r="I83" s="1">
        <v>0.0</v>
      </c>
      <c r="J83" s="1">
        <v>0.0</v>
      </c>
      <c r="K83" s="1">
        <v>99.413643</v>
      </c>
      <c r="L83" s="1" t="s">
        <v>915</v>
      </c>
    </row>
    <row r="84">
      <c r="A84" s="1" t="s">
        <v>494</v>
      </c>
      <c r="B84" s="1">
        <v>-15.558252</v>
      </c>
      <c r="C84" s="1">
        <v>8.0</v>
      </c>
      <c r="D84" s="1">
        <v>5.0</v>
      </c>
      <c r="E84" s="1">
        <v>0.25</v>
      </c>
      <c r="F84" s="1">
        <v>2.0</v>
      </c>
      <c r="G84" s="1">
        <v>-0.605641</v>
      </c>
      <c r="H84" s="1">
        <v>100.0</v>
      </c>
      <c r="I84" s="1">
        <v>0.0</v>
      </c>
      <c r="J84" s="1">
        <v>0.0</v>
      </c>
      <c r="K84" s="1">
        <v>99.086107</v>
      </c>
      <c r="L84" s="1" t="s">
        <v>495</v>
      </c>
    </row>
    <row r="85">
      <c r="A85" s="1" t="s">
        <v>496</v>
      </c>
      <c r="B85" s="1">
        <v>-15.806081</v>
      </c>
      <c r="C85" s="1">
        <v>8.0</v>
      </c>
      <c r="D85" s="1">
        <v>2.0</v>
      </c>
      <c r="E85" s="1">
        <v>0.25</v>
      </c>
      <c r="F85" s="1">
        <v>2.0</v>
      </c>
      <c r="G85" s="1">
        <v>-1.085431</v>
      </c>
      <c r="H85" s="1">
        <v>100.0</v>
      </c>
      <c r="I85" s="1">
        <v>0.0</v>
      </c>
      <c r="J85" s="1">
        <v>0.0</v>
      </c>
      <c r="K85" s="1">
        <v>95.358488</v>
      </c>
      <c r="L85" s="1" t="s">
        <v>497</v>
      </c>
    </row>
    <row r="86">
      <c r="A86" s="1" t="s">
        <v>916</v>
      </c>
      <c r="B86" s="1">
        <v>-15.186457</v>
      </c>
      <c r="C86" s="1">
        <v>8.0</v>
      </c>
      <c r="D86" s="1">
        <v>2.0</v>
      </c>
      <c r="E86" s="1">
        <v>0.25</v>
      </c>
      <c r="F86" s="1">
        <v>2.0</v>
      </c>
      <c r="G86" s="1">
        <v>-1.2613</v>
      </c>
      <c r="H86" s="1">
        <v>100.0</v>
      </c>
      <c r="I86" s="1">
        <v>0.0</v>
      </c>
      <c r="J86" s="1">
        <v>0.0</v>
      </c>
      <c r="K86" s="1">
        <v>95.802243</v>
      </c>
      <c r="L86" s="1" t="s">
        <v>917</v>
      </c>
    </row>
    <row r="87">
      <c r="A87" s="1" t="s">
        <v>288</v>
      </c>
      <c r="B87" s="1">
        <v>-15.111049</v>
      </c>
      <c r="C87" s="1">
        <v>8.0</v>
      </c>
      <c r="D87" s="1">
        <v>4.0</v>
      </c>
      <c r="E87" s="1">
        <v>0.5</v>
      </c>
      <c r="F87" s="1">
        <v>3.0</v>
      </c>
      <c r="G87" s="1">
        <v>-1.48802099999999</v>
      </c>
      <c r="H87" s="1">
        <v>100.0</v>
      </c>
      <c r="I87" s="1">
        <v>0.0</v>
      </c>
      <c r="J87" s="1">
        <v>0.0</v>
      </c>
      <c r="K87" s="1">
        <v>98.90093</v>
      </c>
      <c r="L87" s="1" t="s">
        <v>80</v>
      </c>
    </row>
    <row r="88">
      <c r="A88" s="1" t="s">
        <v>918</v>
      </c>
      <c r="B88" s="1">
        <v>-16.198358</v>
      </c>
      <c r="C88" s="1">
        <v>8.0</v>
      </c>
      <c r="D88" s="1">
        <v>4.0</v>
      </c>
      <c r="E88" s="1">
        <v>0.25</v>
      </c>
      <c r="F88" s="1">
        <v>2.0</v>
      </c>
      <c r="G88" s="1">
        <v>-0.652775</v>
      </c>
      <c r="H88" s="1">
        <v>100.0</v>
      </c>
      <c r="I88" s="1">
        <v>0.0</v>
      </c>
      <c r="J88" s="1">
        <v>0.0</v>
      </c>
      <c r="K88" s="1">
        <v>97.398867</v>
      </c>
      <c r="L88" s="1" t="s">
        <v>919</v>
      </c>
    </row>
    <row r="89">
      <c r="A89" s="1" t="s">
        <v>920</v>
      </c>
      <c r="B89" s="1">
        <v>-16.731063</v>
      </c>
      <c r="C89" s="1">
        <v>8.0</v>
      </c>
      <c r="D89" s="1">
        <v>4.0</v>
      </c>
      <c r="E89" s="1">
        <v>0.25</v>
      </c>
      <c r="F89" s="1">
        <v>2.0</v>
      </c>
      <c r="G89" s="1">
        <v>-0.330589</v>
      </c>
      <c r="H89" s="1">
        <v>100.0</v>
      </c>
      <c r="I89" s="1">
        <v>0.0</v>
      </c>
      <c r="J89" s="1">
        <v>0.0</v>
      </c>
      <c r="K89" s="1">
        <v>97.188348</v>
      </c>
      <c r="L89" s="1" t="s">
        <v>921</v>
      </c>
    </row>
    <row r="90">
      <c r="A90" s="1" t="s">
        <v>498</v>
      </c>
      <c r="B90" s="1">
        <v>-15.229256</v>
      </c>
      <c r="C90" s="1">
        <v>7.0</v>
      </c>
      <c r="D90" s="1">
        <v>3.0</v>
      </c>
      <c r="E90" s="1">
        <v>0.428571</v>
      </c>
      <c r="F90" s="1">
        <v>2.0</v>
      </c>
      <c r="G90" s="1">
        <v>-0.96092</v>
      </c>
      <c r="H90" s="1">
        <v>100.0</v>
      </c>
      <c r="I90" s="1">
        <v>0.0</v>
      </c>
      <c r="J90" s="1">
        <v>0.0</v>
      </c>
      <c r="K90" s="1">
        <v>96.238395</v>
      </c>
      <c r="L90" s="1" t="s">
        <v>499</v>
      </c>
    </row>
    <row r="91">
      <c r="A91" s="1" t="s">
        <v>211</v>
      </c>
      <c r="B91" s="1">
        <v>-15.695975</v>
      </c>
      <c r="C91" s="1">
        <v>7.0</v>
      </c>
      <c r="D91" s="1">
        <v>5.0</v>
      </c>
      <c r="E91" s="1">
        <v>0.428571</v>
      </c>
      <c r="F91" s="1">
        <v>2.0</v>
      </c>
      <c r="G91" s="1">
        <v>-0.51858</v>
      </c>
      <c r="H91" s="1">
        <v>100.0</v>
      </c>
      <c r="I91" s="1">
        <v>0.0</v>
      </c>
      <c r="J91" s="1">
        <v>0.0</v>
      </c>
      <c r="K91" s="1">
        <v>98.214016</v>
      </c>
      <c r="L91" s="1" t="s">
        <v>212</v>
      </c>
    </row>
    <row r="92">
      <c r="A92" s="1" t="s">
        <v>922</v>
      </c>
      <c r="B92" s="1">
        <v>-15.855765</v>
      </c>
      <c r="C92" s="1">
        <v>7.0</v>
      </c>
      <c r="D92" s="1">
        <v>3.0</v>
      </c>
      <c r="E92" s="1">
        <v>0.285714</v>
      </c>
      <c r="F92" s="1">
        <v>2.0</v>
      </c>
      <c r="G92" s="1">
        <v>-0.404817</v>
      </c>
      <c r="H92" s="1">
        <v>100.0</v>
      </c>
      <c r="I92" s="1">
        <v>0.0</v>
      </c>
      <c r="J92" s="1">
        <v>0.0</v>
      </c>
      <c r="K92" s="1">
        <v>96.025132</v>
      </c>
      <c r="L92" s="1" t="s">
        <v>923</v>
      </c>
    </row>
    <row r="93">
      <c r="A93" s="1" t="s">
        <v>924</v>
      </c>
      <c r="B93" s="1">
        <v>-16.725242</v>
      </c>
      <c r="C93" s="1">
        <v>10.0</v>
      </c>
      <c r="D93" s="1">
        <v>4.0</v>
      </c>
      <c r="E93" s="1">
        <v>0.3</v>
      </c>
      <c r="F93" s="1">
        <v>2.0</v>
      </c>
      <c r="G93" s="1">
        <v>-1.11447299999999</v>
      </c>
      <c r="H93" s="1">
        <v>100.0</v>
      </c>
      <c r="I93" s="1">
        <v>0.0</v>
      </c>
      <c r="J93" s="1">
        <v>0.0</v>
      </c>
      <c r="K93" s="1">
        <v>98.460285</v>
      </c>
      <c r="L93" s="1" t="s">
        <v>925</v>
      </c>
    </row>
    <row r="94">
      <c r="A94" s="1" t="s">
        <v>926</v>
      </c>
      <c r="B94" s="1">
        <v>-15.350543</v>
      </c>
      <c r="C94" s="1">
        <v>9.0</v>
      </c>
      <c r="D94" s="1">
        <v>4.0</v>
      </c>
      <c r="E94" s="1">
        <v>0.333333</v>
      </c>
      <c r="F94" s="1">
        <v>2.0</v>
      </c>
      <c r="G94" s="1">
        <v>-0.784927</v>
      </c>
      <c r="H94" s="1">
        <v>100.0</v>
      </c>
      <c r="I94" s="1">
        <v>0.0</v>
      </c>
      <c r="J94" s="1">
        <v>0.0</v>
      </c>
      <c r="K94" s="1">
        <v>99.197863</v>
      </c>
      <c r="L94" s="1" t="s">
        <v>927</v>
      </c>
    </row>
    <row r="95">
      <c r="A95" s="1" t="s">
        <v>500</v>
      </c>
      <c r="B95" s="1">
        <v>-16.557156</v>
      </c>
      <c r="C95" s="1">
        <v>8.0</v>
      </c>
      <c r="D95" s="1">
        <v>2.0</v>
      </c>
      <c r="E95" s="1">
        <v>0.25</v>
      </c>
      <c r="F95" s="1">
        <v>2.0</v>
      </c>
      <c r="G95" s="1">
        <v>-0.52554</v>
      </c>
      <c r="H95" s="1">
        <v>100.0</v>
      </c>
      <c r="I95" s="1">
        <v>0.0</v>
      </c>
      <c r="J95" s="1">
        <v>0.0</v>
      </c>
      <c r="K95" s="1">
        <v>95.167304</v>
      </c>
      <c r="L95" s="1" t="s">
        <v>501</v>
      </c>
    </row>
    <row r="96">
      <c r="A96" s="1" t="s">
        <v>289</v>
      </c>
      <c r="B96" s="1">
        <v>-15.62437</v>
      </c>
      <c r="C96" s="1">
        <v>8.0</v>
      </c>
      <c r="D96" s="1">
        <v>3.0</v>
      </c>
      <c r="E96" s="1">
        <v>0.25</v>
      </c>
      <c r="F96" s="1">
        <v>2.0</v>
      </c>
      <c r="G96" s="1">
        <v>-0.578782</v>
      </c>
      <c r="H96" s="1">
        <v>100.0</v>
      </c>
      <c r="I96" s="1">
        <v>0.0</v>
      </c>
      <c r="J96" s="1">
        <v>0.0</v>
      </c>
      <c r="K96" s="1">
        <v>97.046848</v>
      </c>
      <c r="L96" s="1" t="s">
        <v>290</v>
      </c>
    </row>
    <row r="97">
      <c r="A97" s="1" t="s">
        <v>928</v>
      </c>
      <c r="B97" s="1">
        <v>-16.543963</v>
      </c>
      <c r="C97" s="1">
        <v>7.0</v>
      </c>
      <c r="D97" s="1">
        <v>4.0</v>
      </c>
      <c r="E97" s="1">
        <v>0.285714</v>
      </c>
      <c r="F97" s="1">
        <v>2.0</v>
      </c>
      <c r="G97" s="1">
        <v>-1.827052</v>
      </c>
      <c r="H97" s="1">
        <v>100.0</v>
      </c>
      <c r="I97" s="1">
        <v>0.0</v>
      </c>
      <c r="J97" s="1">
        <v>0.0</v>
      </c>
      <c r="K97" s="1">
        <v>94.914699</v>
      </c>
      <c r="L97" s="1" t="s">
        <v>929</v>
      </c>
    </row>
    <row r="98">
      <c r="A98" s="1" t="s">
        <v>930</v>
      </c>
      <c r="B98" s="1">
        <v>-16.543963</v>
      </c>
      <c r="C98" s="1">
        <v>7.0</v>
      </c>
      <c r="D98" s="1">
        <v>4.0</v>
      </c>
      <c r="E98" s="1">
        <v>0.285714</v>
      </c>
      <c r="F98" s="1">
        <v>2.0</v>
      </c>
      <c r="G98" s="1">
        <v>-1.827052</v>
      </c>
      <c r="H98" s="1">
        <v>100.0</v>
      </c>
      <c r="I98" s="1">
        <v>0.0</v>
      </c>
      <c r="J98" s="1">
        <v>0.0</v>
      </c>
      <c r="K98" s="1">
        <v>94.914699</v>
      </c>
      <c r="L98" s="1" t="s">
        <v>931</v>
      </c>
    </row>
    <row r="99">
      <c r="A99" s="1" t="s">
        <v>502</v>
      </c>
      <c r="B99" s="1">
        <v>-15.732571</v>
      </c>
      <c r="C99" s="1">
        <v>7.0</v>
      </c>
      <c r="D99" s="1">
        <v>2.0</v>
      </c>
      <c r="E99" s="1">
        <v>0.428571</v>
      </c>
      <c r="F99" s="1">
        <v>2.0</v>
      </c>
      <c r="G99" s="1">
        <v>-0.385637</v>
      </c>
      <c r="H99" s="1">
        <v>100.0</v>
      </c>
      <c r="I99" s="1">
        <v>0.0</v>
      </c>
      <c r="J99" s="1">
        <v>0.0</v>
      </c>
      <c r="K99" s="1">
        <v>95.310363</v>
      </c>
      <c r="L99" s="1" t="s">
        <v>503</v>
      </c>
    </row>
    <row r="100">
      <c r="A100" s="1" t="s">
        <v>504</v>
      </c>
      <c r="B100" s="1">
        <v>-17.047287</v>
      </c>
      <c r="C100" s="1">
        <v>8.0</v>
      </c>
      <c r="D100" s="1">
        <v>2.0</v>
      </c>
      <c r="E100" s="1">
        <v>0.25</v>
      </c>
      <c r="F100" s="1">
        <v>2.0</v>
      </c>
      <c r="G100" s="1">
        <v>-1.214723</v>
      </c>
      <c r="H100" s="1">
        <v>100.0</v>
      </c>
      <c r="I100" s="1">
        <v>0.0</v>
      </c>
      <c r="J100" s="1">
        <v>0.0</v>
      </c>
      <c r="K100" s="1">
        <v>93.98799</v>
      </c>
      <c r="L100" s="1" t="s">
        <v>505</v>
      </c>
    </row>
    <row r="101">
      <c r="A101" s="1" t="s">
        <v>291</v>
      </c>
      <c r="B101" s="1">
        <v>-16.657537</v>
      </c>
      <c r="C101" s="1">
        <v>10.0</v>
      </c>
      <c r="D101" s="1">
        <v>3.0</v>
      </c>
      <c r="E101" s="1">
        <v>0.3</v>
      </c>
      <c r="F101" s="1">
        <v>2.0</v>
      </c>
      <c r="G101" s="1">
        <v>-1.135125</v>
      </c>
      <c r="H101" s="1">
        <v>100.0</v>
      </c>
      <c r="I101" s="1">
        <v>0.0</v>
      </c>
      <c r="J101" s="1">
        <v>0.0</v>
      </c>
      <c r="K101" s="1">
        <v>97.507338</v>
      </c>
      <c r="L101" s="1" t="s">
        <v>292</v>
      </c>
    </row>
    <row r="102">
      <c r="A102" s="1" t="s">
        <v>293</v>
      </c>
      <c r="B102" s="1">
        <v>-15.0051</v>
      </c>
      <c r="C102" s="1">
        <v>8.0</v>
      </c>
      <c r="D102" s="1">
        <v>1.0</v>
      </c>
      <c r="E102" s="1">
        <v>0.25</v>
      </c>
      <c r="F102" s="1">
        <v>3.0</v>
      </c>
      <c r="G102" s="1">
        <v>-2.024033</v>
      </c>
      <c r="H102" s="1">
        <v>100.0</v>
      </c>
      <c r="I102" s="1">
        <v>0.0</v>
      </c>
      <c r="J102" s="1">
        <v>0.0</v>
      </c>
      <c r="K102" s="1">
        <v>95.220867</v>
      </c>
      <c r="L102" s="1" t="s">
        <v>294</v>
      </c>
    </row>
    <row r="103">
      <c r="A103" s="1" t="s">
        <v>295</v>
      </c>
      <c r="B103" s="1">
        <v>-15.787491</v>
      </c>
      <c r="C103" s="1">
        <v>6.0</v>
      </c>
      <c r="D103" s="1">
        <v>2.0</v>
      </c>
      <c r="E103" s="1">
        <v>0.333333</v>
      </c>
      <c r="F103" s="1">
        <v>3.0</v>
      </c>
      <c r="G103" s="1">
        <v>-1.153959</v>
      </c>
      <c r="H103" s="1">
        <v>100.0</v>
      </c>
      <c r="I103" s="1">
        <v>0.0</v>
      </c>
      <c r="J103" s="1">
        <v>0.0</v>
      </c>
      <c r="K103" s="1">
        <v>94.391883</v>
      </c>
      <c r="L103" s="1" t="s">
        <v>132</v>
      </c>
    </row>
    <row r="104">
      <c r="A104" s="1" t="s">
        <v>296</v>
      </c>
      <c r="B104" s="1">
        <v>-16.526444</v>
      </c>
      <c r="C104" s="1">
        <v>7.0</v>
      </c>
      <c r="D104" s="1">
        <v>3.0</v>
      </c>
      <c r="E104" s="1">
        <v>0.428571</v>
      </c>
      <c r="F104" s="1">
        <v>3.0</v>
      </c>
      <c r="G104" s="1">
        <v>-1.370961</v>
      </c>
      <c r="H104" s="1">
        <v>100.0</v>
      </c>
      <c r="I104" s="1">
        <v>0.0</v>
      </c>
      <c r="J104" s="1">
        <v>0.0</v>
      </c>
      <c r="K104" s="1">
        <v>95.531166</v>
      </c>
      <c r="L104" s="1" t="s">
        <v>135</v>
      </c>
    </row>
    <row r="105">
      <c r="A105" s="1" t="s">
        <v>506</v>
      </c>
      <c r="B105" s="1">
        <v>-15.26509</v>
      </c>
      <c r="C105" s="1">
        <v>12.0</v>
      </c>
      <c r="D105" s="1">
        <v>4.0</v>
      </c>
      <c r="E105" s="1">
        <v>0.25</v>
      </c>
      <c r="F105" s="1">
        <v>3.0</v>
      </c>
      <c r="G105" s="1">
        <v>-1.724141</v>
      </c>
      <c r="H105" s="1">
        <v>100.0</v>
      </c>
      <c r="I105" s="1">
        <v>0.0</v>
      </c>
      <c r="J105" s="1">
        <v>0.0</v>
      </c>
      <c r="K105" s="1">
        <v>102.260769</v>
      </c>
      <c r="L105" s="1" t="s">
        <v>507</v>
      </c>
    </row>
    <row r="106">
      <c r="A106" s="1" t="s">
        <v>213</v>
      </c>
      <c r="B106" s="1">
        <v>-15.040718</v>
      </c>
      <c r="C106" s="1">
        <v>6.0</v>
      </c>
      <c r="D106" s="1">
        <v>3.0</v>
      </c>
      <c r="E106" s="1">
        <v>0.333333</v>
      </c>
      <c r="F106" s="1">
        <v>2.0</v>
      </c>
      <c r="G106" s="1">
        <v>-1.138986</v>
      </c>
      <c r="H106" s="1">
        <v>100.0</v>
      </c>
      <c r="I106" s="1">
        <v>0.0</v>
      </c>
      <c r="J106" s="1">
        <v>0.0</v>
      </c>
      <c r="K106" s="1">
        <v>95.153629</v>
      </c>
      <c r="L106" s="1" t="s">
        <v>40</v>
      </c>
    </row>
    <row r="107">
      <c r="A107" s="1" t="s">
        <v>508</v>
      </c>
      <c r="B107" s="1">
        <v>-15.34782</v>
      </c>
      <c r="C107" s="1">
        <v>10.0</v>
      </c>
      <c r="D107" s="1">
        <v>2.0</v>
      </c>
      <c r="E107" s="1">
        <v>0.3</v>
      </c>
      <c r="F107" s="1">
        <v>2.0</v>
      </c>
      <c r="G107" s="1">
        <v>-0.762442</v>
      </c>
      <c r="H107" s="1">
        <v>100.0</v>
      </c>
      <c r="I107" s="1">
        <v>0.0</v>
      </c>
      <c r="J107" s="1">
        <v>0.0</v>
      </c>
      <c r="K107" s="1">
        <v>98.189738</v>
      </c>
      <c r="L107" s="1" t="s">
        <v>509</v>
      </c>
    </row>
    <row r="108">
      <c r="A108" s="1" t="s">
        <v>932</v>
      </c>
      <c r="B108" s="1">
        <v>-15.00123</v>
      </c>
      <c r="C108" s="1">
        <v>9.0</v>
      </c>
      <c r="D108" s="1">
        <v>4.0</v>
      </c>
      <c r="E108" s="1">
        <v>0.333333</v>
      </c>
      <c r="F108" s="1">
        <v>2.0</v>
      </c>
      <c r="G108" s="1">
        <v>-0.988256</v>
      </c>
      <c r="H108" s="1">
        <v>100.0</v>
      </c>
      <c r="I108" s="1">
        <v>0.0</v>
      </c>
      <c r="J108" s="1">
        <v>0.0</v>
      </c>
      <c r="K108" s="1">
        <v>99.343847</v>
      </c>
      <c r="L108" s="1" t="s">
        <v>933</v>
      </c>
    </row>
    <row r="109">
      <c r="A109" s="1" t="s">
        <v>297</v>
      </c>
      <c r="B109" s="1">
        <v>-15.442965</v>
      </c>
      <c r="C109" s="1">
        <v>7.0</v>
      </c>
      <c r="D109" s="1">
        <v>3.0</v>
      </c>
      <c r="E109" s="1">
        <v>0.285714</v>
      </c>
      <c r="F109" s="1">
        <v>2.0</v>
      </c>
      <c r="G109" s="1">
        <v>-0.995888</v>
      </c>
      <c r="H109" s="1">
        <v>100.0</v>
      </c>
      <c r="I109" s="1">
        <v>0.0</v>
      </c>
      <c r="J109" s="1">
        <v>0.0</v>
      </c>
      <c r="K109" s="1">
        <v>95.846861</v>
      </c>
      <c r="L109" s="1" t="s">
        <v>138</v>
      </c>
    </row>
    <row r="110">
      <c r="A110" s="1" t="s">
        <v>298</v>
      </c>
      <c r="B110" s="1">
        <v>-15.442965</v>
      </c>
      <c r="C110" s="1">
        <v>7.0</v>
      </c>
      <c r="D110" s="1">
        <v>3.0</v>
      </c>
      <c r="E110" s="1">
        <v>0.285714</v>
      </c>
      <c r="F110" s="1">
        <v>2.0</v>
      </c>
      <c r="G110" s="1">
        <v>-0.995888</v>
      </c>
      <c r="H110" s="1">
        <v>100.0</v>
      </c>
      <c r="I110" s="1">
        <v>0.0</v>
      </c>
      <c r="J110" s="1">
        <v>0.0</v>
      </c>
      <c r="K110" s="1">
        <v>95.846861</v>
      </c>
      <c r="L110" s="1" t="s">
        <v>299</v>
      </c>
    </row>
    <row r="111">
      <c r="A111" s="1" t="s">
        <v>300</v>
      </c>
      <c r="B111" s="1">
        <v>-16.187871</v>
      </c>
      <c r="C111" s="1">
        <v>8.0</v>
      </c>
      <c r="D111" s="1">
        <v>2.0</v>
      </c>
      <c r="E111" s="1">
        <v>0.25</v>
      </c>
      <c r="F111" s="1">
        <v>2.0</v>
      </c>
      <c r="G111" s="1">
        <v>-1.664296</v>
      </c>
      <c r="H111" s="1">
        <v>100.0</v>
      </c>
      <c r="I111" s="1">
        <v>0.0</v>
      </c>
      <c r="J111" s="1">
        <v>0.0</v>
      </c>
      <c r="K111" s="1">
        <v>94.397833</v>
      </c>
      <c r="L111" s="1" t="s">
        <v>301</v>
      </c>
    </row>
    <row r="112">
      <c r="A112" s="1" t="s">
        <v>302</v>
      </c>
      <c r="B112" s="1">
        <v>-15.122502</v>
      </c>
      <c r="C112" s="1">
        <v>9.0</v>
      </c>
      <c r="D112" s="1">
        <v>1.0</v>
      </c>
      <c r="E112" s="1">
        <v>0.333333</v>
      </c>
      <c r="F112" s="1">
        <v>2.0</v>
      </c>
      <c r="G112" s="1">
        <v>-1.2518</v>
      </c>
      <c r="H112" s="1">
        <v>100.0</v>
      </c>
      <c r="I112" s="1">
        <v>0.0</v>
      </c>
      <c r="J112" s="1">
        <v>0.0</v>
      </c>
      <c r="K112" s="1">
        <v>95.959031</v>
      </c>
      <c r="L112" s="1" t="s">
        <v>303</v>
      </c>
    </row>
    <row r="113">
      <c r="A113" s="1" t="s">
        <v>510</v>
      </c>
      <c r="B113" s="1">
        <v>-15.348449</v>
      </c>
      <c r="C113" s="1">
        <v>9.0</v>
      </c>
      <c r="D113" s="1">
        <v>2.0</v>
      </c>
      <c r="E113" s="1">
        <v>0.333333</v>
      </c>
      <c r="F113" s="1">
        <v>3.0</v>
      </c>
      <c r="G113" s="1">
        <v>-0.898482</v>
      </c>
      <c r="H113" s="1">
        <v>100.0</v>
      </c>
      <c r="I113" s="1">
        <v>0.0</v>
      </c>
      <c r="J113" s="1">
        <v>0.0</v>
      </c>
      <c r="K113" s="1">
        <v>98.086402</v>
      </c>
      <c r="L113" s="1" t="s">
        <v>511</v>
      </c>
    </row>
    <row r="114">
      <c r="A114" s="1" t="s">
        <v>214</v>
      </c>
      <c r="B114" s="1">
        <v>-15.260381</v>
      </c>
      <c r="C114" s="1">
        <v>8.0</v>
      </c>
      <c r="D114" s="1">
        <v>3.0</v>
      </c>
      <c r="E114" s="1">
        <v>0.25</v>
      </c>
      <c r="F114" s="1">
        <v>3.0</v>
      </c>
      <c r="G114" s="1">
        <v>-1.428861</v>
      </c>
      <c r="H114" s="1">
        <v>100.0</v>
      </c>
      <c r="I114" s="1">
        <v>0.0</v>
      </c>
      <c r="J114" s="1">
        <v>0.0</v>
      </c>
      <c r="K114" s="1">
        <v>97.560758</v>
      </c>
      <c r="L114" s="1" t="s">
        <v>44</v>
      </c>
    </row>
    <row r="115">
      <c r="A115" s="1" t="s">
        <v>512</v>
      </c>
      <c r="B115" s="1">
        <v>-15.025488</v>
      </c>
      <c r="C115" s="1">
        <v>7.0</v>
      </c>
      <c r="D115" s="1">
        <v>2.0</v>
      </c>
      <c r="E115" s="1">
        <v>0.285714</v>
      </c>
      <c r="F115" s="1">
        <v>2.0</v>
      </c>
      <c r="G115" s="1">
        <v>-0.824596</v>
      </c>
      <c r="H115" s="1">
        <v>100.0</v>
      </c>
      <c r="I115" s="1">
        <v>0.0</v>
      </c>
      <c r="J115" s="1">
        <v>0.0</v>
      </c>
      <c r="K115" s="1">
        <v>95.43563</v>
      </c>
      <c r="L115" s="1" t="s">
        <v>513</v>
      </c>
    </row>
    <row r="116">
      <c r="A116" s="1" t="s">
        <v>934</v>
      </c>
      <c r="B116" s="1">
        <v>-15.938727</v>
      </c>
      <c r="C116" s="1">
        <v>8.0</v>
      </c>
      <c r="D116" s="1">
        <v>1.0</v>
      </c>
      <c r="E116" s="1">
        <v>0.25</v>
      </c>
      <c r="F116" s="1">
        <v>2.0</v>
      </c>
      <c r="G116" s="1">
        <v>-0.174925</v>
      </c>
      <c r="H116" s="1">
        <v>100.0</v>
      </c>
      <c r="I116" s="1">
        <v>0.0</v>
      </c>
      <c r="J116" s="1">
        <v>0.0</v>
      </c>
      <c r="K116" s="1">
        <v>95.136348</v>
      </c>
      <c r="L116" s="1" t="s">
        <v>935</v>
      </c>
    </row>
    <row r="117">
      <c r="A117" s="1" t="s">
        <v>514</v>
      </c>
      <c r="B117" s="1">
        <v>-15.791781</v>
      </c>
      <c r="C117" s="1">
        <v>8.0</v>
      </c>
      <c r="D117" s="1">
        <v>3.0</v>
      </c>
      <c r="E117" s="1">
        <v>0.25</v>
      </c>
      <c r="F117" s="1">
        <v>2.0</v>
      </c>
      <c r="G117" s="1">
        <v>-0.755884</v>
      </c>
      <c r="H117" s="1">
        <v>100.0</v>
      </c>
      <c r="I117" s="1">
        <v>0.0</v>
      </c>
      <c r="J117" s="1">
        <v>0.0</v>
      </c>
      <c r="K117" s="1">
        <v>96.702335</v>
      </c>
      <c r="L117" s="1" t="s">
        <v>515</v>
      </c>
    </row>
    <row r="118">
      <c r="A118" s="1" t="s">
        <v>516</v>
      </c>
      <c r="B118" s="1">
        <v>-15.031921</v>
      </c>
      <c r="C118" s="1">
        <v>8.0</v>
      </c>
      <c r="D118" s="1">
        <v>2.0</v>
      </c>
      <c r="E118" s="1">
        <v>0.25</v>
      </c>
      <c r="F118" s="1">
        <v>2.0</v>
      </c>
      <c r="G118" s="1">
        <v>-1.229831</v>
      </c>
      <c r="H118" s="1">
        <v>100.0</v>
      </c>
      <c r="I118" s="1">
        <v>0.0</v>
      </c>
      <c r="J118" s="1">
        <v>0.0</v>
      </c>
      <c r="K118" s="1">
        <v>95.988248</v>
      </c>
      <c r="L118" s="1" t="s">
        <v>517</v>
      </c>
    </row>
    <row r="119">
      <c r="A119" s="1" t="s">
        <v>518</v>
      </c>
      <c r="B119" s="1">
        <v>-15.408612</v>
      </c>
      <c r="C119" s="1">
        <v>7.0</v>
      </c>
      <c r="D119" s="1">
        <v>2.0</v>
      </c>
      <c r="E119" s="1">
        <v>0.285714</v>
      </c>
      <c r="F119" s="1">
        <v>2.0</v>
      </c>
      <c r="G119" s="1">
        <v>-0.850939</v>
      </c>
      <c r="H119" s="1">
        <v>100.0</v>
      </c>
      <c r="I119" s="1">
        <v>0.0</v>
      </c>
      <c r="J119" s="1">
        <v>0.0</v>
      </c>
      <c r="K119" s="1">
        <v>95.026163</v>
      </c>
      <c r="L119" s="1" t="s">
        <v>519</v>
      </c>
    </row>
    <row r="120">
      <c r="A120" s="1" t="s">
        <v>936</v>
      </c>
      <c r="B120" s="1">
        <v>-15.860614</v>
      </c>
      <c r="C120" s="1">
        <v>10.0</v>
      </c>
      <c r="D120" s="1">
        <v>4.0</v>
      </c>
      <c r="E120" s="1">
        <v>0.3</v>
      </c>
      <c r="F120" s="1">
        <v>2.0</v>
      </c>
      <c r="G120" s="1">
        <v>-1.47230399999999</v>
      </c>
      <c r="H120" s="1">
        <v>100.0</v>
      </c>
      <c r="I120" s="1">
        <v>0.0</v>
      </c>
      <c r="J120" s="1">
        <v>0.0</v>
      </c>
      <c r="K120" s="1">
        <v>98.967082</v>
      </c>
      <c r="L120" s="1" t="s">
        <v>937</v>
      </c>
    </row>
    <row r="121">
      <c r="A121" s="1" t="s">
        <v>938</v>
      </c>
      <c r="B121" s="1">
        <v>-15.843518</v>
      </c>
      <c r="C121" s="1">
        <v>6.0</v>
      </c>
      <c r="D121" s="1">
        <v>3.0</v>
      </c>
      <c r="E121" s="1">
        <v>0.333333</v>
      </c>
      <c r="F121" s="1">
        <v>2.0</v>
      </c>
      <c r="G121" s="1">
        <v>-0.907249</v>
      </c>
      <c r="H121" s="1">
        <v>100.0</v>
      </c>
      <c r="I121" s="1">
        <v>0.0</v>
      </c>
      <c r="J121" s="1">
        <v>0.0</v>
      </c>
      <c r="K121" s="1">
        <v>94.582566</v>
      </c>
      <c r="L121" s="1" t="s">
        <v>939</v>
      </c>
    </row>
    <row r="122">
      <c r="A122" s="1" t="s">
        <v>304</v>
      </c>
      <c r="B122" s="1">
        <v>-16.909101</v>
      </c>
      <c r="C122" s="1">
        <v>8.0</v>
      </c>
      <c r="D122" s="1">
        <v>3.0</v>
      </c>
      <c r="E122" s="1">
        <v>0.5</v>
      </c>
      <c r="F122" s="1">
        <v>2.0</v>
      </c>
      <c r="G122" s="1">
        <v>-1.107364</v>
      </c>
      <c r="H122" s="1">
        <v>100.0</v>
      </c>
      <c r="I122" s="1">
        <v>0.0</v>
      </c>
      <c r="J122" s="1">
        <v>0.0</v>
      </c>
      <c r="K122" s="1">
        <v>95.483535</v>
      </c>
      <c r="L122" s="1" t="s">
        <v>305</v>
      </c>
    </row>
    <row r="123">
      <c r="A123" s="1" t="s">
        <v>940</v>
      </c>
      <c r="B123" s="1">
        <v>-15.895796</v>
      </c>
      <c r="C123" s="1">
        <v>7.0</v>
      </c>
      <c r="D123" s="1">
        <v>3.0</v>
      </c>
      <c r="E123" s="1">
        <v>0.285714</v>
      </c>
      <c r="F123" s="1">
        <v>2.0</v>
      </c>
      <c r="G123" s="1">
        <v>-1.042085</v>
      </c>
      <c r="H123" s="1">
        <v>100.0</v>
      </c>
      <c r="I123" s="1">
        <v>0.0</v>
      </c>
      <c r="J123" s="1">
        <v>0.0</v>
      </c>
      <c r="K123" s="1">
        <v>95.347833</v>
      </c>
      <c r="L123" s="1" t="s">
        <v>941</v>
      </c>
    </row>
    <row r="124">
      <c r="A124" s="1" t="s">
        <v>520</v>
      </c>
      <c r="B124" s="1">
        <v>-15.175735</v>
      </c>
      <c r="C124" s="1">
        <v>9.0</v>
      </c>
      <c r="D124" s="1">
        <v>4.0</v>
      </c>
      <c r="E124" s="1">
        <v>0.333333</v>
      </c>
      <c r="F124" s="1">
        <v>2.0</v>
      </c>
      <c r="G124" s="1">
        <v>-1.041475</v>
      </c>
      <c r="H124" s="1">
        <v>100.0</v>
      </c>
      <c r="I124" s="1">
        <v>0.0</v>
      </c>
      <c r="J124" s="1">
        <v>0.0</v>
      </c>
      <c r="K124" s="1">
        <v>99.116123</v>
      </c>
      <c r="L124" s="1" t="s">
        <v>521</v>
      </c>
    </row>
    <row r="125">
      <c r="A125" s="1" t="s">
        <v>942</v>
      </c>
      <c r="B125" s="1">
        <v>-17.273811</v>
      </c>
      <c r="C125" s="1">
        <v>7.0</v>
      </c>
      <c r="D125" s="1">
        <v>3.0</v>
      </c>
      <c r="E125" s="1">
        <v>0.285714</v>
      </c>
      <c r="F125" s="1">
        <v>2.0</v>
      </c>
      <c r="G125" s="1">
        <v>-0.836087999999999</v>
      </c>
      <c r="H125" s="1">
        <v>100.0</v>
      </c>
      <c r="I125" s="1">
        <v>0.0</v>
      </c>
      <c r="J125" s="1">
        <v>0.0</v>
      </c>
      <c r="K125" s="1">
        <v>94.175815</v>
      </c>
      <c r="L125" s="1" t="s">
        <v>943</v>
      </c>
    </row>
    <row r="126">
      <c r="A126" s="1" t="s">
        <v>215</v>
      </c>
      <c r="B126" s="1">
        <v>-16.747691</v>
      </c>
      <c r="C126" s="1">
        <v>10.0</v>
      </c>
      <c r="D126" s="1">
        <v>4.0</v>
      </c>
      <c r="E126" s="1">
        <v>0.4</v>
      </c>
      <c r="F126" s="1">
        <v>2.0</v>
      </c>
      <c r="G126" s="1">
        <v>-1.533959</v>
      </c>
      <c r="H126" s="1">
        <v>100.0</v>
      </c>
      <c r="I126" s="1">
        <v>0.0</v>
      </c>
      <c r="J126" s="1">
        <v>0.0</v>
      </c>
      <c r="K126" s="1">
        <v>98.11835</v>
      </c>
      <c r="L126" s="1" t="s">
        <v>216</v>
      </c>
    </row>
    <row r="127">
      <c r="A127" s="1" t="s">
        <v>217</v>
      </c>
      <c r="B127" s="1">
        <v>-15.251888</v>
      </c>
      <c r="C127" s="1">
        <v>10.0</v>
      </c>
      <c r="D127" s="1">
        <v>4.0</v>
      </c>
      <c r="E127" s="1">
        <v>0.4</v>
      </c>
      <c r="F127" s="1">
        <v>2.0</v>
      </c>
      <c r="G127" s="1">
        <v>-0.922495</v>
      </c>
      <c r="H127" s="1">
        <v>100.0</v>
      </c>
      <c r="I127" s="1">
        <v>0.0</v>
      </c>
      <c r="J127" s="1">
        <v>0.0</v>
      </c>
      <c r="K127" s="1">
        <v>100.225617</v>
      </c>
      <c r="L127" s="1" t="s">
        <v>218</v>
      </c>
    </row>
    <row r="128">
      <c r="A128" s="1" t="s">
        <v>219</v>
      </c>
      <c r="B128" s="1">
        <v>-15.933583</v>
      </c>
      <c r="C128" s="1">
        <v>10.0</v>
      </c>
      <c r="D128" s="1">
        <v>4.0</v>
      </c>
      <c r="E128" s="1">
        <v>0.4</v>
      </c>
      <c r="F128" s="1">
        <v>3.0</v>
      </c>
      <c r="G128" s="1">
        <v>-0.861401</v>
      </c>
      <c r="H128" s="1">
        <v>100.0</v>
      </c>
      <c r="I128" s="1">
        <v>0.0</v>
      </c>
      <c r="J128" s="1">
        <v>0.0</v>
      </c>
      <c r="K128" s="1">
        <v>100.605016</v>
      </c>
      <c r="L128" s="1" t="s">
        <v>220</v>
      </c>
    </row>
    <row r="129">
      <c r="A129" s="1" t="s">
        <v>306</v>
      </c>
      <c r="B129" s="1">
        <v>-15.785852</v>
      </c>
      <c r="C129" s="1">
        <v>7.0</v>
      </c>
      <c r="D129" s="1">
        <v>5.0</v>
      </c>
      <c r="E129" s="1">
        <v>0.285714</v>
      </c>
      <c r="F129" s="1">
        <v>2.0</v>
      </c>
      <c r="G129" s="1">
        <v>-0.799353999999999</v>
      </c>
      <c r="H129" s="1">
        <v>100.0</v>
      </c>
      <c r="I129" s="1">
        <v>0.0</v>
      </c>
      <c r="J129" s="1">
        <v>0.0</v>
      </c>
      <c r="K129" s="1">
        <v>97.700508</v>
      </c>
      <c r="L129" s="1" t="s">
        <v>307</v>
      </c>
    </row>
    <row r="130">
      <c r="A130" s="1" t="s">
        <v>308</v>
      </c>
      <c r="B130" s="1">
        <v>-15.155078</v>
      </c>
      <c r="C130" s="1">
        <v>8.0</v>
      </c>
      <c r="D130" s="1">
        <v>2.0</v>
      </c>
      <c r="E130" s="1">
        <v>0.25</v>
      </c>
      <c r="F130" s="1">
        <v>2.0</v>
      </c>
      <c r="G130" s="1">
        <v>-0.394031</v>
      </c>
      <c r="H130" s="1">
        <v>100.0</v>
      </c>
      <c r="I130" s="1">
        <v>0.0</v>
      </c>
      <c r="J130" s="1">
        <v>0.0</v>
      </c>
      <c r="K130" s="1">
        <v>96.700891</v>
      </c>
      <c r="L130" s="1" t="s">
        <v>141</v>
      </c>
    </row>
    <row r="131">
      <c r="A131" s="1" t="s">
        <v>944</v>
      </c>
      <c r="B131" s="1">
        <v>-15.995015</v>
      </c>
      <c r="C131" s="1">
        <v>9.0</v>
      </c>
      <c r="D131" s="1">
        <v>4.0</v>
      </c>
      <c r="E131" s="1">
        <v>0.333333</v>
      </c>
      <c r="F131" s="1">
        <v>3.0</v>
      </c>
      <c r="G131" s="1">
        <v>-0.936516</v>
      </c>
      <c r="H131" s="1">
        <v>100.0</v>
      </c>
      <c r="I131" s="1">
        <v>0.0</v>
      </c>
      <c r="J131" s="1">
        <v>0.0</v>
      </c>
      <c r="K131" s="1">
        <v>99.401802</v>
      </c>
      <c r="L131" s="1" t="s">
        <v>945</v>
      </c>
    </row>
    <row r="132">
      <c r="A132" s="1" t="s">
        <v>946</v>
      </c>
      <c r="B132" s="1">
        <v>-15.980019</v>
      </c>
      <c r="C132" s="1">
        <v>10.0</v>
      </c>
      <c r="D132" s="1">
        <v>3.0</v>
      </c>
      <c r="E132" s="1">
        <v>0.3</v>
      </c>
      <c r="F132" s="1">
        <v>2.0</v>
      </c>
      <c r="G132" s="1">
        <v>-0.742691</v>
      </c>
      <c r="H132" s="1">
        <v>100.0</v>
      </c>
      <c r="I132" s="1">
        <v>0.0</v>
      </c>
      <c r="J132" s="1">
        <v>0.0</v>
      </c>
      <c r="K132" s="1">
        <v>98.57729</v>
      </c>
      <c r="L132" s="1" t="s">
        <v>947</v>
      </c>
    </row>
    <row r="133">
      <c r="A133" s="1" t="s">
        <v>309</v>
      </c>
      <c r="B133" s="1">
        <v>-15.473368</v>
      </c>
      <c r="C133" s="1">
        <v>8.0</v>
      </c>
      <c r="D133" s="1">
        <v>2.0</v>
      </c>
      <c r="E133" s="1">
        <v>0.375</v>
      </c>
      <c r="F133" s="1">
        <v>2.0</v>
      </c>
      <c r="G133" s="1">
        <v>-0.972362</v>
      </c>
      <c r="H133" s="1">
        <v>100.0</v>
      </c>
      <c r="I133" s="1">
        <v>0.0</v>
      </c>
      <c r="J133" s="1">
        <v>0.0</v>
      </c>
      <c r="K133" s="1">
        <v>95.92927</v>
      </c>
      <c r="L133" s="1" t="s">
        <v>144</v>
      </c>
    </row>
    <row r="134">
      <c r="A134" s="1" t="s">
        <v>522</v>
      </c>
      <c r="B134" s="1">
        <v>-16.989951</v>
      </c>
      <c r="C134" s="1">
        <v>11.0</v>
      </c>
      <c r="D134" s="1">
        <v>2.0</v>
      </c>
      <c r="E134" s="1">
        <v>0.363636</v>
      </c>
      <c r="F134" s="1">
        <v>3.0</v>
      </c>
      <c r="G134" s="1">
        <v>-1.466325</v>
      </c>
      <c r="H134" s="1">
        <v>100.0</v>
      </c>
      <c r="I134" s="1">
        <v>0.0</v>
      </c>
      <c r="J134" s="1">
        <v>0.0</v>
      </c>
      <c r="K134" s="1">
        <v>97.90736</v>
      </c>
      <c r="L134" s="1" t="s">
        <v>523</v>
      </c>
    </row>
    <row r="135">
      <c r="A135" s="1" t="s">
        <v>948</v>
      </c>
      <c r="B135" s="1">
        <v>-15.786352</v>
      </c>
      <c r="C135" s="1">
        <v>7.0</v>
      </c>
      <c r="D135" s="1">
        <v>4.0</v>
      </c>
      <c r="E135" s="1">
        <v>0.285714</v>
      </c>
      <c r="F135" s="1">
        <v>3.0</v>
      </c>
      <c r="G135" s="1">
        <v>-1.391272</v>
      </c>
      <c r="H135" s="1">
        <v>100.0</v>
      </c>
      <c r="I135" s="1">
        <v>0.0</v>
      </c>
      <c r="J135" s="1">
        <v>0.0</v>
      </c>
      <c r="K135" s="1">
        <v>97.10809</v>
      </c>
      <c r="L135" s="1" t="s">
        <v>949</v>
      </c>
    </row>
    <row r="136">
      <c r="A136" s="1" t="s">
        <v>950</v>
      </c>
      <c r="B136" s="1">
        <v>-15.195113</v>
      </c>
      <c r="C136" s="1">
        <v>8.0</v>
      </c>
      <c r="D136" s="1">
        <v>3.0</v>
      </c>
      <c r="E136" s="1">
        <v>0.25</v>
      </c>
      <c r="F136" s="1">
        <v>2.0</v>
      </c>
      <c r="G136" s="1">
        <v>-1.197714</v>
      </c>
      <c r="H136" s="1">
        <v>100.0</v>
      </c>
      <c r="I136" s="1">
        <v>0.0</v>
      </c>
      <c r="J136" s="1">
        <v>0.0</v>
      </c>
      <c r="K136" s="1">
        <v>96.857173</v>
      </c>
      <c r="L136" s="1" t="s">
        <v>951</v>
      </c>
    </row>
    <row r="137">
      <c r="A137" s="1" t="s">
        <v>524</v>
      </c>
      <c r="B137" s="1">
        <v>-16.839472</v>
      </c>
      <c r="C137" s="1">
        <v>8.0</v>
      </c>
      <c r="D137" s="1">
        <v>3.0</v>
      </c>
      <c r="E137" s="1">
        <v>0.25</v>
      </c>
      <c r="F137" s="1">
        <v>2.0</v>
      </c>
      <c r="G137" s="1">
        <v>-0.470774</v>
      </c>
      <c r="H137" s="1">
        <v>100.0</v>
      </c>
      <c r="I137" s="1">
        <v>0.0</v>
      </c>
      <c r="J137" s="1">
        <v>0.0</v>
      </c>
      <c r="K137" s="1">
        <v>95.939754</v>
      </c>
      <c r="L137" s="1" t="s">
        <v>525</v>
      </c>
    </row>
    <row r="138">
      <c r="A138" s="1" t="s">
        <v>221</v>
      </c>
      <c r="B138" s="1">
        <v>-15.3418</v>
      </c>
      <c r="C138" s="1">
        <v>9.0</v>
      </c>
      <c r="D138" s="1">
        <v>4.0</v>
      </c>
      <c r="E138" s="1">
        <v>0.333333</v>
      </c>
      <c r="F138" s="1">
        <v>2.0</v>
      </c>
      <c r="G138" s="1">
        <v>-1.486109</v>
      </c>
      <c r="H138" s="1">
        <v>100.0</v>
      </c>
      <c r="I138" s="1">
        <v>0.0</v>
      </c>
      <c r="J138" s="1">
        <v>0.0</v>
      </c>
      <c r="K138" s="1">
        <v>98.505424</v>
      </c>
      <c r="L138" s="1" t="s">
        <v>222</v>
      </c>
    </row>
    <row r="139">
      <c r="A139" s="1" t="s">
        <v>526</v>
      </c>
      <c r="B139" s="1">
        <v>-15.204053</v>
      </c>
      <c r="C139" s="1">
        <v>9.0</v>
      </c>
      <c r="D139" s="1">
        <v>3.0</v>
      </c>
      <c r="E139" s="1">
        <v>0.444444</v>
      </c>
      <c r="F139" s="1">
        <v>2.0</v>
      </c>
      <c r="G139" s="1">
        <v>-1.136467</v>
      </c>
      <c r="H139" s="1">
        <v>100.0</v>
      </c>
      <c r="I139" s="1">
        <v>0.0</v>
      </c>
      <c r="J139" s="1">
        <v>0.0</v>
      </c>
      <c r="K139" s="1">
        <v>98.103924</v>
      </c>
      <c r="L139" s="1" t="s">
        <v>527</v>
      </c>
    </row>
    <row r="140">
      <c r="A140" s="1" t="s">
        <v>528</v>
      </c>
      <c r="B140" s="1">
        <v>-15.204053</v>
      </c>
      <c r="C140" s="1">
        <v>9.0</v>
      </c>
      <c r="D140" s="1">
        <v>3.0</v>
      </c>
      <c r="E140" s="1">
        <v>0.444444</v>
      </c>
      <c r="F140" s="1">
        <v>2.0</v>
      </c>
      <c r="G140" s="1">
        <v>-1.136467</v>
      </c>
      <c r="H140" s="1">
        <v>100.0</v>
      </c>
      <c r="I140" s="1">
        <v>0.0</v>
      </c>
      <c r="J140" s="1">
        <v>0.0</v>
      </c>
      <c r="K140" s="1">
        <v>98.103924</v>
      </c>
      <c r="L140" s="1" t="s">
        <v>529</v>
      </c>
    </row>
    <row r="141">
      <c r="A141" s="1" t="s">
        <v>530</v>
      </c>
      <c r="B141" s="1">
        <v>-15.460704</v>
      </c>
      <c r="C141" s="1">
        <v>7.0</v>
      </c>
      <c r="D141" s="1">
        <v>2.0</v>
      </c>
      <c r="E141" s="1">
        <v>0.428571</v>
      </c>
      <c r="F141" s="1">
        <v>2.0</v>
      </c>
      <c r="G141" s="1">
        <v>-0.528978</v>
      </c>
      <c r="H141" s="1">
        <v>100.0</v>
      </c>
      <c r="I141" s="1">
        <v>0.0</v>
      </c>
      <c r="J141" s="1">
        <v>0.0</v>
      </c>
      <c r="K141" s="1">
        <v>95.438889</v>
      </c>
      <c r="L141" s="1" t="s">
        <v>531</v>
      </c>
    </row>
    <row r="142">
      <c r="A142" s="1" t="s">
        <v>223</v>
      </c>
      <c r="B142" s="1">
        <v>-16.481134</v>
      </c>
      <c r="C142" s="1">
        <v>7.0</v>
      </c>
      <c r="D142" s="1">
        <v>3.0</v>
      </c>
      <c r="E142" s="1">
        <v>0.285714</v>
      </c>
      <c r="F142" s="1">
        <v>2.0</v>
      </c>
      <c r="G142" s="1">
        <v>-1.079586</v>
      </c>
      <c r="H142" s="1">
        <v>100.0</v>
      </c>
      <c r="I142" s="1">
        <v>0.0</v>
      </c>
      <c r="J142" s="1">
        <v>0.0</v>
      </c>
      <c r="K142" s="1">
        <v>94.724994</v>
      </c>
      <c r="L142" s="1" t="s">
        <v>49</v>
      </c>
    </row>
    <row r="143">
      <c r="A143" s="1" t="s">
        <v>310</v>
      </c>
      <c r="B143" s="1">
        <v>-15.32929</v>
      </c>
      <c r="C143" s="1">
        <v>9.0</v>
      </c>
      <c r="D143" s="1">
        <v>2.0</v>
      </c>
      <c r="E143" s="1">
        <v>0.444444</v>
      </c>
      <c r="F143" s="1">
        <v>3.0</v>
      </c>
      <c r="G143" s="1">
        <v>-1.169854</v>
      </c>
      <c r="H143" s="1">
        <v>100.0</v>
      </c>
      <c r="I143" s="1">
        <v>0.0</v>
      </c>
      <c r="J143" s="1">
        <v>0.0</v>
      </c>
      <c r="K143" s="1">
        <v>97.9453</v>
      </c>
      <c r="L143" s="1" t="s">
        <v>147</v>
      </c>
    </row>
    <row r="144">
      <c r="A144" s="1" t="s">
        <v>311</v>
      </c>
      <c r="B144" s="1">
        <v>-17.46746</v>
      </c>
      <c r="C144" s="1">
        <v>9.0</v>
      </c>
      <c r="D144" s="1">
        <v>2.0</v>
      </c>
      <c r="E144" s="1">
        <v>0.333333</v>
      </c>
      <c r="F144" s="1">
        <v>2.0</v>
      </c>
      <c r="G144" s="1">
        <v>-0.960204</v>
      </c>
      <c r="H144" s="1">
        <v>100.0</v>
      </c>
      <c r="I144" s="1">
        <v>0.0</v>
      </c>
      <c r="J144" s="1">
        <v>0.0</v>
      </c>
      <c r="K144" s="1">
        <v>94.905669</v>
      </c>
      <c r="L144" s="1" t="s">
        <v>312</v>
      </c>
    </row>
    <row r="145">
      <c r="A145" s="1" t="s">
        <v>313</v>
      </c>
      <c r="B145" s="1">
        <v>-15.769609</v>
      </c>
      <c r="C145" s="1">
        <v>8.0</v>
      </c>
      <c r="D145" s="1">
        <v>2.0</v>
      </c>
      <c r="E145" s="1">
        <v>0.25</v>
      </c>
      <c r="F145" s="1">
        <v>2.0</v>
      </c>
      <c r="G145" s="1">
        <v>-1.998276</v>
      </c>
      <c r="H145" s="1">
        <v>100.0</v>
      </c>
      <c r="I145" s="1">
        <v>0.0</v>
      </c>
      <c r="J145" s="1">
        <v>0.0</v>
      </c>
      <c r="K145" s="1">
        <v>94.482115</v>
      </c>
      <c r="L145" s="1" t="s">
        <v>314</v>
      </c>
    </row>
    <row r="146">
      <c r="A146" s="1" t="s">
        <v>532</v>
      </c>
      <c r="B146" s="1">
        <v>-16.236242</v>
      </c>
      <c r="C146" s="1">
        <v>7.0</v>
      </c>
      <c r="D146" s="1">
        <v>2.0</v>
      </c>
      <c r="E146" s="1">
        <v>0.428571</v>
      </c>
      <c r="F146" s="1">
        <v>2.0</v>
      </c>
      <c r="G146" s="1">
        <v>-0.505698</v>
      </c>
      <c r="H146" s="1">
        <v>100.0</v>
      </c>
      <c r="I146" s="1">
        <v>0.0</v>
      </c>
      <c r="J146" s="1">
        <v>0.0</v>
      </c>
      <c r="K146" s="1">
        <v>94.686631</v>
      </c>
      <c r="L146" s="1" t="s">
        <v>533</v>
      </c>
    </row>
    <row r="147">
      <c r="A147" s="1" t="s">
        <v>315</v>
      </c>
      <c r="B147" s="1">
        <v>-16.531836</v>
      </c>
      <c r="C147" s="1">
        <v>10.0</v>
      </c>
      <c r="D147" s="1">
        <v>2.0</v>
      </c>
      <c r="E147" s="1">
        <v>0.3</v>
      </c>
      <c r="F147" s="1">
        <v>2.0</v>
      </c>
      <c r="G147" s="1">
        <v>-0.888794</v>
      </c>
      <c r="H147" s="1">
        <v>100.0</v>
      </c>
      <c r="I147" s="1">
        <v>0.0</v>
      </c>
      <c r="J147" s="1">
        <v>0.0</v>
      </c>
      <c r="K147" s="1">
        <v>96.87937</v>
      </c>
      <c r="L147" s="1" t="s">
        <v>316</v>
      </c>
    </row>
    <row r="148">
      <c r="A148" s="1" t="s">
        <v>534</v>
      </c>
      <c r="B148" s="1">
        <v>-17.325922</v>
      </c>
      <c r="C148" s="1">
        <v>8.0</v>
      </c>
      <c r="D148" s="1">
        <v>2.0</v>
      </c>
      <c r="E148" s="1">
        <v>0.25</v>
      </c>
      <c r="F148" s="1">
        <v>2.0</v>
      </c>
      <c r="G148" s="1">
        <v>-0.547214</v>
      </c>
      <c r="H148" s="1">
        <v>100.0</v>
      </c>
      <c r="I148" s="1">
        <v>0.0</v>
      </c>
      <c r="J148" s="1">
        <v>0.0</v>
      </c>
      <c r="K148" s="1">
        <v>94.376864</v>
      </c>
      <c r="L148" s="1" t="s">
        <v>535</v>
      </c>
    </row>
    <row r="149">
      <c r="A149" s="1" t="s">
        <v>536</v>
      </c>
      <c r="B149" s="1">
        <v>-15.253563</v>
      </c>
      <c r="C149" s="1">
        <v>8.0</v>
      </c>
      <c r="D149" s="1">
        <v>2.0</v>
      </c>
      <c r="E149" s="1">
        <v>0.375</v>
      </c>
      <c r="F149" s="1">
        <v>2.0</v>
      </c>
      <c r="G149" s="1">
        <v>-0.551176999999999</v>
      </c>
      <c r="H149" s="1">
        <v>100.0</v>
      </c>
      <c r="I149" s="1">
        <v>0.0</v>
      </c>
      <c r="J149" s="1">
        <v>0.0</v>
      </c>
      <c r="K149" s="1">
        <v>96.57026</v>
      </c>
      <c r="L149" s="1" t="s">
        <v>537</v>
      </c>
    </row>
    <row r="150">
      <c r="A150" s="1" t="s">
        <v>317</v>
      </c>
      <c r="B150" s="1">
        <v>-15.695983</v>
      </c>
      <c r="C150" s="1">
        <v>8.0</v>
      </c>
      <c r="D150" s="1">
        <v>3.0</v>
      </c>
      <c r="E150" s="1">
        <v>0.375</v>
      </c>
      <c r="F150" s="1">
        <v>2.0</v>
      </c>
      <c r="G150" s="1">
        <v>-0.764023</v>
      </c>
      <c r="H150" s="1">
        <v>100.0</v>
      </c>
      <c r="I150" s="1">
        <v>0.0</v>
      </c>
      <c r="J150" s="1">
        <v>0.0</v>
      </c>
      <c r="K150" s="1">
        <v>96.914994</v>
      </c>
      <c r="L150" s="1" t="s">
        <v>318</v>
      </c>
    </row>
    <row r="151">
      <c r="A151" s="1" t="s">
        <v>538</v>
      </c>
      <c r="B151" s="1">
        <v>-15.251704</v>
      </c>
      <c r="C151" s="1">
        <v>7.0</v>
      </c>
      <c r="D151" s="1">
        <v>4.0</v>
      </c>
      <c r="E151" s="1">
        <v>0.428571</v>
      </c>
      <c r="F151" s="1">
        <v>2.0</v>
      </c>
      <c r="G151" s="1">
        <v>-1.266081</v>
      </c>
      <c r="H151" s="1">
        <v>100.0</v>
      </c>
      <c r="I151" s="1">
        <v>0.0</v>
      </c>
      <c r="J151" s="1">
        <v>0.0</v>
      </c>
      <c r="K151" s="1">
        <v>96.910786</v>
      </c>
      <c r="L151" s="1" t="s">
        <v>539</v>
      </c>
    </row>
    <row r="152">
      <c r="A152" s="1" t="s">
        <v>319</v>
      </c>
      <c r="B152" s="1">
        <v>-16.574584</v>
      </c>
      <c r="C152" s="1">
        <v>6.0</v>
      </c>
      <c r="D152" s="1">
        <v>1.0</v>
      </c>
      <c r="E152" s="1">
        <v>0.333333</v>
      </c>
      <c r="F152" s="1">
        <v>2.0</v>
      </c>
      <c r="G152" s="1">
        <v>-0.53138</v>
      </c>
      <c r="H152" s="1">
        <v>100.0</v>
      </c>
      <c r="I152" s="1">
        <v>0.0</v>
      </c>
      <c r="J152" s="1">
        <v>0.0</v>
      </c>
      <c r="K152" s="1">
        <v>92.227369</v>
      </c>
      <c r="L152" s="1" t="s">
        <v>150</v>
      </c>
    </row>
    <row r="153">
      <c r="A153" s="1" t="s">
        <v>540</v>
      </c>
      <c r="B153" s="1">
        <v>-15.023619</v>
      </c>
      <c r="C153" s="1">
        <v>9.0</v>
      </c>
      <c r="D153" s="1">
        <v>5.0</v>
      </c>
      <c r="E153" s="1">
        <v>0.333333</v>
      </c>
      <c r="F153" s="1">
        <v>2.0</v>
      </c>
      <c r="G153" s="1">
        <v>-0.778283</v>
      </c>
      <c r="H153" s="1">
        <v>100.0</v>
      </c>
      <c r="I153" s="1">
        <v>0.0</v>
      </c>
      <c r="J153" s="1">
        <v>0.0</v>
      </c>
      <c r="K153" s="1">
        <v>100.531431</v>
      </c>
      <c r="L153" s="1" t="s">
        <v>541</v>
      </c>
    </row>
    <row r="154">
      <c r="A154" s="1" t="s">
        <v>542</v>
      </c>
      <c r="B154" s="1">
        <v>-16.079465</v>
      </c>
      <c r="C154" s="1">
        <v>9.0</v>
      </c>
      <c r="D154" s="1">
        <v>2.0</v>
      </c>
      <c r="E154" s="1">
        <v>0.444444</v>
      </c>
      <c r="F154" s="1">
        <v>2.0</v>
      </c>
      <c r="G154" s="1">
        <v>-0.993186</v>
      </c>
      <c r="H154" s="1">
        <v>100.0</v>
      </c>
      <c r="I154" s="1">
        <v>0.0</v>
      </c>
      <c r="J154" s="1">
        <v>0.0</v>
      </c>
      <c r="K154" s="1">
        <v>96.371793</v>
      </c>
      <c r="L154" s="1" t="s">
        <v>543</v>
      </c>
    </row>
    <row r="155">
      <c r="A155" s="1" t="s">
        <v>544</v>
      </c>
      <c r="B155" s="1">
        <v>-16.487107</v>
      </c>
      <c r="C155" s="1">
        <v>8.0</v>
      </c>
      <c r="D155" s="1">
        <v>5.0</v>
      </c>
      <c r="E155" s="1">
        <v>0.25</v>
      </c>
      <c r="F155" s="1">
        <v>2.0</v>
      </c>
      <c r="G155" s="1">
        <v>-0.272644</v>
      </c>
      <c r="H155" s="1">
        <v>100.0</v>
      </c>
      <c r="I155" s="1">
        <v>0.0</v>
      </c>
      <c r="J155" s="1">
        <v>0.0</v>
      </c>
      <c r="K155" s="1">
        <v>98.490249</v>
      </c>
      <c r="L155" s="1" t="s">
        <v>545</v>
      </c>
    </row>
    <row r="156">
      <c r="A156" s="1" t="s">
        <v>320</v>
      </c>
      <c r="B156" s="1">
        <v>-16.381515</v>
      </c>
      <c r="C156" s="1">
        <v>6.0</v>
      </c>
      <c r="D156" s="1">
        <v>3.0</v>
      </c>
      <c r="E156" s="1">
        <v>0.5</v>
      </c>
      <c r="F156" s="1">
        <v>2.0</v>
      </c>
      <c r="G156" s="1">
        <v>-0.391175999999999</v>
      </c>
      <c r="H156" s="1">
        <v>100.0</v>
      </c>
      <c r="I156" s="1">
        <v>0.0</v>
      </c>
      <c r="J156" s="1">
        <v>0.0</v>
      </c>
      <c r="K156" s="1">
        <v>94.727309</v>
      </c>
      <c r="L156" s="1" t="s">
        <v>153</v>
      </c>
    </row>
    <row r="157">
      <c r="A157" s="1" t="s">
        <v>321</v>
      </c>
      <c r="B157" s="1">
        <v>-16.381515</v>
      </c>
      <c r="C157" s="1">
        <v>6.0</v>
      </c>
      <c r="D157" s="1">
        <v>3.0</v>
      </c>
      <c r="E157" s="1">
        <v>0.5</v>
      </c>
      <c r="F157" s="1">
        <v>2.0</v>
      </c>
      <c r="G157" s="1">
        <v>-0.391175999999999</v>
      </c>
      <c r="H157" s="1">
        <v>100.0</v>
      </c>
      <c r="I157" s="1">
        <v>0.0</v>
      </c>
      <c r="J157" s="1">
        <v>0.0</v>
      </c>
      <c r="K157" s="1">
        <v>94.727309</v>
      </c>
      <c r="L157" s="1" t="s">
        <v>322</v>
      </c>
    </row>
    <row r="158">
      <c r="A158" s="1" t="s">
        <v>323</v>
      </c>
      <c r="B158" s="1">
        <v>-16.381515</v>
      </c>
      <c r="C158" s="1">
        <v>6.0</v>
      </c>
      <c r="D158" s="1">
        <v>3.0</v>
      </c>
      <c r="E158" s="1">
        <v>0.5</v>
      </c>
      <c r="F158" s="1">
        <v>2.0</v>
      </c>
      <c r="G158" s="1">
        <v>-0.391175999999999</v>
      </c>
      <c r="H158" s="1">
        <v>100.0</v>
      </c>
      <c r="I158" s="1">
        <v>0.0</v>
      </c>
      <c r="J158" s="1">
        <v>0.0</v>
      </c>
      <c r="K158" s="1">
        <v>94.727309</v>
      </c>
      <c r="L158" s="1" t="s">
        <v>324</v>
      </c>
    </row>
    <row r="159">
      <c r="A159" s="1" t="s">
        <v>325</v>
      </c>
      <c r="B159" s="1">
        <v>-16.758312</v>
      </c>
      <c r="C159" s="1">
        <v>7.0</v>
      </c>
      <c r="D159" s="1">
        <v>4.0</v>
      </c>
      <c r="E159" s="1">
        <v>0.428571</v>
      </c>
      <c r="F159" s="1">
        <v>2.0</v>
      </c>
      <c r="G159" s="1">
        <v>-1.542056</v>
      </c>
      <c r="H159" s="1">
        <v>100.0</v>
      </c>
      <c r="I159" s="1">
        <v>0.0</v>
      </c>
      <c r="J159" s="1">
        <v>0.0</v>
      </c>
      <c r="K159" s="1">
        <v>95.128203</v>
      </c>
      <c r="L159" s="1" t="s">
        <v>326</v>
      </c>
    </row>
    <row r="160">
      <c r="A160" s="1" t="s">
        <v>546</v>
      </c>
      <c r="B160" s="1">
        <v>-16.555124</v>
      </c>
      <c r="C160" s="1">
        <v>8.0</v>
      </c>
      <c r="D160" s="1">
        <v>5.0</v>
      </c>
      <c r="E160" s="1">
        <v>0.25</v>
      </c>
      <c r="F160" s="1">
        <v>2.0</v>
      </c>
      <c r="G160" s="1">
        <v>-0.655343</v>
      </c>
      <c r="H160" s="1">
        <v>100.0</v>
      </c>
      <c r="I160" s="1">
        <v>0.0</v>
      </c>
      <c r="J160" s="1">
        <v>0.0</v>
      </c>
      <c r="K160" s="1">
        <v>98.039533</v>
      </c>
      <c r="L160" s="1" t="s">
        <v>547</v>
      </c>
    </row>
    <row r="161">
      <c r="A161" s="1" t="s">
        <v>224</v>
      </c>
      <c r="B161" s="1">
        <v>-15.209335</v>
      </c>
      <c r="C161" s="1">
        <v>9.0</v>
      </c>
      <c r="D161" s="1">
        <v>3.0</v>
      </c>
      <c r="E161" s="1">
        <v>0.555556</v>
      </c>
      <c r="F161" s="1">
        <v>2.0</v>
      </c>
      <c r="G161" s="1">
        <v>-0.616797</v>
      </c>
      <c r="H161" s="1">
        <v>100.0</v>
      </c>
      <c r="I161" s="1">
        <v>0.0</v>
      </c>
      <c r="J161" s="1">
        <v>0.0</v>
      </c>
      <c r="K161" s="1">
        <v>98.729424</v>
      </c>
      <c r="L161" s="1" t="s">
        <v>53</v>
      </c>
    </row>
    <row r="162">
      <c r="A162" s="1" t="s">
        <v>548</v>
      </c>
      <c r="B162" s="1">
        <v>-16.280026</v>
      </c>
      <c r="C162" s="1">
        <v>10.0</v>
      </c>
      <c r="D162" s="1">
        <v>5.0</v>
      </c>
      <c r="E162" s="1">
        <v>0.4</v>
      </c>
      <c r="F162" s="1">
        <v>2.0</v>
      </c>
      <c r="G162" s="1">
        <v>-0.787125</v>
      </c>
      <c r="H162" s="1">
        <v>100.0</v>
      </c>
      <c r="I162" s="1">
        <v>0.0</v>
      </c>
      <c r="J162" s="1">
        <v>0.0</v>
      </c>
      <c r="K162" s="1">
        <v>100.332849</v>
      </c>
      <c r="L162" s="1" t="s">
        <v>549</v>
      </c>
    </row>
    <row r="163">
      <c r="A163" s="1" t="s">
        <v>952</v>
      </c>
      <c r="B163" s="1">
        <v>-15.627624</v>
      </c>
      <c r="C163" s="1">
        <v>11.0</v>
      </c>
      <c r="D163" s="1">
        <v>3.0</v>
      </c>
      <c r="E163" s="1">
        <v>0.272727</v>
      </c>
      <c r="F163" s="1">
        <v>2.0</v>
      </c>
      <c r="G163" s="1">
        <v>-1.090456</v>
      </c>
      <c r="H163" s="1">
        <v>100.0</v>
      </c>
      <c r="I163" s="1">
        <v>0.0</v>
      </c>
      <c r="J163" s="1">
        <v>0.0</v>
      </c>
      <c r="K163" s="1">
        <v>99.554647</v>
      </c>
      <c r="L163" s="1" t="s">
        <v>953</v>
      </c>
    </row>
    <row r="164">
      <c r="A164" s="1" t="s">
        <v>225</v>
      </c>
      <c r="B164" s="1">
        <v>-16.256898</v>
      </c>
      <c r="C164" s="1">
        <v>11.0</v>
      </c>
      <c r="D164" s="1">
        <v>4.0</v>
      </c>
      <c r="E164" s="1">
        <v>0.272727</v>
      </c>
      <c r="F164" s="1">
        <v>2.0</v>
      </c>
      <c r="G164" s="1">
        <v>-1.787076</v>
      </c>
      <c r="H164" s="1">
        <v>100.0</v>
      </c>
      <c r="I164" s="1">
        <v>0.0</v>
      </c>
      <c r="J164" s="1">
        <v>0.0</v>
      </c>
      <c r="K164" s="1">
        <v>99.228753</v>
      </c>
      <c r="L164" s="1" t="s">
        <v>226</v>
      </c>
    </row>
    <row r="165">
      <c r="A165" s="1" t="s">
        <v>550</v>
      </c>
      <c r="B165" s="1">
        <v>-15.097785</v>
      </c>
      <c r="C165" s="1">
        <v>7.0</v>
      </c>
      <c r="D165" s="1">
        <v>2.0</v>
      </c>
      <c r="E165" s="1">
        <v>0.285714</v>
      </c>
      <c r="F165" s="1">
        <v>2.0</v>
      </c>
      <c r="G165" s="1">
        <v>-0.30494</v>
      </c>
      <c r="H165" s="1">
        <v>100.0</v>
      </c>
      <c r="I165" s="1">
        <v>0.0</v>
      </c>
      <c r="J165" s="1">
        <v>0.0</v>
      </c>
      <c r="K165" s="1">
        <v>95.882989</v>
      </c>
      <c r="L165" s="1" t="s">
        <v>551</v>
      </c>
    </row>
    <row r="166">
      <c r="A166" s="1" t="s">
        <v>327</v>
      </c>
      <c r="B166" s="1">
        <v>-16.196607</v>
      </c>
      <c r="C166" s="1">
        <v>8.0</v>
      </c>
      <c r="D166" s="1">
        <v>5.0</v>
      </c>
      <c r="E166" s="1">
        <v>0.625</v>
      </c>
      <c r="F166" s="1">
        <v>3.0</v>
      </c>
      <c r="G166" s="1">
        <v>-1.08205699999999</v>
      </c>
      <c r="H166" s="1">
        <v>100.0</v>
      </c>
      <c r="I166" s="1">
        <v>0.0</v>
      </c>
      <c r="J166" s="1">
        <v>0.0</v>
      </c>
      <c r="K166" s="1">
        <v>99.346336</v>
      </c>
      <c r="L166" s="1" t="s">
        <v>156</v>
      </c>
    </row>
    <row r="167">
      <c r="A167" s="1" t="s">
        <v>954</v>
      </c>
      <c r="B167" s="1">
        <v>-15.589483</v>
      </c>
      <c r="C167" s="1">
        <v>11.0</v>
      </c>
      <c r="D167" s="1">
        <v>4.0</v>
      </c>
      <c r="E167" s="1">
        <v>0.363636</v>
      </c>
      <c r="F167" s="1">
        <v>3.0</v>
      </c>
      <c r="G167" s="1">
        <v>-1.049205</v>
      </c>
      <c r="H167" s="1">
        <v>100.0</v>
      </c>
      <c r="I167" s="1">
        <v>0.0</v>
      </c>
      <c r="J167" s="1">
        <v>0.0</v>
      </c>
      <c r="K167" s="1">
        <v>101.724948</v>
      </c>
      <c r="L167" s="1" t="s">
        <v>955</v>
      </c>
    </row>
    <row r="168">
      <c r="A168" s="1" t="s">
        <v>328</v>
      </c>
      <c r="B168" s="1">
        <v>-15.182474</v>
      </c>
      <c r="C168" s="1">
        <v>7.0</v>
      </c>
      <c r="D168" s="1">
        <v>2.0</v>
      </c>
      <c r="E168" s="1">
        <v>0.285714</v>
      </c>
      <c r="F168" s="1">
        <v>2.0</v>
      </c>
      <c r="G168" s="1">
        <v>-0.62157</v>
      </c>
      <c r="H168" s="1">
        <v>100.0</v>
      </c>
      <c r="I168" s="1">
        <v>0.0</v>
      </c>
      <c r="J168" s="1">
        <v>0.0</v>
      </c>
      <c r="K168" s="1">
        <v>95.48167</v>
      </c>
      <c r="L168" s="1" t="s">
        <v>329</v>
      </c>
    </row>
    <row r="169">
      <c r="A169" s="1" t="s">
        <v>330</v>
      </c>
      <c r="B169" s="1">
        <v>-17.250811</v>
      </c>
      <c r="C169" s="1">
        <v>11.0</v>
      </c>
      <c r="D169" s="1">
        <v>5.0</v>
      </c>
      <c r="E169" s="1">
        <v>0.272727</v>
      </c>
      <c r="F169" s="1">
        <v>2.0</v>
      </c>
      <c r="G169" s="1">
        <v>-0.713731</v>
      </c>
      <c r="H169" s="1">
        <v>100.0</v>
      </c>
      <c r="I169" s="1">
        <v>0.0</v>
      </c>
      <c r="J169" s="1">
        <v>0.0</v>
      </c>
      <c r="K169" s="1">
        <v>100.308185</v>
      </c>
      <c r="L169" s="1" t="s">
        <v>159</v>
      </c>
    </row>
    <row r="170">
      <c r="A170" s="1" t="s">
        <v>552</v>
      </c>
      <c r="B170" s="1">
        <v>-15.356335</v>
      </c>
      <c r="C170" s="1">
        <v>8.0</v>
      </c>
      <c r="D170" s="1">
        <v>5.0</v>
      </c>
      <c r="E170" s="1">
        <v>0.25</v>
      </c>
      <c r="F170" s="1">
        <v>2.0</v>
      </c>
      <c r="G170" s="1">
        <v>-1.57059099999999</v>
      </c>
      <c r="H170" s="1">
        <v>100.0</v>
      </c>
      <c r="I170" s="1">
        <v>0.0</v>
      </c>
      <c r="J170" s="1">
        <v>0.0</v>
      </c>
      <c r="K170" s="1">
        <v>98.323074</v>
      </c>
      <c r="L170" s="1" t="s">
        <v>553</v>
      </c>
    </row>
    <row r="171">
      <c r="A171" s="1" t="s">
        <v>554</v>
      </c>
      <c r="B171" s="1">
        <v>-15.652692</v>
      </c>
      <c r="C171" s="1">
        <v>9.0</v>
      </c>
      <c r="D171" s="1">
        <v>5.0</v>
      </c>
      <c r="E171" s="1">
        <v>0.333333</v>
      </c>
      <c r="F171" s="1">
        <v>2.0</v>
      </c>
      <c r="G171" s="1">
        <v>-1.198917</v>
      </c>
      <c r="H171" s="1">
        <v>100.0</v>
      </c>
      <c r="I171" s="1">
        <v>0.0</v>
      </c>
      <c r="J171" s="1">
        <v>0.0</v>
      </c>
      <c r="K171" s="1">
        <v>99.481724</v>
      </c>
      <c r="L171" s="1" t="s">
        <v>555</v>
      </c>
    </row>
    <row r="172">
      <c r="A172" s="1" t="s">
        <v>956</v>
      </c>
      <c r="B172" s="1">
        <v>-16.073073</v>
      </c>
      <c r="C172" s="1">
        <v>9.0</v>
      </c>
      <c r="D172" s="1">
        <v>4.0</v>
      </c>
      <c r="E172" s="1">
        <v>0.333333</v>
      </c>
      <c r="F172" s="1">
        <v>2.0</v>
      </c>
      <c r="G172" s="1">
        <v>-1.417971</v>
      </c>
      <c r="H172" s="1">
        <v>100.0</v>
      </c>
      <c r="I172" s="1">
        <v>0.0</v>
      </c>
      <c r="J172" s="1">
        <v>0.0</v>
      </c>
      <c r="K172" s="1">
        <v>97.842289</v>
      </c>
      <c r="L172" s="1" t="s">
        <v>957</v>
      </c>
    </row>
    <row r="173">
      <c r="A173" s="1" t="s">
        <v>331</v>
      </c>
      <c r="B173" s="1">
        <v>-15.813539</v>
      </c>
      <c r="C173" s="1">
        <v>8.0</v>
      </c>
      <c r="D173" s="1">
        <v>4.0</v>
      </c>
      <c r="E173" s="1">
        <v>0.375</v>
      </c>
      <c r="F173" s="1">
        <v>2.0</v>
      </c>
      <c r="G173" s="1">
        <v>-0.75356</v>
      </c>
      <c r="H173" s="1">
        <v>100.0</v>
      </c>
      <c r="I173" s="1">
        <v>0.0</v>
      </c>
      <c r="J173" s="1">
        <v>0.0</v>
      </c>
      <c r="K173" s="1">
        <v>97.807901</v>
      </c>
      <c r="L173" s="1" t="s">
        <v>332</v>
      </c>
    </row>
    <row r="174">
      <c r="A174" s="1" t="s">
        <v>227</v>
      </c>
      <c r="B174" s="1">
        <v>-17.376492</v>
      </c>
      <c r="C174" s="1">
        <v>6.0</v>
      </c>
      <c r="D174" s="1">
        <v>3.0</v>
      </c>
      <c r="E174" s="1">
        <v>0.333333</v>
      </c>
      <c r="F174" s="1">
        <v>2.0</v>
      </c>
      <c r="G174" s="1">
        <v>-0.775723</v>
      </c>
      <c r="H174" s="1">
        <v>100.0</v>
      </c>
      <c r="I174" s="1">
        <v>0.0</v>
      </c>
      <c r="J174" s="1">
        <v>0.0</v>
      </c>
      <c r="K174" s="1">
        <v>93.181118</v>
      </c>
      <c r="L174" s="1" t="s">
        <v>228</v>
      </c>
    </row>
    <row r="175">
      <c r="A175" s="1" t="s">
        <v>556</v>
      </c>
      <c r="B175" s="1">
        <v>-16.773883</v>
      </c>
      <c r="C175" s="1">
        <v>8.0</v>
      </c>
      <c r="D175" s="1">
        <v>2.0</v>
      </c>
      <c r="E175" s="1">
        <v>0.25</v>
      </c>
      <c r="F175" s="1">
        <v>2.0</v>
      </c>
      <c r="G175" s="1">
        <v>-0.683917</v>
      </c>
      <c r="H175" s="1">
        <v>100.0</v>
      </c>
      <c r="I175" s="1">
        <v>0.0</v>
      </c>
      <c r="J175" s="1">
        <v>0.0</v>
      </c>
      <c r="K175" s="1">
        <v>94.7922</v>
      </c>
      <c r="L175" s="1" t="s">
        <v>557</v>
      </c>
    </row>
    <row r="176">
      <c r="A176" s="1" t="s">
        <v>333</v>
      </c>
      <c r="B176" s="1">
        <v>-17.483332</v>
      </c>
      <c r="C176" s="1">
        <v>7.0</v>
      </c>
      <c r="D176" s="1">
        <v>2.0</v>
      </c>
      <c r="E176" s="1">
        <v>0.428571</v>
      </c>
      <c r="F176" s="1">
        <v>2.0</v>
      </c>
      <c r="G176" s="1">
        <v>-0.934603</v>
      </c>
      <c r="H176" s="1">
        <v>100.0</v>
      </c>
      <c r="I176" s="1">
        <v>0.0</v>
      </c>
      <c r="J176" s="1">
        <v>0.0</v>
      </c>
      <c r="K176" s="1">
        <v>93.010636</v>
      </c>
      <c r="L176" s="1" t="s">
        <v>162</v>
      </c>
    </row>
    <row r="177">
      <c r="A177" s="1" t="s">
        <v>558</v>
      </c>
      <c r="B177" s="1">
        <v>-17.8777</v>
      </c>
      <c r="C177" s="1">
        <v>12.0</v>
      </c>
      <c r="D177" s="1">
        <v>3.0</v>
      </c>
      <c r="E177" s="1">
        <v>0.25</v>
      </c>
      <c r="F177" s="1">
        <v>2.0</v>
      </c>
      <c r="G177" s="1">
        <v>-0.895779</v>
      </c>
      <c r="H177" s="1">
        <v>100.0</v>
      </c>
      <c r="I177" s="1">
        <v>0.0</v>
      </c>
      <c r="J177" s="1">
        <v>0.0</v>
      </c>
      <c r="K177" s="1">
        <v>98.476521</v>
      </c>
      <c r="L177" s="1" t="s">
        <v>559</v>
      </c>
    </row>
    <row r="178">
      <c r="A178" s="1" t="s">
        <v>560</v>
      </c>
      <c r="B178" s="1">
        <v>-16.65494</v>
      </c>
      <c r="C178" s="1">
        <v>8.0</v>
      </c>
      <c r="D178" s="1">
        <v>2.0</v>
      </c>
      <c r="E178" s="1">
        <v>0.25</v>
      </c>
      <c r="F178" s="1">
        <v>2.0</v>
      </c>
      <c r="G178" s="1">
        <v>-0.791185</v>
      </c>
      <c r="H178" s="1">
        <v>100.0</v>
      </c>
      <c r="I178" s="1">
        <v>0.0</v>
      </c>
      <c r="J178" s="1">
        <v>0.0</v>
      </c>
      <c r="K178" s="1">
        <v>94.803875</v>
      </c>
      <c r="L178" s="1" t="s">
        <v>561</v>
      </c>
    </row>
    <row r="179">
      <c r="A179" s="1" t="s">
        <v>562</v>
      </c>
      <c r="B179" s="1">
        <v>-15.287436</v>
      </c>
      <c r="C179" s="1">
        <v>7.0</v>
      </c>
      <c r="D179" s="1">
        <v>3.0</v>
      </c>
      <c r="E179" s="1">
        <v>0.285714</v>
      </c>
      <c r="F179" s="1">
        <v>2.0</v>
      </c>
      <c r="G179" s="1">
        <v>-0.768648</v>
      </c>
      <c r="H179" s="1">
        <v>100.0</v>
      </c>
      <c r="I179" s="1">
        <v>0.0</v>
      </c>
      <c r="J179" s="1">
        <v>0.0</v>
      </c>
      <c r="K179" s="1">
        <v>96.22963</v>
      </c>
      <c r="L179" s="1" t="s">
        <v>563</v>
      </c>
    </row>
    <row r="180">
      <c r="A180" s="1" t="s">
        <v>958</v>
      </c>
      <c r="B180" s="1">
        <v>-15.665856</v>
      </c>
      <c r="C180" s="1">
        <v>8.0</v>
      </c>
      <c r="D180" s="1">
        <v>4.0</v>
      </c>
      <c r="E180" s="1">
        <v>0.375</v>
      </c>
      <c r="F180" s="1">
        <v>2.0</v>
      </c>
      <c r="G180" s="1">
        <v>-1.024371</v>
      </c>
      <c r="H180" s="1">
        <v>100.0</v>
      </c>
      <c r="I180" s="1">
        <v>0.0</v>
      </c>
      <c r="J180" s="1">
        <v>0.0</v>
      </c>
      <c r="K180" s="1">
        <v>97.684773</v>
      </c>
      <c r="L180" s="1" t="s">
        <v>959</v>
      </c>
    </row>
    <row r="181">
      <c r="A181" s="1" t="s">
        <v>564</v>
      </c>
      <c r="B181" s="1">
        <v>-15.042413</v>
      </c>
      <c r="C181" s="1">
        <v>9.0</v>
      </c>
      <c r="D181" s="1">
        <v>3.0</v>
      </c>
      <c r="E181" s="1">
        <v>0.333333</v>
      </c>
      <c r="F181" s="1">
        <v>2.0</v>
      </c>
      <c r="G181" s="1">
        <v>-0.962515</v>
      </c>
      <c r="H181" s="1">
        <v>100.0</v>
      </c>
      <c r="I181" s="1">
        <v>0.0</v>
      </c>
      <c r="J181" s="1">
        <v>0.0</v>
      </c>
      <c r="K181" s="1">
        <v>98.328405</v>
      </c>
      <c r="L181" s="1" t="s">
        <v>565</v>
      </c>
    </row>
    <row r="182">
      <c r="A182" s="1" t="s">
        <v>960</v>
      </c>
      <c r="B182" s="1">
        <v>-15.416224</v>
      </c>
      <c r="C182" s="1">
        <v>7.0</v>
      </c>
      <c r="D182" s="1">
        <v>4.0</v>
      </c>
      <c r="E182" s="1">
        <v>0.285714</v>
      </c>
      <c r="F182" s="1">
        <v>2.0</v>
      </c>
      <c r="G182" s="1">
        <v>-1.441148</v>
      </c>
      <c r="H182" s="1">
        <v>100.0</v>
      </c>
      <c r="I182" s="1">
        <v>0.0</v>
      </c>
      <c r="J182" s="1">
        <v>0.0</v>
      </c>
      <c r="K182" s="1">
        <v>96.428342</v>
      </c>
      <c r="L182" s="1" t="s">
        <v>961</v>
      </c>
    </row>
    <row r="183">
      <c r="A183" s="1" t="s">
        <v>962</v>
      </c>
      <c r="B183" s="1">
        <v>-15.514751</v>
      </c>
      <c r="C183" s="1">
        <v>9.0</v>
      </c>
      <c r="D183" s="1">
        <v>3.0</v>
      </c>
      <c r="E183" s="1">
        <v>0.444444</v>
      </c>
      <c r="F183" s="1">
        <v>2.0</v>
      </c>
      <c r="G183" s="1">
        <v>-1.020103</v>
      </c>
      <c r="H183" s="1">
        <v>100.0</v>
      </c>
      <c r="I183" s="1">
        <v>0.0</v>
      </c>
      <c r="J183" s="1">
        <v>0.0</v>
      </c>
      <c r="K183" s="1">
        <v>97.90959</v>
      </c>
      <c r="L183" s="1" t="s">
        <v>963</v>
      </c>
    </row>
    <row r="184">
      <c r="A184" s="1" t="s">
        <v>334</v>
      </c>
      <c r="B184" s="1">
        <v>-15.044133</v>
      </c>
      <c r="C184" s="1">
        <v>7.0</v>
      </c>
      <c r="D184" s="1">
        <v>3.0</v>
      </c>
      <c r="E184" s="1">
        <v>0.285714</v>
      </c>
      <c r="F184" s="1">
        <v>2.0</v>
      </c>
      <c r="G184" s="1">
        <v>-0.869404</v>
      </c>
      <c r="H184" s="1">
        <v>100.0</v>
      </c>
      <c r="I184" s="1">
        <v>0.0</v>
      </c>
      <c r="J184" s="1">
        <v>0.0</v>
      </c>
      <c r="K184" s="1">
        <v>96.372177</v>
      </c>
      <c r="L184" s="1" t="s">
        <v>335</v>
      </c>
    </row>
    <row r="185">
      <c r="A185" s="1" t="s">
        <v>336</v>
      </c>
      <c r="B185" s="1">
        <v>-16.338997</v>
      </c>
      <c r="C185" s="1">
        <v>6.0</v>
      </c>
      <c r="D185" s="1">
        <v>1.0</v>
      </c>
      <c r="E185" s="1">
        <v>0.333333</v>
      </c>
      <c r="F185" s="1">
        <v>2.0</v>
      </c>
      <c r="G185" s="1">
        <v>-1.569369</v>
      </c>
      <c r="H185" s="1">
        <v>100.0</v>
      </c>
      <c r="I185" s="1">
        <v>0.0</v>
      </c>
      <c r="J185" s="1">
        <v>0.0</v>
      </c>
      <c r="K185" s="1">
        <v>91.424967</v>
      </c>
      <c r="L185" s="1" t="s">
        <v>337</v>
      </c>
    </row>
    <row r="186">
      <c r="A186" s="1" t="s">
        <v>964</v>
      </c>
      <c r="B186" s="1">
        <v>-16.09571</v>
      </c>
      <c r="C186" s="1">
        <v>10.0</v>
      </c>
      <c r="D186" s="1">
        <v>4.0</v>
      </c>
      <c r="E186" s="1">
        <v>0.3</v>
      </c>
      <c r="F186" s="1">
        <v>2.0</v>
      </c>
      <c r="G186" s="1">
        <v>-1.536609</v>
      </c>
      <c r="H186" s="1">
        <v>100.0</v>
      </c>
      <c r="I186" s="1">
        <v>0.0</v>
      </c>
      <c r="J186" s="1">
        <v>0.0</v>
      </c>
      <c r="K186" s="1">
        <v>98.667681</v>
      </c>
      <c r="L186" s="1" t="s">
        <v>965</v>
      </c>
    </row>
    <row r="187">
      <c r="A187" s="1" t="s">
        <v>566</v>
      </c>
      <c r="B187" s="1">
        <v>-16.135472</v>
      </c>
      <c r="C187" s="1">
        <v>8.0</v>
      </c>
      <c r="D187" s="1">
        <v>2.0</v>
      </c>
      <c r="E187" s="1">
        <v>0.25</v>
      </c>
      <c r="F187" s="1">
        <v>2.0</v>
      </c>
      <c r="G187" s="1">
        <v>-1.048501</v>
      </c>
      <c r="H187" s="1">
        <v>100.0</v>
      </c>
      <c r="I187" s="1">
        <v>0.0</v>
      </c>
      <c r="J187" s="1">
        <v>0.0</v>
      </c>
      <c r="K187" s="1">
        <v>95.066027</v>
      </c>
      <c r="L187" s="1" t="s">
        <v>567</v>
      </c>
    </row>
    <row r="188">
      <c r="A188" s="1" t="s">
        <v>338</v>
      </c>
      <c r="B188" s="1">
        <v>-15.874894</v>
      </c>
      <c r="C188" s="1">
        <v>8.0</v>
      </c>
      <c r="D188" s="1">
        <v>2.0</v>
      </c>
      <c r="E188" s="1">
        <v>0.25</v>
      </c>
      <c r="F188" s="1">
        <v>2.0</v>
      </c>
      <c r="G188" s="1">
        <v>-1.527443</v>
      </c>
      <c r="H188" s="1">
        <v>100.0</v>
      </c>
      <c r="I188" s="1">
        <v>0.0</v>
      </c>
      <c r="J188" s="1">
        <v>0.0</v>
      </c>
      <c r="K188" s="1">
        <v>94.847663</v>
      </c>
      <c r="L188" s="1" t="s">
        <v>339</v>
      </c>
    </row>
    <row r="189">
      <c r="A189" s="1" t="s">
        <v>568</v>
      </c>
      <c r="B189" s="1">
        <v>-16.12762</v>
      </c>
      <c r="C189" s="1">
        <v>8.0</v>
      </c>
      <c r="D189" s="1">
        <v>3.0</v>
      </c>
      <c r="E189" s="1">
        <v>0.25</v>
      </c>
      <c r="F189" s="1">
        <v>2.0</v>
      </c>
      <c r="G189" s="1">
        <v>-0.539806</v>
      </c>
      <c r="H189" s="1">
        <v>100.0</v>
      </c>
      <c r="I189" s="1">
        <v>0.0</v>
      </c>
      <c r="J189" s="1">
        <v>0.0</v>
      </c>
      <c r="K189" s="1">
        <v>96.582574</v>
      </c>
      <c r="L189" s="1" t="s">
        <v>569</v>
      </c>
    </row>
    <row r="190">
      <c r="A190" s="1" t="s">
        <v>570</v>
      </c>
      <c r="B190" s="1">
        <v>-16.007709</v>
      </c>
      <c r="C190" s="1">
        <v>6.0</v>
      </c>
      <c r="D190" s="1">
        <v>1.0</v>
      </c>
      <c r="E190" s="1">
        <v>0.333333</v>
      </c>
      <c r="F190" s="1">
        <v>2.0</v>
      </c>
      <c r="G190" s="1">
        <v>-0.634004</v>
      </c>
      <c r="H190" s="1">
        <v>100.0</v>
      </c>
      <c r="I190" s="1">
        <v>0.0</v>
      </c>
      <c r="J190" s="1">
        <v>0.0</v>
      </c>
      <c r="K190" s="1">
        <v>92.69162</v>
      </c>
      <c r="L190" s="1" t="s">
        <v>571</v>
      </c>
    </row>
    <row r="191">
      <c r="A191" s="1" t="s">
        <v>572</v>
      </c>
      <c r="B191" s="1">
        <v>-15.183288</v>
      </c>
      <c r="C191" s="1">
        <v>6.0</v>
      </c>
      <c r="D191" s="1">
        <v>3.0</v>
      </c>
      <c r="E191" s="1">
        <v>0.666667</v>
      </c>
      <c r="F191" s="1">
        <v>2.0</v>
      </c>
      <c r="G191" s="1">
        <v>-0.991667</v>
      </c>
      <c r="H191" s="1">
        <v>100.0</v>
      </c>
      <c r="I191" s="1">
        <v>0.0</v>
      </c>
      <c r="J191" s="1">
        <v>0.0</v>
      </c>
      <c r="K191" s="1">
        <v>95.491712</v>
      </c>
      <c r="L191" s="1" t="s">
        <v>573</v>
      </c>
    </row>
    <row r="192">
      <c r="A192" s="1" t="s">
        <v>340</v>
      </c>
      <c r="B192" s="1">
        <v>-15.19198</v>
      </c>
      <c r="C192" s="1">
        <v>8.0</v>
      </c>
      <c r="D192" s="1">
        <v>3.0</v>
      </c>
      <c r="E192" s="1">
        <v>0.375</v>
      </c>
      <c r="F192" s="1">
        <v>2.0</v>
      </c>
      <c r="G192" s="1">
        <v>-1.182302</v>
      </c>
      <c r="H192" s="1">
        <v>100.0</v>
      </c>
      <c r="I192" s="1">
        <v>0.0</v>
      </c>
      <c r="J192" s="1">
        <v>0.0</v>
      </c>
      <c r="K192" s="1">
        <v>97.000718</v>
      </c>
      <c r="L192" s="1" t="s">
        <v>84</v>
      </c>
    </row>
    <row r="193">
      <c r="A193" s="1" t="s">
        <v>341</v>
      </c>
      <c r="B193" s="1">
        <v>-15.653385</v>
      </c>
      <c r="C193" s="1">
        <v>8.0</v>
      </c>
      <c r="D193" s="1">
        <v>3.0</v>
      </c>
      <c r="E193" s="1">
        <v>0.25</v>
      </c>
      <c r="F193" s="1">
        <v>2.0</v>
      </c>
      <c r="G193" s="1">
        <v>-0.166637</v>
      </c>
      <c r="H193" s="1">
        <v>100.0</v>
      </c>
      <c r="I193" s="1">
        <v>0.0</v>
      </c>
      <c r="J193" s="1">
        <v>0.0</v>
      </c>
      <c r="K193" s="1">
        <v>97.429978</v>
      </c>
      <c r="L193" s="1" t="s">
        <v>87</v>
      </c>
    </row>
    <row r="194">
      <c r="A194" s="1" t="s">
        <v>342</v>
      </c>
      <c r="B194" s="1">
        <v>-15.468589</v>
      </c>
      <c r="C194" s="1">
        <v>8.0</v>
      </c>
      <c r="D194" s="1">
        <v>3.0</v>
      </c>
      <c r="E194" s="1">
        <v>0.375</v>
      </c>
      <c r="F194" s="1">
        <v>2.0</v>
      </c>
      <c r="G194" s="1">
        <v>-0.987794</v>
      </c>
      <c r="H194" s="1">
        <v>100.0</v>
      </c>
      <c r="I194" s="1">
        <v>0.0</v>
      </c>
      <c r="J194" s="1">
        <v>0.0</v>
      </c>
      <c r="K194" s="1">
        <v>96.918617</v>
      </c>
      <c r="L194" s="1" t="s">
        <v>165</v>
      </c>
    </row>
    <row r="195">
      <c r="A195" s="1" t="s">
        <v>229</v>
      </c>
      <c r="B195" s="1">
        <v>-17.724274</v>
      </c>
      <c r="C195" s="1">
        <v>8.0</v>
      </c>
      <c r="D195" s="1">
        <v>3.0</v>
      </c>
      <c r="E195" s="1">
        <v>0.25</v>
      </c>
      <c r="F195" s="1">
        <v>2.0</v>
      </c>
      <c r="G195" s="1">
        <v>-1.29152999999999</v>
      </c>
      <c r="H195" s="1">
        <v>100.0</v>
      </c>
      <c r="I195" s="1">
        <v>0.0</v>
      </c>
      <c r="J195" s="1">
        <v>0.0</v>
      </c>
      <c r="K195" s="1">
        <v>94.234196</v>
      </c>
      <c r="L195" s="1" t="s">
        <v>58</v>
      </c>
    </row>
    <row r="196">
      <c r="A196" s="1" t="s">
        <v>966</v>
      </c>
      <c r="B196" s="1">
        <v>-15.555635</v>
      </c>
      <c r="C196" s="1">
        <v>8.0</v>
      </c>
      <c r="D196" s="1">
        <v>3.0</v>
      </c>
      <c r="E196" s="1">
        <v>0.375</v>
      </c>
      <c r="F196" s="1">
        <v>3.0</v>
      </c>
      <c r="G196" s="1">
        <v>-1.23752999999999</v>
      </c>
      <c r="H196" s="1">
        <v>100.0</v>
      </c>
      <c r="I196" s="1">
        <v>0.0</v>
      </c>
      <c r="J196" s="1">
        <v>0.0</v>
      </c>
      <c r="K196" s="1">
        <v>97.581835</v>
      </c>
      <c r="L196" s="1" t="s">
        <v>967</v>
      </c>
    </row>
    <row r="197">
      <c r="A197" s="1" t="s">
        <v>968</v>
      </c>
      <c r="B197" s="1">
        <v>-15.464987</v>
      </c>
      <c r="C197" s="1">
        <v>7.0</v>
      </c>
      <c r="D197" s="1">
        <v>4.0</v>
      </c>
      <c r="E197" s="1">
        <v>0.285714</v>
      </c>
      <c r="F197" s="1">
        <v>2.0</v>
      </c>
      <c r="G197" s="1">
        <v>-0.843909</v>
      </c>
      <c r="H197" s="1">
        <v>100.0</v>
      </c>
      <c r="I197" s="1">
        <v>0.0</v>
      </c>
      <c r="J197" s="1">
        <v>0.0</v>
      </c>
      <c r="K197" s="1">
        <v>96.976818</v>
      </c>
      <c r="L197" s="1" t="s">
        <v>969</v>
      </c>
    </row>
    <row r="198">
      <c r="A198" s="1" t="s">
        <v>343</v>
      </c>
      <c r="B198" s="1">
        <v>-16.533467</v>
      </c>
      <c r="C198" s="1">
        <v>8.0</v>
      </c>
      <c r="D198" s="1">
        <v>5.0</v>
      </c>
      <c r="E198" s="1">
        <v>0.25</v>
      </c>
      <c r="F198" s="1">
        <v>2.0</v>
      </c>
      <c r="G198" s="1">
        <v>-1.486018</v>
      </c>
      <c r="H198" s="1">
        <v>100.0</v>
      </c>
      <c r="I198" s="1">
        <v>0.0</v>
      </c>
      <c r="J198" s="1">
        <v>0.0</v>
      </c>
      <c r="K198" s="1">
        <v>97.230515</v>
      </c>
      <c r="L198" s="1" t="s">
        <v>344</v>
      </c>
    </row>
    <row r="199">
      <c r="A199" s="1" t="s">
        <v>574</v>
      </c>
      <c r="B199" s="1">
        <v>-15.811695</v>
      </c>
      <c r="C199" s="1">
        <v>8.0</v>
      </c>
      <c r="D199" s="1">
        <v>1.0</v>
      </c>
      <c r="E199" s="1">
        <v>0.25</v>
      </c>
      <c r="F199" s="1">
        <v>3.0</v>
      </c>
      <c r="G199" s="1">
        <v>-1.385348</v>
      </c>
      <c r="H199" s="1">
        <v>100.0</v>
      </c>
      <c r="I199" s="1">
        <v>0.0</v>
      </c>
      <c r="J199" s="1">
        <v>0.0</v>
      </c>
      <c r="K199" s="1">
        <v>95.052957</v>
      </c>
      <c r="L199" s="1" t="s">
        <v>575</v>
      </c>
    </row>
    <row r="200">
      <c r="A200" s="1" t="s">
        <v>970</v>
      </c>
      <c r="B200" s="1">
        <v>-15.230464</v>
      </c>
      <c r="C200" s="1">
        <v>9.0</v>
      </c>
      <c r="D200" s="1">
        <v>2.0</v>
      </c>
      <c r="E200" s="1">
        <v>0.333333</v>
      </c>
      <c r="F200" s="1">
        <v>2.0</v>
      </c>
      <c r="G200" s="1">
        <v>-0.81196</v>
      </c>
      <c r="H200" s="1">
        <v>100.0</v>
      </c>
      <c r="I200" s="1">
        <v>0.0</v>
      </c>
      <c r="J200" s="1">
        <v>0.0</v>
      </c>
      <c r="K200" s="1">
        <v>97.290909</v>
      </c>
      <c r="L200" s="1" t="s">
        <v>971</v>
      </c>
    </row>
    <row r="201">
      <c r="A201" s="1" t="s">
        <v>576</v>
      </c>
      <c r="B201" s="1">
        <v>-15.166917</v>
      </c>
      <c r="C201" s="1">
        <v>8.0</v>
      </c>
      <c r="D201" s="1">
        <v>5.0</v>
      </c>
      <c r="E201" s="1">
        <v>0.25</v>
      </c>
      <c r="F201" s="1">
        <v>2.0</v>
      </c>
      <c r="G201" s="1">
        <v>-0.351184999999999</v>
      </c>
      <c r="H201" s="1">
        <v>100.0</v>
      </c>
      <c r="I201" s="1">
        <v>0.0</v>
      </c>
      <c r="J201" s="1">
        <v>0.0</v>
      </c>
      <c r="K201" s="1">
        <v>99.731898</v>
      </c>
      <c r="L201" s="1" t="s">
        <v>577</v>
      </c>
    </row>
    <row r="202">
      <c r="A202" s="1" t="s">
        <v>578</v>
      </c>
      <c r="B202" s="1">
        <v>-16.068084</v>
      </c>
      <c r="C202" s="1">
        <v>9.0</v>
      </c>
      <c r="D202" s="1">
        <v>2.0</v>
      </c>
      <c r="E202" s="1">
        <v>0.444444</v>
      </c>
      <c r="F202" s="1">
        <v>2.0</v>
      </c>
      <c r="G202" s="1">
        <v>-1.018293</v>
      </c>
      <c r="H202" s="1">
        <v>100.0</v>
      </c>
      <c r="I202" s="1">
        <v>0.0</v>
      </c>
      <c r="J202" s="1">
        <v>0.0</v>
      </c>
      <c r="K202" s="1">
        <v>96.358067</v>
      </c>
      <c r="L202" s="1" t="s">
        <v>579</v>
      </c>
    </row>
    <row r="203">
      <c r="A203" s="1" t="s">
        <v>345</v>
      </c>
      <c r="B203" s="1">
        <v>-16.383014</v>
      </c>
      <c r="C203" s="1">
        <v>11.0</v>
      </c>
      <c r="D203" s="1">
        <v>5.0</v>
      </c>
      <c r="E203" s="1">
        <v>0.545455</v>
      </c>
      <c r="F203" s="1">
        <v>2.0</v>
      </c>
      <c r="G203" s="1">
        <v>-1.431922</v>
      </c>
      <c r="H203" s="1">
        <v>100.0</v>
      </c>
      <c r="I203" s="1">
        <v>0.0</v>
      </c>
      <c r="J203" s="1">
        <v>0.0</v>
      </c>
      <c r="K203" s="1">
        <v>100.730519</v>
      </c>
      <c r="L203" s="1" t="s">
        <v>346</v>
      </c>
    </row>
    <row r="204">
      <c r="A204" s="1" t="s">
        <v>347</v>
      </c>
      <c r="B204" s="1">
        <v>-15.915515</v>
      </c>
      <c r="C204" s="1">
        <v>8.0</v>
      </c>
      <c r="D204" s="1">
        <v>4.0</v>
      </c>
      <c r="E204" s="1">
        <v>0.375</v>
      </c>
      <c r="F204" s="1">
        <v>2.0</v>
      </c>
      <c r="G204" s="1">
        <v>-0.684045</v>
      </c>
      <c r="H204" s="1">
        <v>100.0</v>
      </c>
      <c r="I204" s="1">
        <v>0.0</v>
      </c>
      <c r="J204" s="1">
        <v>0.0</v>
      </c>
      <c r="K204" s="1">
        <v>97.77544</v>
      </c>
      <c r="L204" s="1" t="s">
        <v>348</v>
      </c>
    </row>
    <row r="205">
      <c r="A205" s="1" t="s">
        <v>349</v>
      </c>
      <c r="B205" s="1">
        <v>-15.759066</v>
      </c>
      <c r="C205" s="1">
        <v>7.0</v>
      </c>
      <c r="D205" s="1">
        <v>2.0</v>
      </c>
      <c r="E205" s="1">
        <v>0.571429</v>
      </c>
      <c r="F205" s="1">
        <v>2.0</v>
      </c>
      <c r="G205" s="1">
        <v>-0.931789</v>
      </c>
      <c r="H205" s="1">
        <v>100.0</v>
      </c>
      <c r="I205" s="1">
        <v>0.0</v>
      </c>
      <c r="J205" s="1">
        <v>0.0</v>
      </c>
      <c r="K205" s="1">
        <v>94.880574</v>
      </c>
      <c r="L205" s="1" t="s">
        <v>90</v>
      </c>
    </row>
    <row r="206">
      <c r="A206" s="1" t="s">
        <v>350</v>
      </c>
      <c r="B206" s="1">
        <v>-15.759066</v>
      </c>
      <c r="C206" s="1">
        <v>7.0</v>
      </c>
      <c r="D206" s="1">
        <v>2.0</v>
      </c>
      <c r="E206" s="1">
        <v>0.571429</v>
      </c>
      <c r="F206" s="1">
        <v>2.0</v>
      </c>
      <c r="G206" s="1">
        <v>-0.931789</v>
      </c>
      <c r="H206" s="1">
        <v>100.0</v>
      </c>
      <c r="I206" s="1">
        <v>0.0</v>
      </c>
      <c r="J206" s="1">
        <v>0.0</v>
      </c>
      <c r="K206" s="1">
        <v>94.880574</v>
      </c>
      <c r="L206" s="1" t="s">
        <v>351</v>
      </c>
    </row>
    <row r="207">
      <c r="A207" s="1" t="s">
        <v>580</v>
      </c>
      <c r="B207" s="1">
        <v>-15.59682</v>
      </c>
      <c r="C207" s="1">
        <v>8.0</v>
      </c>
      <c r="D207" s="1">
        <v>3.0</v>
      </c>
      <c r="E207" s="1">
        <v>0.25</v>
      </c>
      <c r="F207" s="1">
        <v>2.0</v>
      </c>
      <c r="G207" s="1">
        <v>-0.781714999999999</v>
      </c>
      <c r="H207" s="1">
        <v>100.0</v>
      </c>
      <c r="I207" s="1">
        <v>0.0</v>
      </c>
      <c r="J207" s="1">
        <v>0.0</v>
      </c>
      <c r="K207" s="1">
        <v>96.871465</v>
      </c>
      <c r="L207" s="1" t="s">
        <v>581</v>
      </c>
    </row>
    <row r="208">
      <c r="A208" s="1" t="s">
        <v>582</v>
      </c>
      <c r="B208" s="1">
        <v>-15.480946</v>
      </c>
      <c r="C208" s="1">
        <v>8.0</v>
      </c>
      <c r="D208" s="1">
        <v>4.0</v>
      </c>
      <c r="E208" s="1">
        <v>0.25</v>
      </c>
      <c r="F208" s="1">
        <v>2.0</v>
      </c>
      <c r="G208" s="1">
        <v>-0.505827</v>
      </c>
      <c r="H208" s="1">
        <v>100.0</v>
      </c>
      <c r="I208" s="1">
        <v>0.0</v>
      </c>
      <c r="J208" s="1">
        <v>0.0</v>
      </c>
      <c r="K208" s="1">
        <v>98.263227</v>
      </c>
      <c r="L208" s="1" t="s">
        <v>583</v>
      </c>
    </row>
    <row r="209">
      <c r="A209" s="1" t="s">
        <v>584</v>
      </c>
      <c r="B209" s="1">
        <v>-15.084562</v>
      </c>
      <c r="C209" s="1">
        <v>9.0</v>
      </c>
      <c r="D209" s="1">
        <v>2.0</v>
      </c>
      <c r="E209" s="1">
        <v>0.333333</v>
      </c>
      <c r="F209" s="1">
        <v>2.0</v>
      </c>
      <c r="G209" s="1">
        <v>-1.126036</v>
      </c>
      <c r="H209" s="1">
        <v>100.0</v>
      </c>
      <c r="I209" s="1">
        <v>0.0</v>
      </c>
      <c r="J209" s="1">
        <v>0.0</v>
      </c>
      <c r="K209" s="1">
        <v>97.122735</v>
      </c>
      <c r="L209" s="1" t="s">
        <v>585</v>
      </c>
    </row>
    <row r="210">
      <c r="A210" s="1" t="s">
        <v>586</v>
      </c>
      <c r="B210" s="1">
        <v>-16.433564</v>
      </c>
      <c r="C210" s="1">
        <v>12.0</v>
      </c>
      <c r="D210" s="1">
        <v>4.0</v>
      </c>
      <c r="E210" s="1">
        <v>0.333333</v>
      </c>
      <c r="F210" s="1">
        <v>2.0</v>
      </c>
      <c r="G210" s="1">
        <v>-0.696566999999999</v>
      </c>
      <c r="H210" s="1">
        <v>100.0</v>
      </c>
      <c r="I210" s="1">
        <v>0.0</v>
      </c>
      <c r="J210" s="1">
        <v>0.0</v>
      </c>
      <c r="K210" s="1">
        <v>101.203202</v>
      </c>
      <c r="L210" s="1" t="s">
        <v>587</v>
      </c>
    </row>
    <row r="211">
      <c r="A211" s="1" t="s">
        <v>588</v>
      </c>
      <c r="B211" s="1">
        <v>-15.248368</v>
      </c>
      <c r="C211" s="1">
        <v>7.0</v>
      </c>
      <c r="D211" s="1">
        <v>1.0</v>
      </c>
      <c r="E211" s="1">
        <v>0.285714</v>
      </c>
      <c r="F211" s="1">
        <v>2.0</v>
      </c>
      <c r="G211" s="1">
        <v>-0.793475</v>
      </c>
      <c r="H211" s="1">
        <v>100.0</v>
      </c>
      <c r="I211" s="1">
        <v>0.0</v>
      </c>
      <c r="J211" s="1">
        <v>0.0</v>
      </c>
      <c r="K211" s="1">
        <v>94.243871</v>
      </c>
      <c r="L211" s="1" t="s">
        <v>589</v>
      </c>
    </row>
    <row r="212">
      <c r="A212" s="1" t="s">
        <v>590</v>
      </c>
      <c r="B212" s="1">
        <v>-15.046665</v>
      </c>
      <c r="C212" s="1">
        <v>10.0</v>
      </c>
      <c r="D212" s="1">
        <v>3.0</v>
      </c>
      <c r="E212" s="1">
        <v>0.3</v>
      </c>
      <c r="F212" s="1">
        <v>2.0</v>
      </c>
      <c r="G212" s="1">
        <v>-0.432822</v>
      </c>
      <c r="H212" s="1">
        <v>100.0</v>
      </c>
      <c r="I212" s="1">
        <v>0.0</v>
      </c>
      <c r="J212" s="1">
        <v>0.0</v>
      </c>
      <c r="K212" s="1">
        <v>99.820513</v>
      </c>
      <c r="L212" s="1" t="s">
        <v>591</v>
      </c>
    </row>
    <row r="213">
      <c r="A213" s="1" t="s">
        <v>592</v>
      </c>
      <c r="B213" s="1">
        <v>-15.496757</v>
      </c>
      <c r="C213" s="1">
        <v>10.0</v>
      </c>
      <c r="D213" s="1">
        <v>2.0</v>
      </c>
      <c r="E213" s="1">
        <v>0.3</v>
      </c>
      <c r="F213" s="1">
        <v>2.0</v>
      </c>
      <c r="G213" s="1">
        <v>-0.809153999999999</v>
      </c>
      <c r="H213" s="1">
        <v>100.0</v>
      </c>
      <c r="I213" s="1">
        <v>0.0</v>
      </c>
      <c r="J213" s="1">
        <v>0.0</v>
      </c>
      <c r="K213" s="1">
        <v>97.994089</v>
      </c>
      <c r="L213" s="1" t="s">
        <v>593</v>
      </c>
    </row>
    <row r="214">
      <c r="A214" s="1" t="s">
        <v>972</v>
      </c>
      <c r="B214" s="1">
        <v>-16.931881</v>
      </c>
      <c r="C214" s="1">
        <v>10.0</v>
      </c>
      <c r="D214" s="1">
        <v>4.0</v>
      </c>
      <c r="E214" s="1">
        <v>0.3</v>
      </c>
      <c r="F214" s="1">
        <v>2.0</v>
      </c>
      <c r="G214" s="1">
        <v>-0.442768999999999</v>
      </c>
      <c r="H214" s="1">
        <v>100.0</v>
      </c>
      <c r="I214" s="1">
        <v>0.0</v>
      </c>
      <c r="J214" s="1">
        <v>0.0</v>
      </c>
      <c r="K214" s="1">
        <v>98.92535</v>
      </c>
      <c r="L214" s="1" t="s">
        <v>973</v>
      </c>
    </row>
    <row r="215">
      <c r="A215" s="1" t="s">
        <v>594</v>
      </c>
      <c r="B215" s="1">
        <v>-15.123891</v>
      </c>
      <c r="C215" s="1">
        <v>7.0</v>
      </c>
      <c r="D215" s="1">
        <v>1.0</v>
      </c>
      <c r="E215" s="1">
        <v>0.428571</v>
      </c>
      <c r="F215" s="1">
        <v>2.0</v>
      </c>
      <c r="G215" s="1">
        <v>-0.389964</v>
      </c>
      <c r="H215" s="1">
        <v>100.0</v>
      </c>
      <c r="I215" s="1">
        <v>0.0</v>
      </c>
      <c r="J215" s="1">
        <v>0.0</v>
      </c>
      <c r="K215" s="1">
        <v>94.914716</v>
      </c>
      <c r="L215" s="1" t="s">
        <v>595</v>
      </c>
    </row>
    <row r="216">
      <c r="A216" s="1" t="s">
        <v>596</v>
      </c>
      <c r="B216" s="1">
        <v>-17.851558</v>
      </c>
      <c r="C216" s="1">
        <v>7.0</v>
      </c>
      <c r="D216" s="1">
        <v>2.0</v>
      </c>
      <c r="E216" s="1">
        <v>0.285714</v>
      </c>
      <c r="F216" s="1">
        <v>2.0</v>
      </c>
      <c r="G216" s="1">
        <v>-0.879698</v>
      </c>
      <c r="H216" s="1">
        <v>100.0</v>
      </c>
      <c r="I216" s="1">
        <v>0.0</v>
      </c>
      <c r="J216" s="1">
        <v>0.0</v>
      </c>
      <c r="K216" s="1">
        <v>92.554458</v>
      </c>
      <c r="L216" s="1" t="s">
        <v>597</v>
      </c>
    </row>
    <row r="217">
      <c r="A217" s="1" t="s">
        <v>598</v>
      </c>
      <c r="B217" s="1">
        <v>-16.37987</v>
      </c>
      <c r="C217" s="1">
        <v>13.0</v>
      </c>
      <c r="D217" s="1">
        <v>3.0</v>
      </c>
      <c r="E217" s="1">
        <v>0.307692</v>
      </c>
      <c r="F217" s="1">
        <v>2.0</v>
      </c>
      <c r="G217" s="1">
        <v>-0.226607</v>
      </c>
      <c r="H217" s="1">
        <v>100.0</v>
      </c>
      <c r="I217" s="1">
        <v>0.0</v>
      </c>
      <c r="J217" s="1">
        <v>0.0</v>
      </c>
      <c r="K217" s="1">
        <v>101.701215</v>
      </c>
      <c r="L217" s="1" t="s">
        <v>599</v>
      </c>
    </row>
    <row r="218">
      <c r="A218" s="1" t="s">
        <v>600</v>
      </c>
      <c r="B218" s="1">
        <v>-15.216876</v>
      </c>
      <c r="C218" s="1">
        <v>7.0</v>
      </c>
      <c r="D218" s="1">
        <v>1.0</v>
      </c>
      <c r="E218" s="1">
        <v>0.285714</v>
      </c>
      <c r="F218" s="1">
        <v>2.0</v>
      </c>
      <c r="G218" s="1">
        <v>-0.938238</v>
      </c>
      <c r="H218" s="1">
        <v>100.0</v>
      </c>
      <c r="I218" s="1">
        <v>0.0</v>
      </c>
      <c r="J218" s="1">
        <v>0.0</v>
      </c>
      <c r="K218" s="1">
        <v>94.1306</v>
      </c>
      <c r="L218" s="1" t="s">
        <v>601</v>
      </c>
    </row>
    <row r="219">
      <c r="A219" s="1" t="s">
        <v>602</v>
      </c>
      <c r="B219" s="1">
        <v>-15.926988</v>
      </c>
      <c r="C219" s="1">
        <v>10.0</v>
      </c>
      <c r="D219" s="1">
        <v>3.0</v>
      </c>
      <c r="E219" s="1">
        <v>0.3</v>
      </c>
      <c r="F219" s="1">
        <v>2.0</v>
      </c>
      <c r="G219" s="1">
        <v>-0.899726</v>
      </c>
      <c r="H219" s="1">
        <v>100.0</v>
      </c>
      <c r="I219" s="1">
        <v>0.0</v>
      </c>
      <c r="J219" s="1">
        <v>0.0</v>
      </c>
      <c r="K219" s="1">
        <v>98.473286</v>
      </c>
      <c r="L219" s="1" t="s">
        <v>603</v>
      </c>
    </row>
    <row r="220">
      <c r="A220" s="1" t="s">
        <v>352</v>
      </c>
      <c r="B220" s="1">
        <v>-15.088626</v>
      </c>
      <c r="C220" s="1">
        <v>12.0</v>
      </c>
      <c r="D220" s="1">
        <v>3.0</v>
      </c>
      <c r="E220" s="1">
        <v>0.416667</v>
      </c>
      <c r="F220" s="1">
        <v>2.0</v>
      </c>
      <c r="G220" s="1">
        <v>-0.765151</v>
      </c>
      <c r="H220" s="1">
        <v>100.0</v>
      </c>
      <c r="I220" s="1">
        <v>0.0</v>
      </c>
      <c r="J220" s="1">
        <v>0.0</v>
      </c>
      <c r="K220" s="1">
        <v>101.56289</v>
      </c>
      <c r="L220" s="1" t="s">
        <v>353</v>
      </c>
    </row>
    <row r="221">
      <c r="A221" s="1" t="s">
        <v>604</v>
      </c>
      <c r="B221" s="1">
        <v>-16.476724</v>
      </c>
      <c r="C221" s="1">
        <v>7.0</v>
      </c>
      <c r="D221" s="1">
        <v>2.0</v>
      </c>
      <c r="E221" s="1">
        <v>0.285714</v>
      </c>
      <c r="F221" s="1">
        <v>3.0</v>
      </c>
      <c r="G221" s="1">
        <v>-0.823762</v>
      </c>
      <c r="H221" s="1">
        <v>100.0</v>
      </c>
      <c r="I221" s="1">
        <v>0.0</v>
      </c>
      <c r="J221" s="1">
        <v>0.0</v>
      </c>
      <c r="K221" s="1">
        <v>94.985228</v>
      </c>
      <c r="L221" s="1" t="s">
        <v>605</v>
      </c>
    </row>
    <row r="222">
      <c r="A222" s="1" t="s">
        <v>606</v>
      </c>
      <c r="B222" s="1">
        <v>-15.583805</v>
      </c>
      <c r="C222" s="1">
        <v>7.0</v>
      </c>
      <c r="D222" s="1">
        <v>3.0</v>
      </c>
      <c r="E222" s="1">
        <v>0.285714</v>
      </c>
      <c r="F222" s="1">
        <v>2.0</v>
      </c>
      <c r="G222" s="1">
        <v>-1.40151</v>
      </c>
      <c r="H222" s="1">
        <v>100.0</v>
      </c>
      <c r="I222" s="1">
        <v>0.0</v>
      </c>
      <c r="J222" s="1">
        <v>0.0</v>
      </c>
      <c r="K222" s="1">
        <v>95.300399</v>
      </c>
      <c r="L222" s="1" t="s">
        <v>607</v>
      </c>
    </row>
    <row r="223">
      <c r="A223" s="1" t="s">
        <v>608</v>
      </c>
      <c r="B223" s="1">
        <v>-18.086218</v>
      </c>
      <c r="C223" s="1">
        <v>12.0</v>
      </c>
      <c r="D223" s="1">
        <v>4.0</v>
      </c>
      <c r="E223" s="1">
        <v>0.25</v>
      </c>
      <c r="F223" s="1">
        <v>2.0</v>
      </c>
      <c r="G223" s="1">
        <v>-1.08402</v>
      </c>
      <c r="H223" s="1">
        <v>100.0</v>
      </c>
      <c r="I223" s="1">
        <v>0.0</v>
      </c>
      <c r="J223" s="1">
        <v>0.0</v>
      </c>
      <c r="K223" s="1">
        <v>99.079762</v>
      </c>
      <c r="L223" s="1" t="s">
        <v>609</v>
      </c>
    </row>
    <row r="224">
      <c r="A224" s="1" t="s">
        <v>610</v>
      </c>
      <c r="B224" s="1">
        <v>-17.2643</v>
      </c>
      <c r="C224" s="1">
        <v>7.0</v>
      </c>
      <c r="D224" s="1">
        <v>4.0</v>
      </c>
      <c r="E224" s="1">
        <v>0.285714</v>
      </c>
      <c r="F224" s="1">
        <v>2.0</v>
      </c>
      <c r="G224" s="1">
        <v>-0.594912</v>
      </c>
      <c r="H224" s="1">
        <v>100.0</v>
      </c>
      <c r="I224" s="1">
        <v>0.0</v>
      </c>
      <c r="J224" s="1">
        <v>0.0</v>
      </c>
      <c r="K224" s="1">
        <v>95.426502</v>
      </c>
      <c r="L224" s="1" t="s">
        <v>611</v>
      </c>
    </row>
    <row r="225">
      <c r="A225" s="1" t="s">
        <v>354</v>
      </c>
      <c r="B225" s="1">
        <v>-16.551482</v>
      </c>
      <c r="C225" s="1">
        <v>8.0</v>
      </c>
      <c r="D225" s="1">
        <v>3.0</v>
      </c>
      <c r="E225" s="1">
        <v>0.25</v>
      </c>
      <c r="F225" s="1">
        <v>2.0</v>
      </c>
      <c r="G225" s="1">
        <v>-0.695112</v>
      </c>
      <c r="H225" s="1">
        <v>100.0</v>
      </c>
      <c r="I225" s="1">
        <v>0.0</v>
      </c>
      <c r="J225" s="1">
        <v>0.0</v>
      </c>
      <c r="K225" s="1">
        <v>96.003406</v>
      </c>
      <c r="L225" s="1" t="s">
        <v>355</v>
      </c>
    </row>
    <row r="226">
      <c r="A226" s="1" t="s">
        <v>356</v>
      </c>
      <c r="B226" s="1">
        <v>-16.947939</v>
      </c>
      <c r="C226" s="1">
        <v>7.0</v>
      </c>
      <c r="D226" s="1">
        <v>1.0</v>
      </c>
      <c r="E226" s="1">
        <v>0.285714</v>
      </c>
      <c r="F226" s="1">
        <v>2.0</v>
      </c>
      <c r="G226" s="1">
        <v>-1.26662</v>
      </c>
      <c r="H226" s="1">
        <v>100.0</v>
      </c>
      <c r="I226" s="1">
        <v>0.0</v>
      </c>
      <c r="J226" s="1">
        <v>0.0</v>
      </c>
      <c r="K226" s="1">
        <v>92.071155</v>
      </c>
      <c r="L226" s="1" t="s">
        <v>168</v>
      </c>
    </row>
    <row r="227">
      <c r="A227" s="1" t="s">
        <v>974</v>
      </c>
      <c r="B227" s="1">
        <v>-17.518199</v>
      </c>
      <c r="C227" s="1">
        <v>11.0</v>
      </c>
      <c r="D227" s="1">
        <v>3.0</v>
      </c>
      <c r="E227" s="1">
        <v>0.272727</v>
      </c>
      <c r="F227" s="1">
        <v>2.0</v>
      </c>
      <c r="G227" s="1">
        <v>-1.13703</v>
      </c>
      <c r="H227" s="1">
        <v>100.0</v>
      </c>
      <c r="I227" s="1">
        <v>0.0</v>
      </c>
      <c r="J227" s="1">
        <v>0.0</v>
      </c>
      <c r="K227" s="1">
        <v>97.617498</v>
      </c>
      <c r="L227" s="1" t="s">
        <v>975</v>
      </c>
    </row>
    <row r="228">
      <c r="A228" s="1" t="s">
        <v>612</v>
      </c>
      <c r="B228" s="1">
        <v>-16.985042</v>
      </c>
      <c r="C228" s="1">
        <v>8.0</v>
      </c>
      <c r="D228" s="1">
        <v>4.0</v>
      </c>
      <c r="E228" s="1">
        <v>0.25</v>
      </c>
      <c r="F228" s="1">
        <v>2.0</v>
      </c>
      <c r="G228" s="1">
        <v>-1.067859</v>
      </c>
      <c r="H228" s="1">
        <v>100.0</v>
      </c>
      <c r="I228" s="1">
        <v>0.0</v>
      </c>
      <c r="J228" s="1">
        <v>0.0</v>
      </c>
      <c r="K228" s="1">
        <v>96.197099</v>
      </c>
      <c r="L228" s="1" t="s">
        <v>613</v>
      </c>
    </row>
    <row r="229">
      <c r="A229" s="1" t="s">
        <v>614</v>
      </c>
      <c r="B229" s="1">
        <v>-15.509211</v>
      </c>
      <c r="C229" s="1">
        <v>9.0</v>
      </c>
      <c r="D229" s="1">
        <v>3.0</v>
      </c>
      <c r="E229" s="1">
        <v>0.333333</v>
      </c>
      <c r="F229" s="1">
        <v>2.0</v>
      </c>
      <c r="G229" s="1">
        <v>-0.596599</v>
      </c>
      <c r="H229" s="1">
        <v>100.0</v>
      </c>
      <c r="I229" s="1">
        <v>0.0</v>
      </c>
      <c r="J229" s="1">
        <v>0.0</v>
      </c>
      <c r="K229" s="1">
        <v>98.227523</v>
      </c>
      <c r="L229" s="1" t="s">
        <v>615</v>
      </c>
    </row>
    <row r="230">
      <c r="A230" s="1" t="s">
        <v>616</v>
      </c>
      <c r="B230" s="1">
        <v>-16.224626</v>
      </c>
      <c r="C230" s="1">
        <v>12.0</v>
      </c>
      <c r="D230" s="1">
        <v>3.0</v>
      </c>
      <c r="E230" s="1">
        <v>0.25</v>
      </c>
      <c r="F230" s="1">
        <v>2.0</v>
      </c>
      <c r="G230" s="1">
        <v>-0.717456</v>
      </c>
      <c r="H230" s="1">
        <v>100.0</v>
      </c>
      <c r="I230" s="1">
        <v>0.0</v>
      </c>
      <c r="J230" s="1">
        <v>0.0</v>
      </c>
      <c r="K230" s="1">
        <v>100.307918</v>
      </c>
      <c r="L230" s="1" t="s">
        <v>617</v>
      </c>
    </row>
    <row r="231">
      <c r="A231" s="1" t="s">
        <v>618</v>
      </c>
      <c r="B231" s="1">
        <v>-15.347144</v>
      </c>
      <c r="C231" s="1">
        <v>8.0</v>
      </c>
      <c r="D231" s="1">
        <v>1.0</v>
      </c>
      <c r="E231" s="1">
        <v>0.375</v>
      </c>
      <c r="F231" s="1">
        <v>2.0</v>
      </c>
      <c r="G231" s="1">
        <v>-1.417512</v>
      </c>
      <c r="H231" s="1">
        <v>100.0</v>
      </c>
      <c r="I231" s="1">
        <v>0.0</v>
      </c>
      <c r="J231" s="1">
        <v>0.0</v>
      </c>
      <c r="K231" s="1">
        <v>94.610344</v>
      </c>
      <c r="L231" s="1" t="s">
        <v>619</v>
      </c>
    </row>
    <row r="232">
      <c r="A232" s="1" t="s">
        <v>620</v>
      </c>
      <c r="B232" s="1">
        <v>-15.969661</v>
      </c>
      <c r="C232" s="1">
        <v>10.0</v>
      </c>
      <c r="D232" s="1">
        <v>2.0</v>
      </c>
      <c r="E232" s="1">
        <v>0.5</v>
      </c>
      <c r="F232" s="1">
        <v>2.0</v>
      </c>
      <c r="G232" s="1">
        <v>-0.737468999999999</v>
      </c>
      <c r="H232" s="1">
        <v>100.0</v>
      </c>
      <c r="I232" s="1">
        <v>0.0</v>
      </c>
      <c r="J232" s="1">
        <v>0.0</v>
      </c>
      <c r="K232" s="1">
        <v>97.79287</v>
      </c>
      <c r="L232" s="1" t="s">
        <v>621</v>
      </c>
    </row>
    <row r="233">
      <c r="A233" s="1" t="s">
        <v>622</v>
      </c>
      <c r="B233" s="1">
        <v>-15.981415</v>
      </c>
      <c r="C233" s="1">
        <v>10.0</v>
      </c>
      <c r="D233" s="1">
        <v>3.0</v>
      </c>
      <c r="E233" s="1">
        <v>0.4</v>
      </c>
      <c r="F233" s="1">
        <v>2.0</v>
      </c>
      <c r="G233" s="1">
        <v>-1.45702499999999</v>
      </c>
      <c r="H233" s="1">
        <v>100.0</v>
      </c>
      <c r="I233" s="1">
        <v>0.0</v>
      </c>
      <c r="J233" s="1">
        <v>0.0</v>
      </c>
      <c r="K233" s="1">
        <v>97.96156</v>
      </c>
      <c r="L233" s="1" t="s">
        <v>623</v>
      </c>
    </row>
    <row r="234">
      <c r="A234" s="1" t="s">
        <v>976</v>
      </c>
      <c r="B234" s="1">
        <v>-17.440245</v>
      </c>
      <c r="C234" s="1">
        <v>11.0</v>
      </c>
      <c r="D234" s="1">
        <v>4.0</v>
      </c>
      <c r="E234" s="1">
        <v>0.363636</v>
      </c>
      <c r="F234" s="1">
        <v>2.0</v>
      </c>
      <c r="G234" s="1">
        <v>-0.623826</v>
      </c>
      <c r="H234" s="1">
        <v>100.0</v>
      </c>
      <c r="I234" s="1">
        <v>0.0</v>
      </c>
      <c r="J234" s="1">
        <v>0.0</v>
      </c>
      <c r="K234" s="1">
        <v>99.299565</v>
      </c>
      <c r="L234" s="1" t="s">
        <v>977</v>
      </c>
    </row>
    <row r="235">
      <c r="A235" s="1" t="s">
        <v>624</v>
      </c>
      <c r="B235" s="1">
        <v>-15.875838</v>
      </c>
      <c r="C235" s="1">
        <v>7.0</v>
      </c>
      <c r="D235" s="1">
        <v>2.0</v>
      </c>
      <c r="E235" s="1">
        <v>0.285714</v>
      </c>
      <c r="F235" s="1">
        <v>2.0</v>
      </c>
      <c r="G235" s="1">
        <v>-0.561351</v>
      </c>
      <c r="H235" s="1">
        <v>100.0</v>
      </c>
      <c r="I235" s="1">
        <v>0.0</v>
      </c>
      <c r="J235" s="1">
        <v>0.0</v>
      </c>
      <c r="K235" s="1">
        <v>94.848525</v>
      </c>
      <c r="L235" s="1" t="s">
        <v>625</v>
      </c>
    </row>
    <row r="236">
      <c r="A236" s="1" t="s">
        <v>626</v>
      </c>
      <c r="B236" s="1">
        <v>-15.397525</v>
      </c>
      <c r="C236" s="1">
        <v>10.0</v>
      </c>
      <c r="D236" s="1">
        <v>3.0</v>
      </c>
      <c r="E236" s="1">
        <v>0.3</v>
      </c>
      <c r="F236" s="1">
        <v>3.0</v>
      </c>
      <c r="G236" s="1">
        <v>-2.80944</v>
      </c>
      <c r="H236" s="1">
        <v>100.0</v>
      </c>
      <c r="I236" s="1">
        <v>0.0</v>
      </c>
      <c r="J236" s="1">
        <v>0.0</v>
      </c>
      <c r="K236" s="1">
        <v>98.093035</v>
      </c>
      <c r="L236" s="1" t="s">
        <v>627</v>
      </c>
    </row>
    <row r="237">
      <c r="A237" s="1" t="s">
        <v>628</v>
      </c>
      <c r="B237" s="1">
        <v>-18.249974</v>
      </c>
      <c r="C237" s="1">
        <v>7.0</v>
      </c>
      <c r="D237" s="1">
        <v>3.0</v>
      </c>
      <c r="E237" s="1">
        <v>0.285714</v>
      </c>
      <c r="F237" s="1">
        <v>2.0</v>
      </c>
      <c r="G237" s="1">
        <v>-0.785149</v>
      </c>
      <c r="H237" s="1">
        <v>100.0</v>
      </c>
      <c r="I237" s="1">
        <v>0.0</v>
      </c>
      <c r="J237" s="1">
        <v>0.0</v>
      </c>
      <c r="K237" s="1">
        <v>93.250591</v>
      </c>
      <c r="L237" s="1" t="s">
        <v>629</v>
      </c>
    </row>
    <row r="238">
      <c r="A238" s="1" t="s">
        <v>630</v>
      </c>
      <c r="B238" s="1">
        <v>-16.682557</v>
      </c>
      <c r="C238" s="1">
        <v>8.0</v>
      </c>
      <c r="D238" s="1">
        <v>2.0</v>
      </c>
      <c r="E238" s="1">
        <v>0.25</v>
      </c>
      <c r="F238" s="1">
        <v>2.0</v>
      </c>
      <c r="G238" s="1">
        <v>-0.664636</v>
      </c>
      <c r="H238" s="1">
        <v>100.0</v>
      </c>
      <c r="I238" s="1">
        <v>0.0</v>
      </c>
      <c r="J238" s="1">
        <v>0.0</v>
      </c>
      <c r="K238" s="1">
        <v>94.902807</v>
      </c>
      <c r="L238" s="1" t="s">
        <v>631</v>
      </c>
    </row>
    <row r="239">
      <c r="A239" s="1" t="s">
        <v>632</v>
      </c>
      <c r="B239" s="1">
        <v>-16.279523</v>
      </c>
      <c r="C239" s="1">
        <v>9.0</v>
      </c>
      <c r="D239" s="1">
        <v>3.0</v>
      </c>
      <c r="E239" s="1">
        <v>0.333333</v>
      </c>
      <c r="F239" s="1">
        <v>2.0</v>
      </c>
      <c r="G239" s="1">
        <v>-1.390816</v>
      </c>
      <c r="H239" s="1">
        <v>100.0</v>
      </c>
      <c r="I239" s="1">
        <v>0.0</v>
      </c>
      <c r="J239" s="1">
        <v>0.0</v>
      </c>
      <c r="K239" s="1">
        <v>96.662994</v>
      </c>
      <c r="L239" s="1" t="s">
        <v>633</v>
      </c>
    </row>
    <row r="240">
      <c r="A240" s="1" t="s">
        <v>357</v>
      </c>
      <c r="B240" s="1">
        <v>-18.499142</v>
      </c>
      <c r="C240" s="1">
        <v>10.0</v>
      </c>
      <c r="D240" s="1">
        <v>1.0</v>
      </c>
      <c r="E240" s="1">
        <v>0.3</v>
      </c>
      <c r="F240" s="1">
        <v>3.0</v>
      </c>
      <c r="G240" s="1">
        <v>-0.362342</v>
      </c>
      <c r="H240" s="1">
        <v>100.0</v>
      </c>
      <c r="I240" s="1">
        <v>0.0</v>
      </c>
      <c r="J240" s="1">
        <v>0.0</v>
      </c>
      <c r="K240" s="1">
        <v>95.438516</v>
      </c>
      <c r="L240" s="1" t="s">
        <v>358</v>
      </c>
    </row>
    <row r="241">
      <c r="A241" s="1" t="s">
        <v>634</v>
      </c>
      <c r="B241" s="1">
        <v>-15.449765</v>
      </c>
      <c r="C241" s="1">
        <v>12.0</v>
      </c>
      <c r="D241" s="1">
        <v>5.0</v>
      </c>
      <c r="E241" s="1">
        <v>0.333333</v>
      </c>
      <c r="F241" s="1">
        <v>2.0</v>
      </c>
      <c r="G241" s="1">
        <v>-1.438979</v>
      </c>
      <c r="H241" s="1">
        <v>100.0</v>
      </c>
      <c r="I241" s="1">
        <v>0.0</v>
      </c>
      <c r="J241" s="1">
        <v>0.0</v>
      </c>
      <c r="K241" s="1">
        <v>102.444589</v>
      </c>
      <c r="L241" s="1" t="s">
        <v>635</v>
      </c>
    </row>
    <row r="242">
      <c r="A242" s="1" t="s">
        <v>978</v>
      </c>
      <c r="B242" s="1">
        <v>-15.049047</v>
      </c>
      <c r="C242" s="1">
        <v>10.0</v>
      </c>
      <c r="D242" s="1">
        <v>4.0</v>
      </c>
      <c r="E242" s="1">
        <v>0.4</v>
      </c>
      <c r="F242" s="1">
        <v>2.0</v>
      </c>
      <c r="G242" s="1">
        <v>-0.37732</v>
      </c>
      <c r="H242" s="1">
        <v>100.0</v>
      </c>
      <c r="I242" s="1">
        <v>0.0</v>
      </c>
      <c r="J242" s="1">
        <v>0.0</v>
      </c>
      <c r="K242" s="1">
        <v>100.973633</v>
      </c>
      <c r="L242" s="1" t="s">
        <v>979</v>
      </c>
    </row>
    <row r="243">
      <c r="A243" s="1" t="s">
        <v>359</v>
      </c>
      <c r="B243" s="1">
        <v>-16.983006</v>
      </c>
      <c r="C243" s="1">
        <v>12.0</v>
      </c>
      <c r="D243" s="1">
        <v>5.0</v>
      </c>
      <c r="E243" s="1">
        <v>0.25</v>
      </c>
      <c r="F243" s="1">
        <v>2.0</v>
      </c>
      <c r="G243" s="1">
        <v>-0.69205</v>
      </c>
      <c r="H243" s="1">
        <v>100.0</v>
      </c>
      <c r="I243" s="1">
        <v>0.0</v>
      </c>
      <c r="J243" s="1">
        <v>0.0</v>
      </c>
      <c r="K243" s="1">
        <v>101.574944</v>
      </c>
      <c r="L243" s="1" t="s">
        <v>360</v>
      </c>
    </row>
    <row r="244">
      <c r="A244" s="1" t="s">
        <v>636</v>
      </c>
      <c r="B244" s="1">
        <v>-15.081811</v>
      </c>
      <c r="C244" s="1">
        <v>10.0</v>
      </c>
      <c r="D244" s="1">
        <v>3.0</v>
      </c>
      <c r="E244" s="1">
        <v>0.3</v>
      </c>
      <c r="F244" s="1">
        <v>2.0</v>
      </c>
      <c r="G244" s="1">
        <v>-0.81487</v>
      </c>
      <c r="H244" s="1">
        <v>100.0</v>
      </c>
      <c r="I244" s="1">
        <v>0.0</v>
      </c>
      <c r="J244" s="1">
        <v>0.0</v>
      </c>
      <c r="K244" s="1">
        <v>99.403319</v>
      </c>
      <c r="L244" s="1" t="s">
        <v>637</v>
      </c>
    </row>
    <row r="245">
      <c r="A245" s="1" t="s">
        <v>638</v>
      </c>
      <c r="B245" s="1">
        <v>-15.039533</v>
      </c>
      <c r="C245" s="1">
        <v>11.0</v>
      </c>
      <c r="D245" s="1">
        <v>2.0</v>
      </c>
      <c r="E245" s="1">
        <v>0.272727</v>
      </c>
      <c r="F245" s="1">
        <v>2.0</v>
      </c>
      <c r="G245" s="1">
        <v>-0.298395</v>
      </c>
      <c r="H245" s="1">
        <v>100.0</v>
      </c>
      <c r="I245" s="1">
        <v>0.0</v>
      </c>
      <c r="J245" s="1">
        <v>0.0</v>
      </c>
      <c r="K245" s="1">
        <v>99.934799</v>
      </c>
      <c r="L245" s="1" t="s">
        <v>639</v>
      </c>
    </row>
    <row r="246">
      <c r="A246" s="1" t="s">
        <v>640</v>
      </c>
      <c r="B246" s="1">
        <v>-16.102788</v>
      </c>
      <c r="C246" s="1">
        <v>7.0</v>
      </c>
      <c r="D246" s="1">
        <v>4.0</v>
      </c>
      <c r="E246" s="1">
        <v>0.285714</v>
      </c>
      <c r="F246" s="1">
        <v>2.0</v>
      </c>
      <c r="G246" s="1">
        <v>-0.534735</v>
      </c>
      <c r="H246" s="1">
        <v>100.0</v>
      </c>
      <c r="I246" s="1">
        <v>0.0</v>
      </c>
      <c r="J246" s="1">
        <v>0.0</v>
      </c>
      <c r="K246" s="1">
        <v>96.648191</v>
      </c>
      <c r="L246" s="1" t="s">
        <v>641</v>
      </c>
    </row>
    <row r="247">
      <c r="A247" s="1" t="s">
        <v>980</v>
      </c>
      <c r="B247" s="1">
        <v>-15.403036</v>
      </c>
      <c r="C247" s="1">
        <v>7.0</v>
      </c>
      <c r="D247" s="1">
        <v>3.0</v>
      </c>
      <c r="E247" s="1">
        <v>0.285714</v>
      </c>
      <c r="F247" s="1">
        <v>2.0</v>
      </c>
      <c r="G247" s="1">
        <v>-1.077382</v>
      </c>
      <c r="H247" s="1">
        <v>100.0</v>
      </c>
      <c r="I247" s="1">
        <v>0.0</v>
      </c>
      <c r="J247" s="1">
        <v>0.0</v>
      </c>
      <c r="K247" s="1">
        <v>95.805296</v>
      </c>
      <c r="L247" s="1" t="s">
        <v>981</v>
      </c>
    </row>
    <row r="248">
      <c r="A248" s="1" t="s">
        <v>982</v>
      </c>
      <c r="B248" s="1">
        <v>-15.302094</v>
      </c>
      <c r="C248" s="1">
        <v>7.0</v>
      </c>
      <c r="D248" s="1">
        <v>3.0</v>
      </c>
      <c r="E248" s="1">
        <v>0.285714</v>
      </c>
      <c r="F248" s="1">
        <v>2.0</v>
      </c>
      <c r="G248" s="1">
        <v>-0.935695</v>
      </c>
      <c r="H248" s="1">
        <v>100.0</v>
      </c>
      <c r="I248" s="1">
        <v>0.0</v>
      </c>
      <c r="J248" s="1">
        <v>0.0</v>
      </c>
      <c r="K248" s="1">
        <v>96.047925</v>
      </c>
      <c r="L248" s="1" t="s">
        <v>983</v>
      </c>
    </row>
    <row r="249">
      <c r="A249" s="1" t="s">
        <v>642</v>
      </c>
      <c r="B249" s="1">
        <v>-15.730727</v>
      </c>
      <c r="C249" s="1">
        <v>7.0</v>
      </c>
      <c r="D249" s="1">
        <v>3.0</v>
      </c>
      <c r="E249" s="1">
        <v>0.285714</v>
      </c>
      <c r="F249" s="1">
        <v>2.0</v>
      </c>
      <c r="G249" s="1">
        <v>-0.917975</v>
      </c>
      <c r="H249" s="1">
        <v>100.0</v>
      </c>
      <c r="I249" s="1">
        <v>0.0</v>
      </c>
      <c r="J249" s="1">
        <v>0.0</v>
      </c>
      <c r="K249" s="1">
        <v>95.637012</v>
      </c>
      <c r="L249" s="1" t="s">
        <v>643</v>
      </c>
    </row>
    <row r="250">
      <c r="A250" s="1" t="s">
        <v>984</v>
      </c>
      <c r="B250" s="1">
        <v>-18.022196</v>
      </c>
      <c r="C250" s="1">
        <v>7.0</v>
      </c>
      <c r="D250" s="1">
        <v>3.0</v>
      </c>
      <c r="E250" s="1">
        <v>0.285714</v>
      </c>
      <c r="F250" s="1">
        <v>2.0</v>
      </c>
      <c r="G250" s="1">
        <v>-0.903438</v>
      </c>
      <c r="H250" s="1">
        <v>100.0</v>
      </c>
      <c r="I250" s="1">
        <v>0.0</v>
      </c>
      <c r="J250" s="1">
        <v>0.0</v>
      </c>
      <c r="K250" s="1">
        <v>93.36008</v>
      </c>
      <c r="L250" s="1" t="s">
        <v>985</v>
      </c>
    </row>
    <row r="251">
      <c r="A251" s="1" t="s">
        <v>644</v>
      </c>
      <c r="B251" s="1">
        <v>-18.238756</v>
      </c>
      <c r="C251" s="1">
        <v>11.0</v>
      </c>
      <c r="D251" s="1">
        <v>2.0</v>
      </c>
      <c r="E251" s="1">
        <v>0.363636</v>
      </c>
      <c r="F251" s="1">
        <v>3.0</v>
      </c>
      <c r="G251" s="1">
        <v>-0.437833</v>
      </c>
      <c r="H251" s="1">
        <v>100.0</v>
      </c>
      <c r="I251" s="1">
        <v>0.0</v>
      </c>
      <c r="J251" s="1">
        <v>0.0</v>
      </c>
      <c r="K251" s="1">
        <v>97.687047</v>
      </c>
      <c r="L251" s="1" t="s">
        <v>645</v>
      </c>
    </row>
    <row r="252">
      <c r="A252" s="1" t="s">
        <v>361</v>
      </c>
      <c r="B252" s="1">
        <v>-15.529597</v>
      </c>
      <c r="C252" s="1">
        <v>9.0</v>
      </c>
      <c r="D252" s="1">
        <v>2.0</v>
      </c>
      <c r="E252" s="1">
        <v>0.444444</v>
      </c>
      <c r="F252" s="1">
        <v>2.0</v>
      </c>
      <c r="G252" s="1">
        <v>-0.986909</v>
      </c>
      <c r="H252" s="1">
        <v>100.0</v>
      </c>
      <c r="I252" s="1">
        <v>0.0</v>
      </c>
      <c r="J252" s="1">
        <v>0.0</v>
      </c>
      <c r="K252" s="1">
        <v>96.927938</v>
      </c>
      <c r="L252" s="1" t="s">
        <v>362</v>
      </c>
    </row>
    <row r="253">
      <c r="A253" s="1" t="s">
        <v>646</v>
      </c>
      <c r="B253" s="1">
        <v>-15.250452</v>
      </c>
      <c r="C253" s="1">
        <v>10.0</v>
      </c>
      <c r="D253" s="1">
        <v>5.0</v>
      </c>
      <c r="E253" s="1">
        <v>0.6</v>
      </c>
      <c r="F253" s="1">
        <v>2.0</v>
      </c>
      <c r="G253" s="1">
        <v>-0.981478</v>
      </c>
      <c r="H253" s="1">
        <v>100.0</v>
      </c>
      <c r="I253" s="1">
        <v>0.0</v>
      </c>
      <c r="J253" s="1">
        <v>0.0</v>
      </c>
      <c r="K253" s="1">
        <v>101.36807</v>
      </c>
      <c r="L253" s="1" t="s">
        <v>647</v>
      </c>
    </row>
    <row r="254">
      <c r="A254" s="1" t="s">
        <v>363</v>
      </c>
      <c r="B254" s="1">
        <v>-16.175959</v>
      </c>
      <c r="C254" s="1">
        <v>9.0</v>
      </c>
      <c r="D254" s="1">
        <v>3.0</v>
      </c>
      <c r="E254" s="1">
        <v>0.333333</v>
      </c>
      <c r="F254" s="1">
        <v>2.0</v>
      </c>
      <c r="G254" s="1">
        <v>-0.314357</v>
      </c>
      <c r="H254" s="1">
        <v>100.0</v>
      </c>
      <c r="I254" s="1">
        <v>0.0</v>
      </c>
      <c r="J254" s="1">
        <v>0.0</v>
      </c>
      <c r="K254" s="1">
        <v>97.843017</v>
      </c>
      <c r="L254" s="1" t="s">
        <v>364</v>
      </c>
    </row>
    <row r="255">
      <c r="A255" s="1" t="s">
        <v>648</v>
      </c>
      <c r="B255" s="1">
        <v>-16.232479</v>
      </c>
      <c r="C255" s="1">
        <v>9.0</v>
      </c>
      <c r="D255" s="1">
        <v>2.0</v>
      </c>
      <c r="E255" s="1">
        <v>0.333333</v>
      </c>
      <c r="F255" s="1">
        <v>2.0</v>
      </c>
      <c r="G255" s="1">
        <v>-0.871795</v>
      </c>
      <c r="H255" s="1">
        <v>100.0</v>
      </c>
      <c r="I255" s="1">
        <v>0.0</v>
      </c>
      <c r="J255" s="1">
        <v>0.0</v>
      </c>
      <c r="K255" s="1">
        <v>96.229059</v>
      </c>
      <c r="L255" s="1" t="s">
        <v>649</v>
      </c>
    </row>
    <row r="256">
      <c r="A256" s="1" t="s">
        <v>365</v>
      </c>
      <c r="B256" s="1">
        <v>-17.343073</v>
      </c>
      <c r="C256" s="1">
        <v>7.0</v>
      </c>
      <c r="D256" s="1">
        <v>2.0</v>
      </c>
      <c r="E256" s="1">
        <v>0.285714</v>
      </c>
      <c r="F256" s="1">
        <v>2.0</v>
      </c>
      <c r="G256" s="1">
        <v>-0.812617</v>
      </c>
      <c r="H256" s="1">
        <v>100.0</v>
      </c>
      <c r="I256" s="1">
        <v>0.0</v>
      </c>
      <c r="J256" s="1">
        <v>0.0</v>
      </c>
      <c r="K256" s="1">
        <v>93.130024</v>
      </c>
      <c r="L256" s="1" t="s">
        <v>366</v>
      </c>
    </row>
    <row r="257">
      <c r="A257" s="1" t="s">
        <v>650</v>
      </c>
      <c r="B257" s="1">
        <v>-15.101642</v>
      </c>
      <c r="C257" s="1">
        <v>8.0</v>
      </c>
      <c r="D257" s="1">
        <v>3.0</v>
      </c>
      <c r="E257" s="1">
        <v>0.25</v>
      </c>
      <c r="F257" s="1">
        <v>2.0</v>
      </c>
      <c r="G257" s="1">
        <v>-0.759632</v>
      </c>
      <c r="H257" s="1">
        <v>100.0</v>
      </c>
      <c r="I257" s="1">
        <v>0.0</v>
      </c>
      <c r="J257" s="1">
        <v>0.0</v>
      </c>
      <c r="K257" s="1">
        <v>97.388726</v>
      </c>
      <c r="L257" s="1" t="s">
        <v>651</v>
      </c>
    </row>
    <row r="258">
      <c r="A258" s="1" t="s">
        <v>652</v>
      </c>
      <c r="B258" s="1">
        <v>-17.123586</v>
      </c>
      <c r="C258" s="1">
        <v>8.0</v>
      </c>
      <c r="D258" s="1">
        <v>2.0</v>
      </c>
      <c r="E258" s="1">
        <v>0.375</v>
      </c>
      <c r="F258" s="1">
        <v>2.0</v>
      </c>
      <c r="G258" s="1">
        <v>-1.047168</v>
      </c>
      <c r="H258" s="1">
        <v>100.0</v>
      </c>
      <c r="I258" s="1">
        <v>0.0</v>
      </c>
      <c r="J258" s="1">
        <v>0.0</v>
      </c>
      <c r="K258" s="1">
        <v>94.204246</v>
      </c>
      <c r="L258" s="1" t="s">
        <v>653</v>
      </c>
    </row>
    <row r="259">
      <c r="A259" s="1" t="s">
        <v>986</v>
      </c>
      <c r="B259" s="1">
        <v>-15.014055</v>
      </c>
      <c r="C259" s="1">
        <v>7.0</v>
      </c>
      <c r="D259" s="1">
        <v>3.0</v>
      </c>
      <c r="E259" s="1">
        <v>0.285714</v>
      </c>
      <c r="F259" s="1">
        <v>2.0</v>
      </c>
      <c r="G259" s="1">
        <v>-0.455789</v>
      </c>
      <c r="H259" s="1">
        <v>100.0</v>
      </c>
      <c r="I259" s="1">
        <v>0.0</v>
      </c>
      <c r="J259" s="1">
        <v>0.0</v>
      </c>
      <c r="K259" s="1">
        <v>96.81587</v>
      </c>
      <c r="L259" s="1" t="s">
        <v>987</v>
      </c>
    </row>
    <row r="260">
      <c r="A260" s="1" t="s">
        <v>654</v>
      </c>
      <c r="B260" s="1">
        <v>-15.116665</v>
      </c>
      <c r="C260" s="1">
        <v>8.0</v>
      </c>
      <c r="D260" s="1">
        <v>2.0</v>
      </c>
      <c r="E260" s="1">
        <v>0.25</v>
      </c>
      <c r="F260" s="1">
        <v>2.0</v>
      </c>
      <c r="G260" s="1">
        <v>-1.150909</v>
      </c>
      <c r="H260" s="1">
        <v>100.0</v>
      </c>
      <c r="I260" s="1">
        <v>0.0</v>
      </c>
      <c r="J260" s="1">
        <v>0.0</v>
      </c>
      <c r="K260" s="1">
        <v>95.982426</v>
      </c>
      <c r="L260" s="1" t="s">
        <v>655</v>
      </c>
    </row>
    <row r="261">
      <c r="A261" s="1" t="s">
        <v>988</v>
      </c>
      <c r="B261" s="1">
        <v>-15.699962</v>
      </c>
      <c r="C261" s="1">
        <v>11.0</v>
      </c>
      <c r="D261" s="1">
        <v>4.0</v>
      </c>
      <c r="E261" s="1">
        <v>0.363636</v>
      </c>
      <c r="F261" s="1">
        <v>2.0</v>
      </c>
      <c r="G261" s="1">
        <v>-0.60822</v>
      </c>
      <c r="H261" s="1">
        <v>100.0</v>
      </c>
      <c r="I261" s="1">
        <v>0.0</v>
      </c>
      <c r="J261" s="1">
        <v>0.0</v>
      </c>
      <c r="K261" s="1">
        <v>101.055454</v>
      </c>
      <c r="L261" s="1" t="s">
        <v>989</v>
      </c>
    </row>
    <row r="262">
      <c r="A262" s="1" t="s">
        <v>656</v>
      </c>
      <c r="B262" s="1">
        <v>-15.353643</v>
      </c>
      <c r="C262" s="1">
        <v>9.0</v>
      </c>
      <c r="D262" s="1">
        <v>1.0</v>
      </c>
      <c r="E262" s="1">
        <v>0.333333</v>
      </c>
      <c r="F262" s="1">
        <v>2.0</v>
      </c>
      <c r="G262" s="1">
        <v>-1.274051</v>
      </c>
      <c r="H262" s="1">
        <v>100.0</v>
      </c>
      <c r="I262" s="1">
        <v>0.0</v>
      </c>
      <c r="J262" s="1">
        <v>0.0</v>
      </c>
      <c r="K262" s="1">
        <v>95.705639</v>
      </c>
      <c r="L262" s="1" t="s">
        <v>657</v>
      </c>
    </row>
    <row r="263">
      <c r="A263" s="1" t="s">
        <v>658</v>
      </c>
      <c r="B263" s="1">
        <v>-16.125849</v>
      </c>
      <c r="C263" s="1">
        <v>7.0</v>
      </c>
      <c r="D263" s="1">
        <v>4.0</v>
      </c>
      <c r="E263" s="1">
        <v>0.428571</v>
      </c>
      <c r="F263" s="1">
        <v>2.0</v>
      </c>
      <c r="G263" s="1">
        <v>-0.665465</v>
      </c>
      <c r="H263" s="1">
        <v>100.0</v>
      </c>
      <c r="I263" s="1">
        <v>0.0</v>
      </c>
      <c r="J263" s="1">
        <v>0.0</v>
      </c>
      <c r="K263" s="1">
        <v>96.637257</v>
      </c>
      <c r="L263" s="1" t="s">
        <v>659</v>
      </c>
    </row>
    <row r="264">
      <c r="A264" s="1" t="s">
        <v>660</v>
      </c>
      <c r="B264" s="1">
        <v>-16.253947</v>
      </c>
      <c r="C264" s="1">
        <v>7.0</v>
      </c>
      <c r="D264" s="1">
        <v>4.0</v>
      </c>
      <c r="E264" s="1">
        <v>0.285714</v>
      </c>
      <c r="F264" s="1">
        <v>2.0</v>
      </c>
      <c r="G264" s="1">
        <v>-0.635597</v>
      </c>
      <c r="H264" s="1">
        <v>100.0</v>
      </c>
      <c r="I264" s="1">
        <v>0.0</v>
      </c>
      <c r="J264" s="1">
        <v>0.0</v>
      </c>
      <c r="K264" s="1">
        <v>96.39617</v>
      </c>
      <c r="L264" s="1" t="s">
        <v>661</v>
      </c>
    </row>
    <row r="265">
      <c r="A265" s="1" t="s">
        <v>990</v>
      </c>
      <c r="B265" s="1">
        <v>-15.314253</v>
      </c>
      <c r="C265" s="1">
        <v>12.0</v>
      </c>
      <c r="D265" s="1">
        <v>4.0</v>
      </c>
      <c r="E265" s="1">
        <v>0.25</v>
      </c>
      <c r="F265" s="1">
        <v>2.0</v>
      </c>
      <c r="G265" s="1">
        <v>-0.675518</v>
      </c>
      <c r="H265" s="1">
        <v>100.0</v>
      </c>
      <c r="I265" s="1">
        <v>0.0</v>
      </c>
      <c r="J265" s="1">
        <v>0.0</v>
      </c>
      <c r="K265" s="1">
        <v>102.260229</v>
      </c>
      <c r="L265" s="1" t="s">
        <v>991</v>
      </c>
    </row>
    <row r="266">
      <c r="A266" s="1" t="s">
        <v>992</v>
      </c>
      <c r="B266" s="1">
        <v>-15.500702</v>
      </c>
      <c r="C266" s="1">
        <v>11.0</v>
      </c>
      <c r="D266" s="1">
        <v>4.0</v>
      </c>
      <c r="E266" s="1">
        <v>0.272727</v>
      </c>
      <c r="F266" s="1">
        <v>2.0</v>
      </c>
      <c r="G266" s="1">
        <v>-0.128303</v>
      </c>
      <c r="H266" s="1">
        <v>100.0</v>
      </c>
      <c r="I266" s="1">
        <v>0.0</v>
      </c>
      <c r="J266" s="1">
        <v>0.0</v>
      </c>
      <c r="K266" s="1">
        <v>101.643722</v>
      </c>
      <c r="L266" s="1" t="s">
        <v>993</v>
      </c>
    </row>
    <row r="267">
      <c r="A267" s="1" t="s">
        <v>662</v>
      </c>
      <c r="B267" s="1">
        <v>-15.462274</v>
      </c>
      <c r="C267" s="1">
        <v>8.0</v>
      </c>
      <c r="D267" s="1">
        <v>3.0</v>
      </c>
      <c r="E267" s="1">
        <v>0.25</v>
      </c>
      <c r="F267" s="1">
        <v>2.0</v>
      </c>
      <c r="G267" s="1">
        <v>-0.696577</v>
      </c>
      <c r="H267" s="1">
        <v>100.0</v>
      </c>
      <c r="I267" s="1">
        <v>0.0</v>
      </c>
      <c r="J267" s="1">
        <v>0.0</v>
      </c>
      <c r="K267" s="1">
        <v>97.091149</v>
      </c>
      <c r="L267" s="1" t="s">
        <v>663</v>
      </c>
    </row>
    <row r="268">
      <c r="A268" s="1" t="s">
        <v>367</v>
      </c>
      <c r="B268" s="1">
        <v>-15.840535</v>
      </c>
      <c r="C268" s="1">
        <v>8.0</v>
      </c>
      <c r="D268" s="1">
        <v>3.0</v>
      </c>
      <c r="E268" s="1">
        <v>0.25</v>
      </c>
      <c r="F268" s="1">
        <v>2.0</v>
      </c>
      <c r="G268" s="1">
        <v>-1.102898</v>
      </c>
      <c r="H268" s="1">
        <v>100.0</v>
      </c>
      <c r="I268" s="1">
        <v>0.0</v>
      </c>
      <c r="J268" s="1">
        <v>0.0</v>
      </c>
      <c r="K268" s="1">
        <v>96.306567</v>
      </c>
      <c r="L268" s="1" t="s">
        <v>368</v>
      </c>
    </row>
    <row r="269">
      <c r="A269" s="1" t="s">
        <v>664</v>
      </c>
      <c r="B269" s="1">
        <v>-16.40512</v>
      </c>
      <c r="C269" s="1">
        <v>7.0</v>
      </c>
      <c r="D269" s="1">
        <v>3.0</v>
      </c>
      <c r="E269" s="1">
        <v>0.428571</v>
      </c>
      <c r="F269" s="1">
        <v>2.0</v>
      </c>
      <c r="G269" s="1">
        <v>-0.666266999999999</v>
      </c>
      <c r="H269" s="1">
        <v>100.0</v>
      </c>
      <c r="I269" s="1">
        <v>0.0</v>
      </c>
      <c r="J269" s="1">
        <v>0.0</v>
      </c>
      <c r="K269" s="1">
        <v>95.357184</v>
      </c>
      <c r="L269" s="1" t="s">
        <v>665</v>
      </c>
    </row>
    <row r="270">
      <c r="A270" s="1" t="s">
        <v>666</v>
      </c>
      <c r="B270" s="1">
        <v>-17.584245</v>
      </c>
      <c r="C270" s="1">
        <v>9.0</v>
      </c>
      <c r="D270" s="1">
        <v>3.0</v>
      </c>
      <c r="E270" s="1">
        <v>0.333333</v>
      </c>
      <c r="F270" s="1">
        <v>2.0</v>
      </c>
      <c r="G270" s="1">
        <v>-0.939133</v>
      </c>
      <c r="H270" s="1">
        <v>100.0</v>
      </c>
      <c r="I270" s="1">
        <v>0.0</v>
      </c>
      <c r="J270" s="1">
        <v>0.0</v>
      </c>
      <c r="K270" s="1">
        <v>95.809955</v>
      </c>
      <c r="L270" s="1" t="s">
        <v>667</v>
      </c>
    </row>
    <row r="271">
      <c r="A271" s="1" t="s">
        <v>230</v>
      </c>
      <c r="B271" s="1">
        <v>-16.569372</v>
      </c>
      <c r="C271" s="1">
        <v>8.0</v>
      </c>
      <c r="D271" s="1">
        <v>3.0</v>
      </c>
      <c r="E271" s="1">
        <v>0.5</v>
      </c>
      <c r="F271" s="1">
        <v>2.0</v>
      </c>
      <c r="G271" s="1">
        <v>-0.987431</v>
      </c>
      <c r="H271" s="1">
        <v>100.0</v>
      </c>
      <c r="I271" s="1">
        <v>0.0</v>
      </c>
      <c r="J271" s="1">
        <v>0.0</v>
      </c>
      <c r="K271" s="1">
        <v>95.943197</v>
      </c>
      <c r="L271" s="1" t="s">
        <v>231</v>
      </c>
    </row>
    <row r="272">
      <c r="A272" s="1" t="s">
        <v>668</v>
      </c>
      <c r="B272" s="1">
        <v>-16.176007</v>
      </c>
      <c r="C272" s="1">
        <v>7.0</v>
      </c>
      <c r="D272" s="1">
        <v>3.0</v>
      </c>
      <c r="E272" s="1">
        <v>0.285714</v>
      </c>
      <c r="F272" s="1">
        <v>2.0</v>
      </c>
      <c r="G272" s="1">
        <v>-1.054648</v>
      </c>
      <c r="H272" s="1">
        <v>100.0</v>
      </c>
      <c r="I272" s="1">
        <v>0.0</v>
      </c>
      <c r="J272" s="1">
        <v>0.0</v>
      </c>
      <c r="K272" s="1">
        <v>95.055059</v>
      </c>
      <c r="L272" s="1" t="s">
        <v>669</v>
      </c>
    </row>
    <row r="273">
      <c r="A273" s="1" t="s">
        <v>670</v>
      </c>
      <c r="B273" s="1">
        <v>-16.225543</v>
      </c>
      <c r="C273" s="1">
        <v>7.0</v>
      </c>
      <c r="D273" s="1">
        <v>2.0</v>
      </c>
      <c r="E273" s="1">
        <v>0.428571</v>
      </c>
      <c r="F273" s="1">
        <v>2.0</v>
      </c>
      <c r="G273" s="1">
        <v>-0.484107</v>
      </c>
      <c r="H273" s="1">
        <v>100.0</v>
      </c>
      <c r="I273" s="1">
        <v>0.0</v>
      </c>
      <c r="J273" s="1">
        <v>0.0</v>
      </c>
      <c r="K273" s="1">
        <v>94.718921</v>
      </c>
      <c r="L273" s="1" t="s">
        <v>671</v>
      </c>
    </row>
    <row r="274">
      <c r="A274" s="1" t="s">
        <v>369</v>
      </c>
      <c r="B274" s="1">
        <v>-15.34511</v>
      </c>
      <c r="C274" s="1">
        <v>6.0</v>
      </c>
      <c r="D274" s="1">
        <v>3.0</v>
      </c>
      <c r="E274" s="1">
        <v>0.333333</v>
      </c>
      <c r="F274" s="1">
        <v>2.0</v>
      </c>
      <c r="G274" s="1">
        <v>-0.649549</v>
      </c>
      <c r="H274" s="1">
        <v>100.0</v>
      </c>
      <c r="I274" s="1">
        <v>0.0</v>
      </c>
      <c r="J274" s="1">
        <v>0.0</v>
      </c>
      <c r="K274" s="1">
        <v>95.338674</v>
      </c>
      <c r="L274" s="1" t="s">
        <v>370</v>
      </c>
    </row>
    <row r="275">
      <c r="A275" s="1" t="s">
        <v>232</v>
      </c>
      <c r="B275" s="1">
        <v>-16.448389</v>
      </c>
      <c r="C275" s="1">
        <v>9.0</v>
      </c>
      <c r="D275" s="1">
        <v>3.0</v>
      </c>
      <c r="E275" s="1">
        <v>0.333333</v>
      </c>
      <c r="F275" s="1">
        <v>2.0</v>
      </c>
      <c r="G275" s="1">
        <v>-1.562614</v>
      </c>
      <c r="H275" s="1">
        <v>100.0</v>
      </c>
      <c r="I275" s="1">
        <v>0.0</v>
      </c>
      <c r="J275" s="1">
        <v>0.0</v>
      </c>
      <c r="K275" s="1">
        <v>96.32233</v>
      </c>
      <c r="L275" s="1" t="s">
        <v>62</v>
      </c>
    </row>
    <row r="276">
      <c r="A276" s="1" t="s">
        <v>672</v>
      </c>
      <c r="B276" s="1">
        <v>-15.045702</v>
      </c>
      <c r="C276" s="1">
        <v>7.0</v>
      </c>
      <c r="D276" s="1">
        <v>2.0</v>
      </c>
      <c r="E276" s="1">
        <v>0.428571</v>
      </c>
      <c r="F276" s="1">
        <v>2.0</v>
      </c>
      <c r="G276" s="1">
        <v>-0.145764</v>
      </c>
      <c r="H276" s="1">
        <v>100.0</v>
      </c>
      <c r="I276" s="1">
        <v>0.0</v>
      </c>
      <c r="J276" s="1">
        <v>0.0</v>
      </c>
      <c r="K276" s="1">
        <v>96.237105</v>
      </c>
      <c r="L276" s="1" t="s">
        <v>673</v>
      </c>
    </row>
    <row r="277">
      <c r="A277" s="1" t="s">
        <v>674</v>
      </c>
      <c r="B277" s="1">
        <v>-15.974714</v>
      </c>
      <c r="C277" s="1">
        <v>8.0</v>
      </c>
      <c r="D277" s="1">
        <v>3.0</v>
      </c>
      <c r="E277" s="1">
        <v>0.75</v>
      </c>
      <c r="F277" s="1">
        <v>2.0</v>
      </c>
      <c r="G277" s="1">
        <v>-1.016178</v>
      </c>
      <c r="H277" s="1">
        <v>100.0</v>
      </c>
      <c r="I277" s="1">
        <v>0.0</v>
      </c>
      <c r="J277" s="1">
        <v>0.0</v>
      </c>
      <c r="K277" s="1">
        <v>96.759108</v>
      </c>
      <c r="L277" s="1" t="s">
        <v>675</v>
      </c>
    </row>
    <row r="278">
      <c r="A278" s="1" t="s">
        <v>676</v>
      </c>
      <c r="B278" s="1">
        <v>-16.160059</v>
      </c>
      <c r="C278" s="1">
        <v>8.0</v>
      </c>
      <c r="D278" s="1">
        <v>4.0</v>
      </c>
      <c r="E278" s="1">
        <v>0.25</v>
      </c>
      <c r="F278" s="1">
        <v>2.0</v>
      </c>
      <c r="G278" s="1">
        <v>-0.878462</v>
      </c>
      <c r="H278" s="1">
        <v>100.0</v>
      </c>
      <c r="I278" s="1">
        <v>0.0</v>
      </c>
      <c r="J278" s="1">
        <v>0.0</v>
      </c>
      <c r="K278" s="1">
        <v>97.211479</v>
      </c>
      <c r="L278" s="1" t="s">
        <v>677</v>
      </c>
    </row>
    <row r="279">
      <c r="A279" s="1" t="s">
        <v>371</v>
      </c>
      <c r="B279" s="1">
        <v>-15.869256</v>
      </c>
      <c r="C279" s="1">
        <v>7.0</v>
      </c>
      <c r="D279" s="1">
        <v>2.0</v>
      </c>
      <c r="E279" s="1">
        <v>0.428571</v>
      </c>
      <c r="F279" s="1">
        <v>3.0</v>
      </c>
      <c r="G279" s="1">
        <v>-2.176816</v>
      </c>
      <c r="H279" s="1">
        <v>100.0</v>
      </c>
      <c r="I279" s="1">
        <v>0.0</v>
      </c>
      <c r="J279" s="1">
        <v>0.0</v>
      </c>
      <c r="K279" s="1">
        <v>94.382499</v>
      </c>
      <c r="L279" s="1" t="s">
        <v>372</v>
      </c>
    </row>
    <row r="280">
      <c r="A280" s="1" t="s">
        <v>678</v>
      </c>
      <c r="B280" s="1">
        <v>-18.272222</v>
      </c>
      <c r="C280" s="1">
        <v>10.0</v>
      </c>
      <c r="D280" s="1">
        <v>5.0</v>
      </c>
      <c r="E280" s="1">
        <v>0.3</v>
      </c>
      <c r="F280" s="1">
        <v>2.0</v>
      </c>
      <c r="G280" s="1">
        <v>-0.405121</v>
      </c>
      <c r="H280" s="1">
        <v>100.0</v>
      </c>
      <c r="I280" s="1">
        <v>0.0</v>
      </c>
      <c r="J280" s="1">
        <v>0.0</v>
      </c>
      <c r="K280" s="1">
        <v>98.622657</v>
      </c>
      <c r="L280" s="1" t="s">
        <v>679</v>
      </c>
    </row>
    <row r="281">
      <c r="A281" s="1" t="s">
        <v>680</v>
      </c>
      <c r="B281" s="1">
        <v>-15.01485</v>
      </c>
      <c r="C281" s="1">
        <v>10.0</v>
      </c>
      <c r="D281" s="1">
        <v>2.0</v>
      </c>
      <c r="E281" s="1">
        <v>0.3</v>
      </c>
      <c r="F281" s="1">
        <v>2.0</v>
      </c>
      <c r="G281" s="1">
        <v>-1.104749</v>
      </c>
      <c r="H281" s="1">
        <v>100.0</v>
      </c>
      <c r="I281" s="1">
        <v>0.0</v>
      </c>
      <c r="J281" s="1">
        <v>0.0</v>
      </c>
      <c r="K281" s="1">
        <v>98.180401</v>
      </c>
      <c r="L281" s="1" t="s">
        <v>681</v>
      </c>
    </row>
    <row r="282">
      <c r="A282" s="1" t="s">
        <v>682</v>
      </c>
      <c r="B282" s="1">
        <v>-15.989297</v>
      </c>
      <c r="C282" s="1">
        <v>11.0</v>
      </c>
      <c r="D282" s="1">
        <v>5.0</v>
      </c>
      <c r="E282" s="1">
        <v>0.272727</v>
      </c>
      <c r="F282" s="1">
        <v>2.0</v>
      </c>
      <c r="G282" s="1">
        <v>-1.369641</v>
      </c>
      <c r="H282" s="1">
        <v>100.0</v>
      </c>
      <c r="I282" s="1">
        <v>0.0</v>
      </c>
      <c r="J282" s="1">
        <v>0.0</v>
      </c>
      <c r="K282" s="1">
        <v>100.913789</v>
      </c>
      <c r="L282" s="1" t="s">
        <v>683</v>
      </c>
    </row>
    <row r="283">
      <c r="A283" s="1" t="s">
        <v>233</v>
      </c>
      <c r="B283" s="1">
        <v>-16.810235</v>
      </c>
      <c r="C283" s="1">
        <v>9.0</v>
      </c>
      <c r="D283" s="1">
        <v>3.0</v>
      </c>
      <c r="E283" s="1">
        <v>0.444444</v>
      </c>
      <c r="F283" s="1">
        <v>2.0</v>
      </c>
      <c r="G283" s="1">
        <v>-0.880047</v>
      </c>
      <c r="H283" s="1">
        <v>100.0</v>
      </c>
      <c r="I283" s="1">
        <v>0.0</v>
      </c>
      <c r="J283" s="1">
        <v>0.0</v>
      </c>
      <c r="K283" s="1">
        <v>96.754162</v>
      </c>
      <c r="L283" s="1" t="s">
        <v>103</v>
      </c>
    </row>
    <row r="284">
      <c r="A284" s="1" t="s">
        <v>684</v>
      </c>
      <c r="B284" s="1">
        <v>-15.306522</v>
      </c>
      <c r="C284" s="1">
        <v>6.0</v>
      </c>
      <c r="D284" s="1">
        <v>3.0</v>
      </c>
      <c r="E284" s="1">
        <v>0.333333</v>
      </c>
      <c r="F284" s="1">
        <v>2.0</v>
      </c>
      <c r="G284" s="1">
        <v>-0.742594</v>
      </c>
      <c r="H284" s="1">
        <v>100.0</v>
      </c>
      <c r="I284" s="1">
        <v>0.0</v>
      </c>
      <c r="J284" s="1">
        <v>0.0</v>
      </c>
      <c r="K284" s="1">
        <v>95.284217</v>
      </c>
      <c r="L284" s="1" t="s">
        <v>685</v>
      </c>
    </row>
    <row r="285">
      <c r="A285" s="1" t="s">
        <v>686</v>
      </c>
      <c r="B285" s="1">
        <v>-15.475451</v>
      </c>
      <c r="C285" s="1">
        <v>7.0</v>
      </c>
      <c r="D285" s="1">
        <v>3.0</v>
      </c>
      <c r="E285" s="1">
        <v>0.285714</v>
      </c>
      <c r="F285" s="1">
        <v>2.0</v>
      </c>
      <c r="G285" s="1">
        <v>-0.691715</v>
      </c>
      <c r="H285" s="1">
        <v>100.0</v>
      </c>
      <c r="I285" s="1">
        <v>0.0</v>
      </c>
      <c r="J285" s="1">
        <v>0.0</v>
      </c>
      <c r="K285" s="1">
        <v>96.118548</v>
      </c>
      <c r="L285" s="1" t="s">
        <v>687</v>
      </c>
    </row>
    <row r="286">
      <c r="A286" s="1" t="s">
        <v>994</v>
      </c>
      <c r="B286" s="1">
        <v>-15.20253</v>
      </c>
      <c r="C286" s="1">
        <v>8.0</v>
      </c>
      <c r="D286" s="1">
        <v>4.0</v>
      </c>
      <c r="E286" s="1">
        <v>0.25</v>
      </c>
      <c r="F286" s="1">
        <v>2.0</v>
      </c>
      <c r="G286" s="1">
        <v>-0.673079</v>
      </c>
      <c r="H286" s="1">
        <v>100.0</v>
      </c>
      <c r="I286" s="1">
        <v>0.0</v>
      </c>
      <c r="J286" s="1">
        <v>0.0</v>
      </c>
      <c r="K286" s="1">
        <v>98.374391</v>
      </c>
      <c r="L286" s="1" t="s">
        <v>995</v>
      </c>
    </row>
    <row r="287">
      <c r="A287" s="1" t="s">
        <v>688</v>
      </c>
      <c r="B287" s="1">
        <v>-15.264499</v>
      </c>
      <c r="C287" s="1">
        <v>8.0</v>
      </c>
      <c r="D287" s="1">
        <v>4.0</v>
      </c>
      <c r="E287" s="1">
        <v>0.25</v>
      </c>
      <c r="F287" s="1">
        <v>3.0</v>
      </c>
      <c r="G287" s="1">
        <v>-2.824081</v>
      </c>
      <c r="H287" s="1">
        <v>100.0</v>
      </c>
      <c r="I287" s="1">
        <v>0.0</v>
      </c>
      <c r="J287" s="1">
        <v>0.0</v>
      </c>
      <c r="K287" s="1">
        <v>97.16142</v>
      </c>
      <c r="L287" s="1" t="s">
        <v>689</v>
      </c>
    </row>
    <row r="288">
      <c r="A288" s="1" t="s">
        <v>690</v>
      </c>
      <c r="B288" s="1">
        <v>-17.916145</v>
      </c>
      <c r="C288" s="1">
        <v>7.0</v>
      </c>
      <c r="D288" s="1">
        <v>3.0</v>
      </c>
      <c r="E288" s="1">
        <v>0.285714</v>
      </c>
      <c r="F288" s="1">
        <v>2.0</v>
      </c>
      <c r="G288" s="1">
        <v>-0.498345</v>
      </c>
      <c r="H288" s="1">
        <v>100.0</v>
      </c>
      <c r="I288" s="1">
        <v>0.0</v>
      </c>
      <c r="J288" s="1">
        <v>0.0</v>
      </c>
      <c r="K288" s="1">
        <v>93.871224</v>
      </c>
      <c r="L288" s="1" t="s">
        <v>691</v>
      </c>
    </row>
    <row r="289">
      <c r="A289" s="1" t="s">
        <v>692</v>
      </c>
      <c r="B289" s="1">
        <v>-17.862429</v>
      </c>
      <c r="C289" s="1">
        <v>7.0</v>
      </c>
      <c r="D289" s="1">
        <v>2.0</v>
      </c>
      <c r="E289" s="1">
        <v>0.428571</v>
      </c>
      <c r="F289" s="1">
        <v>2.0</v>
      </c>
      <c r="G289" s="1">
        <v>-1.010229</v>
      </c>
      <c r="H289" s="1">
        <v>100.0</v>
      </c>
      <c r="I289" s="1">
        <v>0.0</v>
      </c>
      <c r="J289" s="1">
        <v>0.0</v>
      </c>
      <c r="K289" s="1">
        <v>92.555913</v>
      </c>
      <c r="L289" s="1" t="s">
        <v>693</v>
      </c>
    </row>
    <row r="290">
      <c r="A290" s="1" t="s">
        <v>694</v>
      </c>
      <c r="B290" s="1">
        <v>-17.2393</v>
      </c>
      <c r="C290" s="1">
        <v>10.0</v>
      </c>
      <c r="D290" s="1">
        <v>2.0</v>
      </c>
      <c r="E290" s="1">
        <v>0.4</v>
      </c>
      <c r="F290" s="1">
        <v>2.0</v>
      </c>
      <c r="G290" s="1">
        <v>-0.929713</v>
      </c>
      <c r="H290" s="1">
        <v>100.0</v>
      </c>
      <c r="I290" s="1">
        <v>0.0</v>
      </c>
      <c r="J290" s="1">
        <v>0.0</v>
      </c>
      <c r="K290" s="1">
        <v>96.230987</v>
      </c>
      <c r="L290" s="1" t="s">
        <v>695</v>
      </c>
    </row>
    <row r="291">
      <c r="A291" s="1" t="s">
        <v>696</v>
      </c>
      <c r="B291" s="1">
        <v>-15.670032</v>
      </c>
      <c r="C291" s="1">
        <v>9.0</v>
      </c>
      <c r="D291" s="1">
        <v>2.0</v>
      </c>
      <c r="E291" s="1">
        <v>0.333333</v>
      </c>
      <c r="F291" s="1">
        <v>3.0</v>
      </c>
      <c r="G291" s="1">
        <v>-2.085592</v>
      </c>
      <c r="H291" s="1">
        <v>100.0</v>
      </c>
      <c r="I291" s="1">
        <v>0.0</v>
      </c>
      <c r="J291" s="1">
        <v>0.0</v>
      </c>
      <c r="K291" s="1">
        <v>96.577709</v>
      </c>
      <c r="L291" s="1" t="s">
        <v>697</v>
      </c>
    </row>
    <row r="292">
      <c r="A292" s="1" t="s">
        <v>698</v>
      </c>
      <c r="B292" s="1">
        <v>-16.41529</v>
      </c>
      <c r="C292" s="1">
        <v>11.0</v>
      </c>
      <c r="D292" s="1">
        <v>3.0</v>
      </c>
      <c r="E292" s="1">
        <v>0.272727</v>
      </c>
      <c r="F292" s="1">
        <v>2.0</v>
      </c>
      <c r="G292" s="1">
        <v>-1.249983</v>
      </c>
      <c r="H292" s="1">
        <v>100.0</v>
      </c>
      <c r="I292" s="1">
        <v>0.0</v>
      </c>
      <c r="J292" s="1">
        <v>0.0</v>
      </c>
      <c r="K292" s="1">
        <v>98.607454</v>
      </c>
      <c r="L292" s="1" t="s">
        <v>699</v>
      </c>
    </row>
    <row r="293">
      <c r="A293" s="1" t="s">
        <v>700</v>
      </c>
      <c r="B293" s="1">
        <v>-17.405701</v>
      </c>
      <c r="C293" s="1">
        <v>8.0</v>
      </c>
      <c r="D293" s="1">
        <v>3.0</v>
      </c>
      <c r="E293" s="1">
        <v>0.25</v>
      </c>
      <c r="F293" s="1">
        <v>2.0</v>
      </c>
      <c r="G293" s="1">
        <v>-0.784250999999999</v>
      </c>
      <c r="H293" s="1">
        <v>100.0</v>
      </c>
      <c r="I293" s="1">
        <v>0.0</v>
      </c>
      <c r="J293" s="1">
        <v>0.0</v>
      </c>
      <c r="K293" s="1">
        <v>95.060048</v>
      </c>
      <c r="L293" s="1" t="s">
        <v>701</v>
      </c>
    </row>
    <row r="294">
      <c r="A294" s="1" t="s">
        <v>996</v>
      </c>
      <c r="B294" s="1">
        <v>-16.387992</v>
      </c>
      <c r="C294" s="1">
        <v>8.0</v>
      </c>
      <c r="D294" s="1">
        <v>2.0</v>
      </c>
      <c r="E294" s="1">
        <v>0.25</v>
      </c>
      <c r="F294" s="1">
        <v>2.0</v>
      </c>
      <c r="G294" s="1">
        <v>-1.049027</v>
      </c>
      <c r="H294" s="1">
        <v>100.0</v>
      </c>
      <c r="I294" s="1">
        <v>0.0</v>
      </c>
      <c r="J294" s="1">
        <v>0.0</v>
      </c>
      <c r="K294" s="1">
        <v>94.812981</v>
      </c>
      <c r="L294" s="1" t="s">
        <v>997</v>
      </c>
    </row>
    <row r="295">
      <c r="A295" s="1" t="s">
        <v>998</v>
      </c>
      <c r="B295" s="1">
        <v>-15.790538</v>
      </c>
      <c r="C295" s="1">
        <v>8.0</v>
      </c>
      <c r="D295" s="1">
        <v>4.0</v>
      </c>
      <c r="E295" s="1">
        <v>0.25</v>
      </c>
      <c r="F295" s="1">
        <v>2.0</v>
      </c>
      <c r="G295" s="1">
        <v>-0.799056</v>
      </c>
      <c r="H295" s="1">
        <v>100.0</v>
      </c>
      <c r="I295" s="1">
        <v>0.0</v>
      </c>
      <c r="J295" s="1">
        <v>0.0</v>
      </c>
      <c r="K295" s="1">
        <v>97.660406</v>
      </c>
      <c r="L295" s="1" t="s">
        <v>999</v>
      </c>
    </row>
    <row r="296">
      <c r="A296" s="1" t="s">
        <v>702</v>
      </c>
      <c r="B296" s="1">
        <v>-15.051101</v>
      </c>
      <c r="C296" s="1">
        <v>7.0</v>
      </c>
      <c r="D296" s="1">
        <v>1.0</v>
      </c>
      <c r="E296" s="1">
        <v>0.285714</v>
      </c>
      <c r="F296" s="1">
        <v>2.0</v>
      </c>
      <c r="G296" s="1">
        <v>-1.221512</v>
      </c>
      <c r="H296" s="1">
        <v>100.0</v>
      </c>
      <c r="I296" s="1">
        <v>0.0</v>
      </c>
      <c r="J296" s="1">
        <v>0.0</v>
      </c>
      <c r="K296" s="1">
        <v>94.013101</v>
      </c>
      <c r="L296" s="1" t="s">
        <v>703</v>
      </c>
    </row>
    <row r="297">
      <c r="A297" s="1" t="s">
        <v>373</v>
      </c>
      <c r="B297" s="1">
        <v>-16.284917</v>
      </c>
      <c r="C297" s="1">
        <v>8.0</v>
      </c>
      <c r="D297" s="1">
        <v>5.0</v>
      </c>
      <c r="E297" s="1">
        <v>0.25</v>
      </c>
      <c r="F297" s="1">
        <v>2.0</v>
      </c>
      <c r="G297" s="1">
        <v>-1.566179</v>
      </c>
      <c r="H297" s="1">
        <v>100.0</v>
      </c>
      <c r="I297" s="1">
        <v>0.0</v>
      </c>
      <c r="J297" s="1">
        <v>0.0</v>
      </c>
      <c r="K297" s="1">
        <v>97.398904</v>
      </c>
      <c r="L297" s="1" t="s">
        <v>171</v>
      </c>
    </row>
    <row r="298">
      <c r="A298" s="1" t="s">
        <v>234</v>
      </c>
      <c r="B298" s="1">
        <v>-15.466932</v>
      </c>
      <c r="C298" s="1">
        <v>7.0</v>
      </c>
      <c r="D298" s="1">
        <v>3.0</v>
      </c>
      <c r="E298" s="1">
        <v>0.285714</v>
      </c>
      <c r="F298" s="1">
        <v>2.0</v>
      </c>
      <c r="G298" s="1">
        <v>-1.068929</v>
      </c>
      <c r="H298" s="1">
        <v>100.0</v>
      </c>
      <c r="I298" s="1">
        <v>0.0</v>
      </c>
      <c r="J298" s="1">
        <v>0.0</v>
      </c>
      <c r="K298" s="1">
        <v>95.749853</v>
      </c>
      <c r="L298" s="1" t="s">
        <v>235</v>
      </c>
    </row>
    <row r="299">
      <c r="A299" s="1" t="s">
        <v>704</v>
      </c>
      <c r="B299" s="1">
        <v>-15.372243</v>
      </c>
      <c r="C299" s="1">
        <v>9.0</v>
      </c>
      <c r="D299" s="1">
        <v>3.0</v>
      </c>
      <c r="E299" s="1">
        <v>0.444444</v>
      </c>
      <c r="F299" s="1">
        <v>2.0</v>
      </c>
      <c r="G299" s="1">
        <v>-0.654994</v>
      </c>
      <c r="H299" s="1">
        <v>100.0</v>
      </c>
      <c r="I299" s="1">
        <v>0.0</v>
      </c>
      <c r="J299" s="1">
        <v>0.0</v>
      </c>
      <c r="K299" s="1">
        <v>98.417207</v>
      </c>
      <c r="L299" s="1" t="s">
        <v>705</v>
      </c>
    </row>
    <row r="300">
      <c r="A300" s="1" t="s">
        <v>706</v>
      </c>
      <c r="B300" s="1">
        <v>-15.595989</v>
      </c>
      <c r="C300" s="1">
        <v>6.0</v>
      </c>
      <c r="D300" s="1">
        <v>2.0</v>
      </c>
      <c r="E300" s="1">
        <v>0.333333</v>
      </c>
      <c r="F300" s="1">
        <v>2.0</v>
      </c>
      <c r="G300" s="1">
        <v>-1.006767</v>
      </c>
      <c r="H300" s="1">
        <v>100.0</v>
      </c>
      <c r="I300" s="1">
        <v>0.0</v>
      </c>
      <c r="J300" s="1">
        <v>0.0</v>
      </c>
      <c r="K300" s="1">
        <v>93.730577</v>
      </c>
      <c r="L300" s="1" t="s">
        <v>707</v>
      </c>
    </row>
    <row r="301">
      <c r="A301" s="1" t="s">
        <v>1000</v>
      </c>
      <c r="B301" s="1">
        <v>-15.10018</v>
      </c>
      <c r="C301" s="1">
        <v>10.0</v>
      </c>
      <c r="D301" s="1">
        <v>4.0</v>
      </c>
      <c r="E301" s="1">
        <v>0.4</v>
      </c>
      <c r="F301" s="1">
        <v>2.0</v>
      </c>
      <c r="G301" s="1">
        <v>-1.324945</v>
      </c>
      <c r="H301" s="1">
        <v>100.0</v>
      </c>
      <c r="I301" s="1">
        <v>0.0</v>
      </c>
      <c r="J301" s="1">
        <v>0.0</v>
      </c>
      <c r="K301" s="1">
        <v>99.974875</v>
      </c>
      <c r="L301" s="1" t="s">
        <v>1001</v>
      </c>
    </row>
    <row r="302">
      <c r="A302" s="1" t="s">
        <v>1002</v>
      </c>
      <c r="B302" s="1">
        <v>-15.298524</v>
      </c>
      <c r="C302" s="1">
        <v>6.0</v>
      </c>
      <c r="D302" s="1">
        <v>3.0</v>
      </c>
      <c r="E302" s="1">
        <v>0.666667</v>
      </c>
      <c r="F302" s="1">
        <v>2.0</v>
      </c>
      <c r="G302" s="1">
        <v>-0.912719</v>
      </c>
      <c r="H302" s="1">
        <v>100.0</v>
      </c>
      <c r="I302" s="1">
        <v>0.0</v>
      </c>
      <c r="J302" s="1">
        <v>0.0</v>
      </c>
      <c r="K302" s="1">
        <v>95.455424</v>
      </c>
      <c r="L302" s="1" t="s">
        <v>1003</v>
      </c>
    </row>
    <row r="303">
      <c r="A303" s="1" t="s">
        <v>708</v>
      </c>
      <c r="B303" s="1">
        <v>-15.472997</v>
      </c>
      <c r="C303" s="1">
        <v>12.0</v>
      </c>
      <c r="D303" s="1">
        <v>3.0</v>
      </c>
      <c r="E303" s="1">
        <v>0.25</v>
      </c>
      <c r="F303" s="1">
        <v>2.0</v>
      </c>
      <c r="G303" s="1">
        <v>-1.558156</v>
      </c>
      <c r="H303" s="1">
        <v>100.0</v>
      </c>
      <c r="I303" s="1">
        <v>0.0</v>
      </c>
      <c r="J303" s="1">
        <v>0.0</v>
      </c>
      <c r="K303" s="1">
        <v>100.218847</v>
      </c>
      <c r="L303" s="1" t="s">
        <v>709</v>
      </c>
    </row>
    <row r="304">
      <c r="A304" s="1" t="s">
        <v>710</v>
      </c>
      <c r="B304" s="1">
        <v>-15.848889</v>
      </c>
      <c r="C304" s="1">
        <v>9.0</v>
      </c>
      <c r="D304" s="1">
        <v>2.0</v>
      </c>
      <c r="E304" s="1">
        <v>0.444444</v>
      </c>
      <c r="F304" s="1">
        <v>2.0</v>
      </c>
      <c r="G304" s="1">
        <v>-0.821315</v>
      </c>
      <c r="H304" s="1">
        <v>100.0</v>
      </c>
      <c r="I304" s="1">
        <v>0.0</v>
      </c>
      <c r="J304" s="1">
        <v>0.0</v>
      </c>
      <c r="K304" s="1">
        <v>96.77424</v>
      </c>
      <c r="L304" s="1" t="s">
        <v>711</v>
      </c>
    </row>
    <row r="305">
      <c r="A305" s="1" t="s">
        <v>236</v>
      </c>
      <c r="B305" s="1">
        <v>-15.035637</v>
      </c>
      <c r="C305" s="1">
        <v>8.0</v>
      </c>
      <c r="D305" s="1">
        <v>4.0</v>
      </c>
      <c r="E305" s="1">
        <v>0.25</v>
      </c>
      <c r="F305" s="1">
        <v>2.0</v>
      </c>
      <c r="G305" s="1">
        <v>-0.915905</v>
      </c>
      <c r="H305" s="1">
        <v>100.0</v>
      </c>
      <c r="I305" s="1">
        <v>0.0</v>
      </c>
      <c r="J305" s="1">
        <v>0.0</v>
      </c>
      <c r="K305" s="1">
        <v>98.298458</v>
      </c>
      <c r="L305" s="1" t="s">
        <v>107</v>
      </c>
    </row>
    <row r="306">
      <c r="A306" s="1" t="s">
        <v>712</v>
      </c>
      <c r="B306" s="1">
        <v>-15.465539</v>
      </c>
      <c r="C306" s="1">
        <v>10.0</v>
      </c>
      <c r="D306" s="1">
        <v>2.0</v>
      </c>
      <c r="E306" s="1">
        <v>0.3</v>
      </c>
      <c r="F306" s="1">
        <v>2.0</v>
      </c>
      <c r="G306" s="1">
        <v>-0.744564999999999</v>
      </c>
      <c r="H306" s="1">
        <v>100.0</v>
      </c>
      <c r="I306" s="1">
        <v>0.0</v>
      </c>
      <c r="J306" s="1">
        <v>0.0</v>
      </c>
      <c r="K306" s="1">
        <v>98.089896</v>
      </c>
      <c r="L306" s="1" t="s">
        <v>713</v>
      </c>
    </row>
    <row r="307">
      <c r="A307" s="1" t="s">
        <v>714</v>
      </c>
      <c r="B307" s="1">
        <v>-15.548246</v>
      </c>
      <c r="C307" s="1">
        <v>7.0</v>
      </c>
      <c r="D307" s="1">
        <v>3.0</v>
      </c>
      <c r="E307" s="1">
        <v>0.285714</v>
      </c>
      <c r="F307" s="1">
        <v>2.0</v>
      </c>
      <c r="G307" s="1">
        <v>-0.82711</v>
      </c>
      <c r="H307" s="1">
        <v>100.0</v>
      </c>
      <c r="I307" s="1">
        <v>0.0</v>
      </c>
      <c r="J307" s="1">
        <v>0.0</v>
      </c>
      <c r="K307" s="1">
        <v>95.910358</v>
      </c>
      <c r="L307" s="1" t="s">
        <v>715</v>
      </c>
    </row>
    <row r="308">
      <c r="A308" s="1" t="s">
        <v>716</v>
      </c>
      <c r="B308" s="1">
        <v>-15.47809</v>
      </c>
      <c r="C308" s="1">
        <v>7.0</v>
      </c>
      <c r="D308" s="1">
        <v>2.0</v>
      </c>
      <c r="E308" s="1">
        <v>0.285714</v>
      </c>
      <c r="F308" s="1">
        <v>2.0</v>
      </c>
      <c r="G308" s="1">
        <v>-1.032518</v>
      </c>
      <c r="H308" s="1">
        <v>100.0</v>
      </c>
      <c r="I308" s="1">
        <v>0.0</v>
      </c>
      <c r="J308" s="1">
        <v>0.0</v>
      </c>
      <c r="K308" s="1">
        <v>94.775106</v>
      </c>
      <c r="L308" s="1" t="s">
        <v>717</v>
      </c>
    </row>
    <row r="309">
      <c r="A309" s="1" t="s">
        <v>718</v>
      </c>
      <c r="B309" s="1">
        <v>-16.063302</v>
      </c>
      <c r="C309" s="1">
        <v>7.0</v>
      </c>
      <c r="D309" s="1">
        <v>3.0</v>
      </c>
      <c r="E309" s="1">
        <v>0.428571</v>
      </c>
      <c r="F309" s="1">
        <v>2.0</v>
      </c>
      <c r="G309" s="1">
        <v>-0.987857</v>
      </c>
      <c r="H309" s="1">
        <v>100.0</v>
      </c>
      <c r="I309" s="1">
        <v>0.0</v>
      </c>
      <c r="J309" s="1">
        <v>0.0</v>
      </c>
      <c r="K309" s="1">
        <v>95.377412</v>
      </c>
      <c r="L309" s="1" t="s">
        <v>719</v>
      </c>
    </row>
    <row r="310">
      <c r="A310" s="1" t="s">
        <v>720</v>
      </c>
      <c r="B310" s="1">
        <v>-16.896992</v>
      </c>
      <c r="C310" s="1">
        <v>8.0</v>
      </c>
      <c r="D310" s="1">
        <v>3.0</v>
      </c>
      <c r="E310" s="1">
        <v>0.25</v>
      </c>
      <c r="F310" s="1">
        <v>2.0</v>
      </c>
      <c r="G310" s="1">
        <v>-0.288931</v>
      </c>
      <c r="H310" s="1">
        <v>100.0</v>
      </c>
      <c r="I310" s="1">
        <v>0.0</v>
      </c>
      <c r="J310" s="1">
        <v>0.0</v>
      </c>
      <c r="K310" s="1">
        <v>96.064077</v>
      </c>
      <c r="L310" s="1" t="s">
        <v>721</v>
      </c>
    </row>
    <row r="311">
      <c r="A311" s="1" t="s">
        <v>722</v>
      </c>
      <c r="B311" s="1">
        <v>-15.57465</v>
      </c>
      <c r="C311" s="1">
        <v>10.0</v>
      </c>
      <c r="D311" s="1">
        <v>5.0</v>
      </c>
      <c r="E311" s="1">
        <v>0.4</v>
      </c>
      <c r="F311" s="1">
        <v>2.0</v>
      </c>
      <c r="G311" s="1">
        <v>-0.60161</v>
      </c>
      <c r="H311" s="1">
        <v>100.0</v>
      </c>
      <c r="I311" s="1">
        <v>0.0</v>
      </c>
      <c r="J311" s="1">
        <v>0.0</v>
      </c>
      <c r="K311" s="1">
        <v>101.22374</v>
      </c>
      <c r="L311" s="1" t="s">
        <v>723</v>
      </c>
    </row>
    <row r="312">
      <c r="A312" s="1" t="s">
        <v>724</v>
      </c>
      <c r="B312" s="1">
        <v>-15.170379</v>
      </c>
      <c r="C312" s="1">
        <v>7.0</v>
      </c>
      <c r="D312" s="1">
        <v>2.0</v>
      </c>
      <c r="E312" s="1">
        <v>0.285714</v>
      </c>
      <c r="F312" s="1">
        <v>2.0</v>
      </c>
      <c r="G312" s="1">
        <v>-0.667648999999999</v>
      </c>
      <c r="H312" s="1">
        <v>100.0</v>
      </c>
      <c r="I312" s="1">
        <v>0.0</v>
      </c>
      <c r="J312" s="1">
        <v>0.0</v>
      </c>
      <c r="K312" s="1">
        <v>95.447686</v>
      </c>
      <c r="L312" s="1" t="s">
        <v>725</v>
      </c>
    </row>
    <row r="313">
      <c r="A313" s="1" t="s">
        <v>1004</v>
      </c>
      <c r="B313" s="1">
        <v>-15.449821</v>
      </c>
      <c r="C313" s="1">
        <v>8.0</v>
      </c>
      <c r="D313" s="1">
        <v>4.0</v>
      </c>
      <c r="E313" s="1">
        <v>0.25</v>
      </c>
      <c r="F313" s="1">
        <v>2.0</v>
      </c>
      <c r="G313" s="1">
        <v>-0.597896</v>
      </c>
      <c r="H313" s="1">
        <v>100.0</v>
      </c>
      <c r="I313" s="1">
        <v>0.0</v>
      </c>
      <c r="J313" s="1">
        <v>0.0</v>
      </c>
      <c r="K313" s="1">
        <v>98.202283</v>
      </c>
      <c r="L313" s="1" t="s">
        <v>1005</v>
      </c>
    </row>
    <row r="314">
      <c r="A314" s="1" t="s">
        <v>726</v>
      </c>
      <c r="B314" s="1">
        <v>-16.876109</v>
      </c>
      <c r="C314" s="1">
        <v>7.0</v>
      </c>
      <c r="D314" s="1">
        <v>3.0</v>
      </c>
      <c r="E314" s="1">
        <v>0.285714</v>
      </c>
      <c r="F314" s="1">
        <v>2.0</v>
      </c>
      <c r="G314" s="1">
        <v>-0.125013</v>
      </c>
      <c r="H314" s="1">
        <v>100.0</v>
      </c>
      <c r="I314" s="1">
        <v>0.0</v>
      </c>
      <c r="J314" s="1">
        <v>0.0</v>
      </c>
      <c r="K314" s="1">
        <v>95.284592</v>
      </c>
      <c r="L314" s="1" t="s">
        <v>727</v>
      </c>
    </row>
    <row r="315">
      <c r="A315" s="1" t="s">
        <v>728</v>
      </c>
      <c r="B315" s="1">
        <v>-15.669627</v>
      </c>
      <c r="C315" s="1">
        <v>8.0</v>
      </c>
      <c r="D315" s="1">
        <v>3.0</v>
      </c>
      <c r="E315" s="1">
        <v>0.5</v>
      </c>
      <c r="F315" s="1">
        <v>2.0</v>
      </c>
      <c r="G315" s="1">
        <v>-1.095518</v>
      </c>
      <c r="H315" s="1">
        <v>100.0</v>
      </c>
      <c r="I315" s="1">
        <v>0.0</v>
      </c>
      <c r="J315" s="1">
        <v>0.0</v>
      </c>
      <c r="K315" s="1">
        <v>96.734855</v>
      </c>
      <c r="L315" s="1" t="s">
        <v>729</v>
      </c>
    </row>
    <row r="316">
      <c r="A316" s="1" t="s">
        <v>730</v>
      </c>
      <c r="B316" s="1">
        <v>-16.538591</v>
      </c>
      <c r="C316" s="1">
        <v>11.0</v>
      </c>
      <c r="D316" s="1">
        <v>2.0</v>
      </c>
      <c r="E316" s="1">
        <v>0.454545</v>
      </c>
      <c r="F316" s="1">
        <v>2.0</v>
      </c>
      <c r="G316" s="1">
        <v>-0.672628</v>
      </c>
      <c r="H316" s="1">
        <v>100.0</v>
      </c>
      <c r="I316" s="1">
        <v>0.0</v>
      </c>
      <c r="J316" s="1">
        <v>0.0</v>
      </c>
      <c r="K316" s="1">
        <v>98.243326</v>
      </c>
      <c r="L316" s="1" t="s">
        <v>731</v>
      </c>
    </row>
    <row r="317">
      <c r="A317" s="1" t="s">
        <v>732</v>
      </c>
      <c r="B317" s="1">
        <v>-15.518271</v>
      </c>
      <c r="C317" s="1">
        <v>7.0</v>
      </c>
      <c r="D317" s="1">
        <v>2.0</v>
      </c>
      <c r="E317" s="1">
        <v>0.285714</v>
      </c>
      <c r="F317" s="1">
        <v>2.0</v>
      </c>
      <c r="G317" s="1">
        <v>-0.704432</v>
      </c>
      <c r="H317" s="1">
        <v>100.0</v>
      </c>
      <c r="I317" s="1">
        <v>0.0</v>
      </c>
      <c r="J317" s="1">
        <v>0.0</v>
      </c>
      <c r="K317" s="1">
        <v>95.063011</v>
      </c>
      <c r="L317" s="1" t="s">
        <v>733</v>
      </c>
    </row>
    <row r="318">
      <c r="A318" s="1" t="s">
        <v>734</v>
      </c>
      <c r="B318" s="1">
        <v>-16.273007</v>
      </c>
      <c r="C318" s="1">
        <v>10.0</v>
      </c>
      <c r="D318" s="1">
        <v>5.0</v>
      </c>
      <c r="E318" s="1">
        <v>0.5</v>
      </c>
      <c r="F318" s="1">
        <v>2.0</v>
      </c>
      <c r="G318" s="1">
        <v>-1.336251</v>
      </c>
      <c r="H318" s="1">
        <v>100.0</v>
      </c>
      <c r="I318" s="1">
        <v>0.0</v>
      </c>
      <c r="J318" s="1">
        <v>0.0</v>
      </c>
      <c r="K318" s="1">
        <v>99.890742</v>
      </c>
      <c r="L318" s="1" t="s">
        <v>735</v>
      </c>
    </row>
    <row r="319">
      <c r="A319" s="1" t="s">
        <v>736</v>
      </c>
      <c r="B319" s="1">
        <v>-15.21474</v>
      </c>
      <c r="C319" s="1">
        <v>9.0</v>
      </c>
      <c r="D319" s="1">
        <v>1.0</v>
      </c>
      <c r="E319" s="1">
        <v>0.333333</v>
      </c>
      <c r="F319" s="1">
        <v>2.0</v>
      </c>
      <c r="G319" s="1">
        <v>-1.192772</v>
      </c>
      <c r="H319" s="1">
        <v>100.0</v>
      </c>
      <c r="I319" s="1">
        <v>0.0</v>
      </c>
      <c r="J319" s="1">
        <v>0.0</v>
      </c>
      <c r="K319" s="1">
        <v>95.925821</v>
      </c>
      <c r="L319" s="1" t="s">
        <v>737</v>
      </c>
    </row>
    <row r="320">
      <c r="A320" s="1" t="s">
        <v>1006</v>
      </c>
      <c r="B320" s="1">
        <v>-15.287369</v>
      </c>
      <c r="C320" s="1">
        <v>8.0</v>
      </c>
      <c r="D320" s="1">
        <v>5.0</v>
      </c>
      <c r="E320" s="1">
        <v>0.375</v>
      </c>
      <c r="F320" s="1">
        <v>2.0</v>
      </c>
      <c r="G320" s="1">
        <v>-1.284821</v>
      </c>
      <c r="H320" s="1">
        <v>100.0</v>
      </c>
      <c r="I320" s="1">
        <v>0.0</v>
      </c>
      <c r="J320" s="1">
        <v>0.0</v>
      </c>
      <c r="K320" s="1">
        <v>98.80281</v>
      </c>
      <c r="L320" s="1" t="s">
        <v>1007</v>
      </c>
    </row>
    <row r="321">
      <c r="A321" s="1" t="s">
        <v>1008</v>
      </c>
      <c r="B321" s="1">
        <v>-15.020705</v>
      </c>
      <c r="C321" s="1">
        <v>8.0</v>
      </c>
      <c r="D321" s="1">
        <v>4.0</v>
      </c>
      <c r="E321" s="1">
        <v>0.375</v>
      </c>
      <c r="F321" s="1">
        <v>2.0</v>
      </c>
      <c r="G321" s="1">
        <v>-0.497393</v>
      </c>
      <c r="H321" s="1">
        <v>100.0</v>
      </c>
      <c r="I321" s="1">
        <v>0.0</v>
      </c>
      <c r="J321" s="1">
        <v>0.0</v>
      </c>
      <c r="K321" s="1">
        <v>98.856902</v>
      </c>
      <c r="L321" s="1" t="s">
        <v>1009</v>
      </c>
    </row>
    <row r="322">
      <c r="A322" s="1" t="s">
        <v>738</v>
      </c>
      <c r="B322" s="1">
        <v>-15.689275</v>
      </c>
      <c r="C322" s="1">
        <v>6.0</v>
      </c>
      <c r="D322" s="1">
        <v>1.0</v>
      </c>
      <c r="E322" s="1">
        <v>0.333333</v>
      </c>
      <c r="F322" s="1">
        <v>2.0</v>
      </c>
      <c r="G322" s="1">
        <v>-0.283942</v>
      </c>
      <c r="H322" s="1">
        <v>100.0</v>
      </c>
      <c r="I322" s="1">
        <v>0.0</v>
      </c>
      <c r="J322" s="1">
        <v>0.0</v>
      </c>
      <c r="K322" s="1">
        <v>93.360116</v>
      </c>
      <c r="L322" s="1" t="s">
        <v>739</v>
      </c>
    </row>
    <row r="323">
      <c r="A323" s="1" t="s">
        <v>740</v>
      </c>
      <c r="B323" s="1">
        <v>-19.0248</v>
      </c>
      <c r="C323" s="1">
        <v>10.0</v>
      </c>
      <c r="D323" s="1">
        <v>1.0</v>
      </c>
      <c r="E323" s="1">
        <v>0.3</v>
      </c>
      <c r="F323" s="1">
        <v>2.0</v>
      </c>
      <c r="G323" s="1">
        <v>-0.194124</v>
      </c>
      <c r="H323" s="1">
        <v>100.0</v>
      </c>
      <c r="I323" s="1">
        <v>0.0</v>
      </c>
      <c r="J323" s="1">
        <v>0.0</v>
      </c>
      <c r="K323" s="1">
        <v>94.081076</v>
      </c>
      <c r="L323" s="1" t="s">
        <v>741</v>
      </c>
    </row>
    <row r="324">
      <c r="A324" s="1" t="s">
        <v>742</v>
      </c>
      <c r="B324" s="1">
        <v>-16.168018</v>
      </c>
      <c r="C324" s="1">
        <v>7.0</v>
      </c>
      <c r="D324" s="1">
        <v>4.0</v>
      </c>
      <c r="E324" s="1">
        <v>0.428571</v>
      </c>
      <c r="F324" s="1">
        <v>2.0</v>
      </c>
      <c r="G324" s="1">
        <v>-1.027591</v>
      </c>
      <c r="H324" s="1">
        <v>100.0</v>
      </c>
      <c r="I324" s="1">
        <v>0.0</v>
      </c>
      <c r="J324" s="1">
        <v>0.0</v>
      </c>
      <c r="K324" s="1">
        <v>96.232962</v>
      </c>
      <c r="L324" s="1" t="s">
        <v>743</v>
      </c>
    </row>
    <row r="325">
      <c r="A325" s="1" t="s">
        <v>237</v>
      </c>
      <c r="B325" s="1">
        <v>-16.448683</v>
      </c>
      <c r="C325" s="1">
        <v>7.0</v>
      </c>
      <c r="D325" s="1">
        <v>4.0</v>
      </c>
      <c r="E325" s="1">
        <v>0.428571</v>
      </c>
      <c r="F325" s="1">
        <v>2.0</v>
      </c>
      <c r="G325" s="1">
        <v>-1.118176</v>
      </c>
      <c r="H325" s="1">
        <v>100.0</v>
      </c>
      <c r="I325" s="1">
        <v>0.0</v>
      </c>
      <c r="J325" s="1">
        <v>0.0</v>
      </c>
      <c r="K325" s="1">
        <v>95.861712</v>
      </c>
      <c r="L325" s="1" t="s">
        <v>238</v>
      </c>
    </row>
    <row r="326">
      <c r="A326" s="1" t="s">
        <v>744</v>
      </c>
      <c r="B326" s="1">
        <v>-17.880646</v>
      </c>
      <c r="C326" s="1">
        <v>7.0</v>
      </c>
      <c r="D326" s="1">
        <v>3.0</v>
      </c>
      <c r="E326" s="1">
        <v>0.285714</v>
      </c>
      <c r="F326" s="1">
        <v>2.0</v>
      </c>
      <c r="G326" s="1">
        <v>-0.782756</v>
      </c>
      <c r="H326" s="1">
        <v>100.0</v>
      </c>
      <c r="I326" s="1">
        <v>0.0</v>
      </c>
      <c r="J326" s="1">
        <v>0.0</v>
      </c>
      <c r="K326" s="1">
        <v>93.622312</v>
      </c>
      <c r="L326" s="1" t="s">
        <v>745</v>
      </c>
    </row>
    <row r="327">
      <c r="A327" s="1" t="s">
        <v>746</v>
      </c>
      <c r="B327" s="1">
        <v>-15.808583</v>
      </c>
      <c r="C327" s="1">
        <v>8.0</v>
      </c>
      <c r="D327" s="1">
        <v>3.0</v>
      </c>
      <c r="E327" s="1">
        <v>0.25</v>
      </c>
      <c r="F327" s="1">
        <v>2.0</v>
      </c>
      <c r="G327" s="1">
        <v>-0.274418999999999</v>
      </c>
      <c r="H327" s="1">
        <v>100.0</v>
      </c>
      <c r="I327" s="1">
        <v>0.0</v>
      </c>
      <c r="J327" s="1">
        <v>0.0</v>
      </c>
      <c r="K327" s="1">
        <v>97.166998</v>
      </c>
      <c r="L327" s="1" t="s">
        <v>747</v>
      </c>
    </row>
    <row r="328">
      <c r="A328" s="1" t="s">
        <v>748</v>
      </c>
      <c r="B328" s="1">
        <v>-15.922666</v>
      </c>
      <c r="C328" s="1">
        <v>11.0</v>
      </c>
      <c r="D328" s="1">
        <v>4.0</v>
      </c>
      <c r="E328" s="1">
        <v>0.272727</v>
      </c>
      <c r="F328" s="1">
        <v>2.0</v>
      </c>
      <c r="G328" s="1">
        <v>-1.281239</v>
      </c>
      <c r="H328" s="1">
        <v>100.0</v>
      </c>
      <c r="I328" s="1">
        <v>0.0</v>
      </c>
      <c r="J328" s="1">
        <v>0.0</v>
      </c>
      <c r="K328" s="1">
        <v>100.068822</v>
      </c>
      <c r="L328" s="1" t="s">
        <v>749</v>
      </c>
    </row>
    <row r="329">
      <c r="A329" s="1" t="s">
        <v>239</v>
      </c>
      <c r="B329" s="1">
        <v>-15.291041</v>
      </c>
      <c r="C329" s="1">
        <v>8.0</v>
      </c>
      <c r="D329" s="1">
        <v>3.0</v>
      </c>
      <c r="E329" s="1">
        <v>0.375</v>
      </c>
      <c r="F329" s="1">
        <v>2.0</v>
      </c>
      <c r="G329" s="1">
        <v>-0.739298999999999</v>
      </c>
      <c r="H329" s="1">
        <v>100.0</v>
      </c>
      <c r="I329" s="1">
        <v>0.0</v>
      </c>
      <c r="J329" s="1">
        <v>0.0</v>
      </c>
      <c r="K329" s="1">
        <v>97.34466</v>
      </c>
      <c r="L329" s="1" t="s">
        <v>240</v>
      </c>
    </row>
    <row r="330">
      <c r="A330" s="1" t="s">
        <v>750</v>
      </c>
      <c r="B330" s="1">
        <v>-16.054057</v>
      </c>
      <c r="C330" s="1">
        <v>8.0</v>
      </c>
      <c r="D330" s="1">
        <v>3.0</v>
      </c>
      <c r="E330" s="1">
        <v>0.25</v>
      </c>
      <c r="F330" s="1">
        <v>3.0</v>
      </c>
      <c r="G330" s="1">
        <v>-2.086385</v>
      </c>
      <c r="H330" s="1">
        <v>100.0</v>
      </c>
      <c r="I330" s="1">
        <v>0.0</v>
      </c>
      <c r="J330" s="1">
        <v>0.0</v>
      </c>
      <c r="K330" s="1">
        <v>96.109558</v>
      </c>
      <c r="L330" s="1" t="s">
        <v>751</v>
      </c>
    </row>
    <row r="331">
      <c r="A331" s="1" t="s">
        <v>752</v>
      </c>
      <c r="B331" s="1">
        <v>-15.254939</v>
      </c>
      <c r="C331" s="1">
        <v>10.0</v>
      </c>
      <c r="D331" s="1">
        <v>2.0</v>
      </c>
      <c r="E331" s="1">
        <v>0.3</v>
      </c>
      <c r="F331" s="1">
        <v>3.0</v>
      </c>
      <c r="G331" s="1">
        <v>-1.268036</v>
      </c>
      <c r="H331" s="1">
        <v>100.0</v>
      </c>
      <c r="I331" s="1">
        <v>0.0</v>
      </c>
      <c r="J331" s="1">
        <v>0.0</v>
      </c>
      <c r="K331" s="1">
        <v>98.777025</v>
      </c>
      <c r="L331" s="1" t="s">
        <v>753</v>
      </c>
    </row>
    <row r="332">
      <c r="A332" s="1" t="s">
        <v>1010</v>
      </c>
      <c r="B332" s="1">
        <v>-17.523214</v>
      </c>
      <c r="C332" s="1">
        <v>11.0</v>
      </c>
      <c r="D332" s="1">
        <v>4.0</v>
      </c>
      <c r="E332" s="1">
        <v>0.363636</v>
      </c>
      <c r="F332" s="1">
        <v>2.0</v>
      </c>
      <c r="G332" s="1">
        <v>-1.221166</v>
      </c>
      <c r="H332" s="1">
        <v>100.0</v>
      </c>
      <c r="I332" s="1">
        <v>0.0</v>
      </c>
      <c r="J332" s="1">
        <v>0.0</v>
      </c>
      <c r="K332" s="1">
        <v>98.619256</v>
      </c>
      <c r="L332" s="1" t="s">
        <v>1011</v>
      </c>
    </row>
    <row r="333">
      <c r="A333" s="1" t="s">
        <v>754</v>
      </c>
      <c r="B333" s="1">
        <v>-15.154038</v>
      </c>
      <c r="C333" s="1">
        <v>9.0</v>
      </c>
      <c r="D333" s="1">
        <v>2.0</v>
      </c>
      <c r="E333" s="1">
        <v>0.333333</v>
      </c>
      <c r="F333" s="1">
        <v>2.0</v>
      </c>
      <c r="G333" s="1">
        <v>-0.848837</v>
      </c>
      <c r="H333" s="1">
        <v>100.0</v>
      </c>
      <c r="I333" s="1">
        <v>0.0</v>
      </c>
      <c r="J333" s="1">
        <v>0.0</v>
      </c>
      <c r="K333" s="1">
        <v>97.330458</v>
      </c>
      <c r="L333" s="1" t="s">
        <v>755</v>
      </c>
    </row>
    <row r="334">
      <c r="A334" s="1" t="s">
        <v>756</v>
      </c>
      <c r="B334" s="1">
        <v>-15.837791</v>
      </c>
      <c r="C334" s="1">
        <v>7.0</v>
      </c>
      <c r="D334" s="1">
        <v>2.0</v>
      </c>
      <c r="E334" s="1">
        <v>0.285714</v>
      </c>
      <c r="F334" s="1">
        <v>2.0</v>
      </c>
      <c r="G334" s="1">
        <v>-1.071572</v>
      </c>
      <c r="H334" s="1">
        <v>100.0</v>
      </c>
      <c r="I334" s="1">
        <v>0.0</v>
      </c>
      <c r="J334" s="1">
        <v>0.0</v>
      </c>
      <c r="K334" s="1">
        <v>94.376351</v>
      </c>
      <c r="L334" s="1" t="s">
        <v>757</v>
      </c>
    </row>
    <row r="335">
      <c r="A335" s="1" t="s">
        <v>758</v>
      </c>
      <c r="B335" s="1">
        <v>-15.397445</v>
      </c>
      <c r="C335" s="1">
        <v>8.0</v>
      </c>
      <c r="D335" s="1">
        <v>5.0</v>
      </c>
      <c r="E335" s="1">
        <v>0.5</v>
      </c>
      <c r="F335" s="1">
        <v>2.0</v>
      </c>
      <c r="G335" s="1">
        <v>-1.534955</v>
      </c>
      <c r="H335" s="1">
        <v>100.0</v>
      </c>
      <c r="I335" s="1">
        <v>0.0</v>
      </c>
      <c r="J335" s="1">
        <v>0.0</v>
      </c>
      <c r="K335" s="1">
        <v>98.5676</v>
      </c>
      <c r="L335" s="1" t="s">
        <v>759</v>
      </c>
    </row>
    <row r="336">
      <c r="A336" s="1" t="s">
        <v>760</v>
      </c>
      <c r="B336" s="1">
        <v>-15.876867</v>
      </c>
      <c r="C336" s="1">
        <v>9.0</v>
      </c>
      <c r="D336" s="1">
        <v>5.0</v>
      </c>
      <c r="E336" s="1">
        <v>0.444444</v>
      </c>
      <c r="F336" s="1">
        <v>2.0</v>
      </c>
      <c r="G336" s="1">
        <v>-0.548546</v>
      </c>
      <c r="H336" s="1">
        <v>100.0</v>
      </c>
      <c r="I336" s="1">
        <v>0.0</v>
      </c>
      <c r="J336" s="1">
        <v>0.0</v>
      </c>
      <c r="K336" s="1">
        <v>100.019031</v>
      </c>
      <c r="L336" s="1" t="s">
        <v>761</v>
      </c>
    </row>
    <row r="337">
      <c r="A337" s="1" t="s">
        <v>1012</v>
      </c>
      <c r="B337" s="1">
        <v>-15.685805</v>
      </c>
      <c r="C337" s="1">
        <v>10.0</v>
      </c>
      <c r="D337" s="1">
        <v>3.0</v>
      </c>
      <c r="E337" s="1">
        <v>0.3</v>
      </c>
      <c r="F337" s="1">
        <v>2.0</v>
      </c>
      <c r="G337" s="1">
        <v>-0.997716</v>
      </c>
      <c r="H337" s="1">
        <v>100.0</v>
      </c>
      <c r="I337" s="1">
        <v>0.0</v>
      </c>
      <c r="J337" s="1">
        <v>0.0</v>
      </c>
      <c r="K337" s="1">
        <v>98.616479</v>
      </c>
      <c r="L337" s="1" t="s">
        <v>1013</v>
      </c>
    </row>
    <row r="338">
      <c r="A338" s="1" t="s">
        <v>762</v>
      </c>
      <c r="B338" s="1">
        <v>-15.298627</v>
      </c>
      <c r="C338" s="1">
        <v>8.0</v>
      </c>
      <c r="D338" s="1">
        <v>2.0</v>
      </c>
      <c r="E338" s="1">
        <v>0.25</v>
      </c>
      <c r="F338" s="1">
        <v>2.0</v>
      </c>
      <c r="G338" s="1">
        <v>-0.483175</v>
      </c>
      <c r="H338" s="1">
        <v>100.0</v>
      </c>
      <c r="I338" s="1">
        <v>0.0</v>
      </c>
      <c r="J338" s="1">
        <v>0.0</v>
      </c>
      <c r="K338" s="1">
        <v>96.468198</v>
      </c>
      <c r="L338" s="1" t="s">
        <v>763</v>
      </c>
    </row>
    <row r="339">
      <c r="A339" s="1" t="s">
        <v>1014</v>
      </c>
      <c r="B339" s="1">
        <v>-17.896335</v>
      </c>
      <c r="C339" s="1">
        <v>10.0</v>
      </c>
      <c r="D339" s="1">
        <v>4.0</v>
      </c>
      <c r="E339" s="1">
        <v>0.3</v>
      </c>
      <c r="F339" s="1">
        <v>2.0</v>
      </c>
      <c r="G339" s="1">
        <v>-0.787613</v>
      </c>
      <c r="H339" s="1">
        <v>100.0</v>
      </c>
      <c r="I339" s="1">
        <v>0.0</v>
      </c>
      <c r="J339" s="1">
        <v>0.0</v>
      </c>
      <c r="K339" s="1">
        <v>97.616052</v>
      </c>
      <c r="L339" s="1" t="s">
        <v>1015</v>
      </c>
    </row>
    <row r="340">
      <c r="A340" s="1" t="s">
        <v>764</v>
      </c>
      <c r="B340" s="1">
        <v>-18.469678</v>
      </c>
      <c r="C340" s="1">
        <v>10.0</v>
      </c>
      <c r="D340" s="1">
        <v>4.0</v>
      </c>
      <c r="E340" s="1">
        <v>0.4</v>
      </c>
      <c r="F340" s="1">
        <v>2.0</v>
      </c>
      <c r="G340" s="1">
        <v>-1.363106</v>
      </c>
      <c r="H340" s="1">
        <v>100.0</v>
      </c>
      <c r="I340" s="1">
        <v>0.0</v>
      </c>
      <c r="J340" s="1">
        <v>0.0</v>
      </c>
      <c r="K340" s="1">
        <v>96.567216</v>
      </c>
      <c r="L340" s="1" t="s">
        <v>765</v>
      </c>
    </row>
    <row r="341">
      <c r="A341" s="1" t="s">
        <v>766</v>
      </c>
      <c r="B341" s="1">
        <v>-16.667832</v>
      </c>
      <c r="C341" s="1">
        <v>6.0</v>
      </c>
      <c r="D341" s="1">
        <v>2.0</v>
      </c>
      <c r="E341" s="1">
        <v>0.333333</v>
      </c>
      <c r="F341" s="1">
        <v>2.0</v>
      </c>
      <c r="G341" s="1">
        <v>-1.030818</v>
      </c>
      <c r="H341" s="1">
        <v>100.0</v>
      </c>
      <c r="I341" s="1">
        <v>0.0</v>
      </c>
      <c r="J341" s="1">
        <v>0.0</v>
      </c>
      <c r="K341" s="1">
        <v>92.634683</v>
      </c>
      <c r="L341" s="1" t="s">
        <v>767</v>
      </c>
    </row>
    <row r="342">
      <c r="A342" s="1" t="s">
        <v>374</v>
      </c>
      <c r="B342" s="1">
        <v>-16.118663</v>
      </c>
      <c r="C342" s="1">
        <v>9.0</v>
      </c>
      <c r="D342" s="1">
        <v>1.0</v>
      </c>
      <c r="E342" s="1">
        <v>0.333333</v>
      </c>
      <c r="F342" s="1">
        <v>2.0</v>
      </c>
      <c r="G342" s="1">
        <v>-0.368431</v>
      </c>
      <c r="H342" s="1">
        <v>100.0</v>
      </c>
      <c r="I342" s="1">
        <v>0.0</v>
      </c>
      <c r="J342" s="1">
        <v>0.0</v>
      </c>
      <c r="K342" s="1">
        <v>95.846239</v>
      </c>
      <c r="L342" s="1" t="s">
        <v>174</v>
      </c>
    </row>
    <row r="343">
      <c r="A343" s="1" t="s">
        <v>768</v>
      </c>
      <c r="B343" s="1">
        <v>-15.215774</v>
      </c>
      <c r="C343" s="1">
        <v>7.0</v>
      </c>
      <c r="D343" s="1">
        <v>3.0</v>
      </c>
      <c r="E343" s="1">
        <v>0.285714</v>
      </c>
      <c r="F343" s="1">
        <v>2.0</v>
      </c>
      <c r="G343" s="1">
        <v>-0.616062</v>
      </c>
      <c r="H343" s="1">
        <v>100.0</v>
      </c>
      <c r="I343" s="1">
        <v>0.0</v>
      </c>
      <c r="J343" s="1">
        <v>0.0</v>
      </c>
      <c r="K343" s="1">
        <v>96.453878</v>
      </c>
      <c r="L343" s="1" t="s">
        <v>769</v>
      </c>
    </row>
    <row r="344">
      <c r="A344" s="1" t="s">
        <v>1016</v>
      </c>
      <c r="B344" s="1">
        <v>-16.549445</v>
      </c>
      <c r="C344" s="1">
        <v>8.0</v>
      </c>
      <c r="D344" s="1">
        <v>3.0</v>
      </c>
      <c r="E344" s="1">
        <v>0.25</v>
      </c>
      <c r="F344" s="1">
        <v>3.0</v>
      </c>
      <c r="G344" s="1">
        <v>-0.9363</v>
      </c>
      <c r="H344" s="1">
        <v>100.0</v>
      </c>
      <c r="I344" s="1">
        <v>0.0</v>
      </c>
      <c r="J344" s="1">
        <v>0.0</v>
      </c>
      <c r="K344" s="1">
        <v>96.764255</v>
      </c>
      <c r="L344" s="1" t="s">
        <v>1017</v>
      </c>
    </row>
    <row r="345">
      <c r="A345" s="1" t="s">
        <v>770</v>
      </c>
      <c r="B345" s="1">
        <v>-15.561513</v>
      </c>
      <c r="C345" s="1">
        <v>7.0</v>
      </c>
      <c r="D345" s="1">
        <v>2.0</v>
      </c>
      <c r="E345" s="1">
        <v>0.285714</v>
      </c>
      <c r="F345" s="1">
        <v>2.0</v>
      </c>
      <c r="G345" s="1">
        <v>-0.958047</v>
      </c>
      <c r="H345" s="1">
        <v>100.0</v>
      </c>
      <c r="I345" s="1">
        <v>0.0</v>
      </c>
      <c r="J345" s="1">
        <v>0.0</v>
      </c>
      <c r="K345" s="1">
        <v>94.766154</v>
      </c>
      <c r="L345" s="1" t="s">
        <v>771</v>
      </c>
    </row>
    <row r="346">
      <c r="A346" s="1" t="s">
        <v>1018</v>
      </c>
      <c r="B346" s="1">
        <v>-15.226468</v>
      </c>
      <c r="C346" s="1">
        <v>10.0</v>
      </c>
      <c r="D346" s="1">
        <v>4.0</v>
      </c>
      <c r="E346" s="1">
        <v>0.3</v>
      </c>
      <c r="F346" s="1">
        <v>2.0</v>
      </c>
      <c r="G346" s="1">
        <v>-1.532869</v>
      </c>
      <c r="H346" s="1">
        <v>100.0</v>
      </c>
      <c r="I346" s="1">
        <v>0.0</v>
      </c>
      <c r="J346" s="1">
        <v>0.0</v>
      </c>
      <c r="K346" s="1">
        <v>99.540663</v>
      </c>
      <c r="L346" s="1" t="s">
        <v>1019</v>
      </c>
    </row>
    <row r="347">
      <c r="A347" s="1" t="s">
        <v>772</v>
      </c>
      <c r="B347" s="1">
        <v>-15.089943</v>
      </c>
      <c r="C347" s="1">
        <v>9.0</v>
      </c>
      <c r="D347" s="1">
        <v>3.0</v>
      </c>
      <c r="E347" s="1">
        <v>0.444444</v>
      </c>
      <c r="F347" s="1">
        <v>2.0</v>
      </c>
      <c r="G347" s="1">
        <v>-0.893755</v>
      </c>
      <c r="H347" s="1">
        <v>100.0</v>
      </c>
      <c r="I347" s="1">
        <v>0.0</v>
      </c>
      <c r="J347" s="1">
        <v>0.0</v>
      </c>
      <c r="K347" s="1">
        <v>98.460746</v>
      </c>
      <c r="L347" s="1" t="s">
        <v>773</v>
      </c>
    </row>
    <row r="348">
      <c r="A348" s="1" t="s">
        <v>774</v>
      </c>
      <c r="B348" s="1">
        <v>-15.129961</v>
      </c>
      <c r="C348" s="1">
        <v>9.0</v>
      </c>
      <c r="D348" s="1">
        <v>1.0</v>
      </c>
      <c r="E348" s="1">
        <v>0.333333</v>
      </c>
      <c r="F348" s="1">
        <v>2.0</v>
      </c>
      <c r="G348" s="1">
        <v>-1.424951</v>
      </c>
      <c r="H348" s="1">
        <v>100.0</v>
      </c>
      <c r="I348" s="1">
        <v>0.0</v>
      </c>
      <c r="J348" s="1">
        <v>0.0</v>
      </c>
      <c r="K348" s="1">
        <v>95.778421</v>
      </c>
      <c r="L348" s="1" t="s">
        <v>775</v>
      </c>
    </row>
    <row r="349">
      <c r="A349" s="1" t="s">
        <v>776</v>
      </c>
      <c r="B349" s="1">
        <v>-15.779634</v>
      </c>
      <c r="C349" s="1">
        <v>10.0</v>
      </c>
      <c r="D349" s="1">
        <v>5.0</v>
      </c>
      <c r="E349" s="1">
        <v>0.3</v>
      </c>
      <c r="F349" s="1">
        <v>2.0</v>
      </c>
      <c r="G349" s="1">
        <v>-0.855369</v>
      </c>
      <c r="H349" s="1">
        <v>100.0</v>
      </c>
      <c r="I349" s="1">
        <v>0.0</v>
      </c>
      <c r="J349" s="1">
        <v>0.0</v>
      </c>
      <c r="K349" s="1">
        <v>100.664997</v>
      </c>
      <c r="L349" s="1" t="s">
        <v>777</v>
      </c>
    </row>
    <row r="350">
      <c r="A350" s="1" t="s">
        <v>1020</v>
      </c>
      <c r="B350" s="1">
        <v>-16.65836</v>
      </c>
      <c r="C350" s="1">
        <v>9.0</v>
      </c>
      <c r="D350" s="1">
        <v>4.0</v>
      </c>
      <c r="E350" s="1">
        <v>0.444444</v>
      </c>
      <c r="F350" s="1">
        <v>2.0</v>
      </c>
      <c r="G350" s="1">
        <v>-1.273656</v>
      </c>
      <c r="H350" s="1">
        <v>100.0</v>
      </c>
      <c r="I350" s="1">
        <v>0.0</v>
      </c>
      <c r="J350" s="1">
        <v>0.0</v>
      </c>
      <c r="K350" s="1">
        <v>97.512428</v>
      </c>
      <c r="L350" s="1" t="s">
        <v>1021</v>
      </c>
    </row>
    <row r="351">
      <c r="A351" s="1" t="s">
        <v>778</v>
      </c>
      <c r="B351" s="1">
        <v>-15.06211</v>
      </c>
      <c r="C351" s="1">
        <v>7.0</v>
      </c>
      <c r="D351" s="1">
        <v>3.0</v>
      </c>
      <c r="E351" s="1">
        <v>0.285714</v>
      </c>
      <c r="F351" s="1">
        <v>2.0</v>
      </c>
      <c r="G351" s="1">
        <v>-0.778561</v>
      </c>
      <c r="H351" s="1">
        <v>100.0</v>
      </c>
      <c r="I351" s="1">
        <v>0.0</v>
      </c>
      <c r="J351" s="1">
        <v>0.0</v>
      </c>
      <c r="K351" s="1">
        <v>96.445043</v>
      </c>
      <c r="L351" s="1" t="s">
        <v>779</v>
      </c>
    </row>
    <row r="352">
      <c r="A352" s="1" t="s">
        <v>780</v>
      </c>
      <c r="B352" s="1">
        <v>-15.228987</v>
      </c>
      <c r="C352" s="1">
        <v>7.0</v>
      </c>
      <c r="D352" s="1">
        <v>1.0</v>
      </c>
      <c r="E352" s="1">
        <v>0.285714</v>
      </c>
      <c r="F352" s="1">
        <v>2.0</v>
      </c>
      <c r="G352" s="1">
        <v>-0.497766</v>
      </c>
      <c r="H352" s="1">
        <v>100.0</v>
      </c>
      <c r="I352" s="1">
        <v>0.0</v>
      </c>
      <c r="J352" s="1">
        <v>0.0</v>
      </c>
      <c r="K352" s="1">
        <v>94.558961</v>
      </c>
      <c r="L352" s="1" t="s">
        <v>781</v>
      </c>
    </row>
    <row r="353">
      <c r="A353" s="1" t="s">
        <v>782</v>
      </c>
      <c r="B353" s="1">
        <v>-16.62153</v>
      </c>
      <c r="C353" s="1">
        <v>7.0</v>
      </c>
      <c r="D353" s="1">
        <v>3.0</v>
      </c>
      <c r="E353" s="1">
        <v>0.285714</v>
      </c>
      <c r="F353" s="1">
        <v>2.0</v>
      </c>
      <c r="G353" s="1">
        <v>-0.582049</v>
      </c>
      <c r="H353" s="1">
        <v>100.0</v>
      </c>
      <c r="I353" s="1">
        <v>0.0</v>
      </c>
      <c r="J353" s="1">
        <v>0.0</v>
      </c>
      <c r="K353" s="1">
        <v>95.082135</v>
      </c>
      <c r="L353" s="1" t="s">
        <v>783</v>
      </c>
    </row>
    <row r="354">
      <c r="A354" s="1" t="s">
        <v>375</v>
      </c>
      <c r="B354" s="1">
        <v>-15.441678</v>
      </c>
      <c r="C354" s="1">
        <v>7.0</v>
      </c>
      <c r="D354" s="1">
        <v>3.0</v>
      </c>
      <c r="E354" s="1">
        <v>0.571429</v>
      </c>
      <c r="F354" s="1">
        <v>2.0</v>
      </c>
      <c r="G354" s="1">
        <v>-0.383116</v>
      </c>
      <c r="H354" s="1">
        <v>100.0</v>
      </c>
      <c r="I354" s="1">
        <v>0.0</v>
      </c>
      <c r="J354" s="1">
        <v>0.0</v>
      </c>
      <c r="K354" s="1">
        <v>96.746635</v>
      </c>
      <c r="L354" s="1" t="s">
        <v>376</v>
      </c>
    </row>
    <row r="355">
      <c r="A355" s="1" t="s">
        <v>1022</v>
      </c>
      <c r="B355" s="1">
        <v>-15.06419</v>
      </c>
      <c r="C355" s="1">
        <v>7.0</v>
      </c>
      <c r="D355" s="1">
        <v>3.0</v>
      </c>
      <c r="E355" s="1">
        <v>0.428571</v>
      </c>
      <c r="F355" s="1">
        <v>2.0</v>
      </c>
      <c r="G355" s="1">
        <v>-1.570972</v>
      </c>
      <c r="H355" s="1">
        <v>100.0</v>
      </c>
      <c r="I355" s="1">
        <v>0.0</v>
      </c>
      <c r="J355" s="1">
        <v>0.0</v>
      </c>
      <c r="K355" s="1">
        <v>95.793409</v>
      </c>
      <c r="L355" s="1" t="s">
        <v>1023</v>
      </c>
    </row>
    <row r="356">
      <c r="A356" s="1" t="s">
        <v>241</v>
      </c>
      <c r="B356" s="1">
        <v>-15.786774</v>
      </c>
      <c r="C356" s="1">
        <v>8.0</v>
      </c>
      <c r="D356" s="1">
        <v>4.0</v>
      </c>
      <c r="E356" s="1">
        <v>0.25</v>
      </c>
      <c r="F356" s="1">
        <v>3.0</v>
      </c>
      <c r="G356" s="1">
        <v>-1.312683</v>
      </c>
      <c r="H356" s="1">
        <v>100.0</v>
      </c>
      <c r="I356" s="1">
        <v>0.0</v>
      </c>
      <c r="J356" s="1">
        <v>0.0</v>
      </c>
      <c r="K356" s="1">
        <v>98.150543</v>
      </c>
      <c r="L356" s="1" t="s">
        <v>242</v>
      </c>
    </row>
    <row r="357">
      <c r="A357" s="1" t="s">
        <v>784</v>
      </c>
      <c r="B357" s="1">
        <v>-16.853684</v>
      </c>
      <c r="C357" s="1">
        <v>8.0</v>
      </c>
      <c r="D357" s="1">
        <v>2.0</v>
      </c>
      <c r="E357" s="1">
        <v>0.25</v>
      </c>
      <c r="F357" s="1">
        <v>2.0</v>
      </c>
      <c r="G357" s="1">
        <v>-0.61432</v>
      </c>
      <c r="H357" s="1">
        <v>100.0</v>
      </c>
      <c r="I357" s="1">
        <v>0.0</v>
      </c>
      <c r="J357" s="1">
        <v>0.0</v>
      </c>
      <c r="K357" s="1">
        <v>94.781996</v>
      </c>
      <c r="L357" s="1" t="s">
        <v>785</v>
      </c>
    </row>
    <row r="358">
      <c r="A358" s="1" t="s">
        <v>786</v>
      </c>
      <c r="B358" s="1">
        <v>-16.043158</v>
      </c>
      <c r="C358" s="1">
        <v>11.0</v>
      </c>
      <c r="D358" s="1">
        <v>4.0</v>
      </c>
      <c r="E358" s="1">
        <v>0.272727</v>
      </c>
      <c r="F358" s="1">
        <v>2.0</v>
      </c>
      <c r="G358" s="1">
        <v>-0.622452999999999</v>
      </c>
      <c r="H358" s="1">
        <v>100.0</v>
      </c>
      <c r="I358" s="1">
        <v>0.0</v>
      </c>
      <c r="J358" s="1">
        <v>0.0</v>
      </c>
      <c r="K358" s="1">
        <v>100.607116</v>
      </c>
      <c r="L358" s="1" t="s">
        <v>787</v>
      </c>
    </row>
    <row r="359">
      <c r="A359" s="1" t="s">
        <v>788</v>
      </c>
      <c r="B359" s="1">
        <v>-17.026364</v>
      </c>
      <c r="C359" s="1">
        <v>9.0</v>
      </c>
      <c r="D359" s="1">
        <v>3.0</v>
      </c>
      <c r="E359" s="1">
        <v>0.333333</v>
      </c>
      <c r="F359" s="1">
        <v>2.0</v>
      </c>
      <c r="G359" s="1">
        <v>-1.021611</v>
      </c>
      <c r="H359" s="1">
        <v>100.0</v>
      </c>
      <c r="I359" s="1">
        <v>0.0</v>
      </c>
      <c r="J359" s="1">
        <v>0.0</v>
      </c>
      <c r="K359" s="1">
        <v>96.285358</v>
      </c>
      <c r="L359" s="1" t="s">
        <v>789</v>
      </c>
    </row>
    <row r="360">
      <c r="A360" s="1" t="s">
        <v>1024</v>
      </c>
      <c r="B360" s="1">
        <v>-15.384902</v>
      </c>
      <c r="C360" s="1">
        <v>10.0</v>
      </c>
      <c r="D360" s="1">
        <v>3.0</v>
      </c>
      <c r="E360" s="1">
        <v>0.4</v>
      </c>
      <c r="F360" s="1">
        <v>2.0</v>
      </c>
      <c r="G360" s="1">
        <v>-0.667675999999999</v>
      </c>
      <c r="H360" s="1">
        <v>100.0</v>
      </c>
      <c r="I360" s="1">
        <v>0.0</v>
      </c>
      <c r="J360" s="1">
        <v>0.0</v>
      </c>
      <c r="K360" s="1">
        <v>99.347422</v>
      </c>
      <c r="L360" s="1" t="s">
        <v>1025</v>
      </c>
    </row>
    <row r="361">
      <c r="A361" s="1" t="s">
        <v>243</v>
      </c>
      <c r="B361" s="1">
        <v>-15.074335</v>
      </c>
      <c r="C361" s="1">
        <v>8.0</v>
      </c>
      <c r="D361" s="1">
        <v>3.0</v>
      </c>
      <c r="E361" s="1">
        <v>0.25</v>
      </c>
      <c r="F361" s="1">
        <v>3.0</v>
      </c>
      <c r="G361" s="1">
        <v>-2.102802</v>
      </c>
      <c r="H361" s="1">
        <v>100.0</v>
      </c>
      <c r="I361" s="1">
        <v>0.0</v>
      </c>
      <c r="J361" s="1">
        <v>0.0</v>
      </c>
      <c r="K361" s="1">
        <v>97.072863</v>
      </c>
      <c r="L361" s="1" t="s">
        <v>244</v>
      </c>
    </row>
    <row r="362">
      <c r="A362" s="1" t="s">
        <v>1026</v>
      </c>
      <c r="B362" s="1">
        <v>-15.996958</v>
      </c>
      <c r="C362" s="1">
        <v>8.0</v>
      </c>
      <c r="D362" s="1">
        <v>4.0</v>
      </c>
      <c r="E362" s="1">
        <v>0.375</v>
      </c>
      <c r="F362" s="1">
        <v>2.0</v>
      </c>
      <c r="G362" s="1">
        <v>-0.877178</v>
      </c>
      <c r="H362" s="1">
        <v>100.0</v>
      </c>
      <c r="I362" s="1">
        <v>0.0</v>
      </c>
      <c r="J362" s="1">
        <v>0.0</v>
      </c>
      <c r="K362" s="1">
        <v>97.500864</v>
      </c>
      <c r="L362" s="1" t="s">
        <v>1027</v>
      </c>
    </row>
    <row r="363">
      <c r="A363" s="1" t="s">
        <v>790</v>
      </c>
      <c r="B363" s="1">
        <v>-15.968585</v>
      </c>
      <c r="C363" s="1">
        <v>7.0</v>
      </c>
      <c r="D363" s="1">
        <v>2.0</v>
      </c>
      <c r="E363" s="1">
        <v>0.285714</v>
      </c>
      <c r="F363" s="1">
        <v>2.0</v>
      </c>
      <c r="G363" s="1">
        <v>-1.25003</v>
      </c>
      <c r="H363" s="1">
        <v>100.0</v>
      </c>
      <c r="I363" s="1">
        <v>0.0</v>
      </c>
      <c r="J363" s="1">
        <v>0.0</v>
      </c>
      <c r="K363" s="1">
        <v>94.067099</v>
      </c>
      <c r="L363" s="1" t="s">
        <v>791</v>
      </c>
    </row>
    <row r="364">
      <c r="A364" s="1" t="s">
        <v>792</v>
      </c>
      <c r="B364" s="1">
        <v>-15.701944</v>
      </c>
      <c r="C364" s="1">
        <v>7.0</v>
      </c>
      <c r="D364" s="1">
        <v>3.0</v>
      </c>
      <c r="E364" s="1">
        <v>0.285714</v>
      </c>
      <c r="F364" s="1">
        <v>2.0</v>
      </c>
      <c r="G364" s="1">
        <v>-0.189779</v>
      </c>
      <c r="H364" s="1">
        <v>100.0</v>
      </c>
      <c r="I364" s="1">
        <v>0.0</v>
      </c>
      <c r="J364" s="1">
        <v>0.0</v>
      </c>
      <c r="K364" s="1">
        <v>96.393991</v>
      </c>
      <c r="L364" s="1" t="s">
        <v>793</v>
      </c>
    </row>
    <row r="365">
      <c r="A365" s="1" t="s">
        <v>794</v>
      </c>
      <c r="B365" s="1">
        <v>-15.795906</v>
      </c>
      <c r="C365" s="1">
        <v>11.0</v>
      </c>
      <c r="D365" s="1">
        <v>4.0</v>
      </c>
      <c r="E365" s="1">
        <v>0.363636</v>
      </c>
      <c r="F365" s="1">
        <v>2.0</v>
      </c>
      <c r="G365" s="1">
        <v>-1.368672</v>
      </c>
      <c r="H365" s="1">
        <v>100.0</v>
      </c>
      <c r="I365" s="1">
        <v>0.0</v>
      </c>
      <c r="J365" s="1">
        <v>0.0</v>
      </c>
      <c r="K365" s="1">
        <v>100.199058</v>
      </c>
      <c r="L365" s="1" t="s">
        <v>795</v>
      </c>
    </row>
    <row r="366">
      <c r="A366" s="1" t="s">
        <v>796</v>
      </c>
      <c r="B366" s="1">
        <v>-16.171652</v>
      </c>
      <c r="C366" s="1">
        <v>11.0</v>
      </c>
      <c r="D366" s="1">
        <v>4.0</v>
      </c>
      <c r="E366" s="1">
        <v>0.272727</v>
      </c>
      <c r="F366" s="1">
        <v>2.0</v>
      </c>
      <c r="G366" s="1">
        <v>-0.585379</v>
      </c>
      <c r="H366" s="1">
        <v>100.0</v>
      </c>
      <c r="I366" s="1">
        <v>0.0</v>
      </c>
      <c r="J366" s="1">
        <v>0.0</v>
      </c>
      <c r="K366" s="1">
        <v>100.515696</v>
      </c>
      <c r="L366" s="1" t="s">
        <v>797</v>
      </c>
    </row>
    <row r="367">
      <c r="A367" s="1" t="s">
        <v>798</v>
      </c>
      <c r="B367" s="1">
        <v>-16.782024</v>
      </c>
      <c r="C367" s="1">
        <v>12.0</v>
      </c>
      <c r="D367" s="1">
        <v>4.0</v>
      </c>
      <c r="E367" s="1">
        <v>0.583333</v>
      </c>
      <c r="F367" s="1">
        <v>2.0</v>
      </c>
      <c r="G367" s="1">
        <v>-1.036546</v>
      </c>
      <c r="H367" s="1">
        <v>100.0</v>
      </c>
      <c r="I367" s="1">
        <v>0.0</v>
      </c>
      <c r="J367" s="1">
        <v>0.0</v>
      </c>
      <c r="K367" s="1">
        <v>100.764763</v>
      </c>
      <c r="L367" s="1" t="s">
        <v>799</v>
      </c>
    </row>
    <row r="368">
      <c r="A368" s="1" t="s">
        <v>1028</v>
      </c>
      <c r="B368" s="1">
        <v>-18.757266</v>
      </c>
      <c r="C368" s="1">
        <v>8.0</v>
      </c>
      <c r="D368" s="1">
        <v>4.0</v>
      </c>
      <c r="E368" s="1">
        <v>0.25</v>
      </c>
      <c r="F368" s="1">
        <v>2.0</v>
      </c>
      <c r="G368" s="1">
        <v>-1.539235</v>
      </c>
      <c r="H368" s="1">
        <v>100.0</v>
      </c>
      <c r="I368" s="1">
        <v>0.0</v>
      </c>
      <c r="J368" s="1">
        <v>0.0</v>
      </c>
      <c r="K368" s="1">
        <v>93.953499</v>
      </c>
      <c r="L368" s="1" t="s">
        <v>1029</v>
      </c>
    </row>
    <row r="369">
      <c r="A369" s="1" t="s">
        <v>245</v>
      </c>
      <c r="B369" s="1">
        <v>-16.056932</v>
      </c>
      <c r="C369" s="1">
        <v>7.0</v>
      </c>
      <c r="D369" s="1">
        <v>3.0</v>
      </c>
      <c r="E369" s="1">
        <v>0.571429</v>
      </c>
      <c r="F369" s="1">
        <v>2.0</v>
      </c>
      <c r="G369" s="1">
        <v>-0.884192</v>
      </c>
      <c r="H369" s="1">
        <v>100.0</v>
      </c>
      <c r="I369" s="1">
        <v>0.0</v>
      </c>
      <c r="J369" s="1">
        <v>0.0</v>
      </c>
      <c r="K369" s="1">
        <v>95.630305</v>
      </c>
      <c r="L369" s="1" t="s">
        <v>246</v>
      </c>
    </row>
    <row r="370">
      <c r="A370" s="1" t="s">
        <v>1030</v>
      </c>
      <c r="B370" s="1">
        <v>-15.904397</v>
      </c>
      <c r="C370" s="1">
        <v>12.0</v>
      </c>
      <c r="D370" s="1">
        <v>4.0</v>
      </c>
      <c r="E370" s="1">
        <v>0.333333</v>
      </c>
      <c r="F370" s="1">
        <v>2.0</v>
      </c>
      <c r="G370" s="1">
        <v>-1.18016599999999</v>
      </c>
      <c r="H370" s="1">
        <v>100.0</v>
      </c>
      <c r="I370" s="1">
        <v>0.0</v>
      </c>
      <c r="J370" s="1">
        <v>0.0</v>
      </c>
      <c r="K370" s="1">
        <v>101.24877</v>
      </c>
      <c r="L370" s="1" t="s">
        <v>1031</v>
      </c>
    </row>
    <row r="371">
      <c r="A371" s="1" t="s">
        <v>1032</v>
      </c>
      <c r="B371" s="1">
        <v>-15.533497</v>
      </c>
      <c r="C371" s="1">
        <v>9.0</v>
      </c>
      <c r="D371" s="1">
        <v>4.0</v>
      </c>
      <c r="E371" s="1">
        <v>0.444444</v>
      </c>
      <c r="F371" s="1">
        <v>2.0</v>
      </c>
      <c r="G371" s="1">
        <v>-1.43683</v>
      </c>
      <c r="H371" s="1">
        <v>100.0</v>
      </c>
      <c r="I371" s="1">
        <v>0.0</v>
      </c>
      <c r="J371" s="1">
        <v>0.0</v>
      </c>
      <c r="K371" s="1">
        <v>98.474117</v>
      </c>
      <c r="L371" s="1" t="s">
        <v>1033</v>
      </c>
    </row>
    <row r="372">
      <c r="A372" s="1" t="s">
        <v>800</v>
      </c>
      <c r="B372" s="1">
        <v>-16.864079</v>
      </c>
      <c r="C372" s="1">
        <v>8.0</v>
      </c>
      <c r="D372" s="1">
        <v>3.0</v>
      </c>
      <c r="E372" s="1">
        <v>0.375</v>
      </c>
      <c r="F372" s="1">
        <v>2.0</v>
      </c>
      <c r="G372" s="1">
        <v>-0.61508</v>
      </c>
      <c r="H372" s="1">
        <v>100.0</v>
      </c>
      <c r="I372" s="1">
        <v>0.0</v>
      </c>
      <c r="J372" s="1">
        <v>0.0</v>
      </c>
      <c r="K372" s="1">
        <v>95.895841</v>
      </c>
      <c r="L372" s="1" t="s">
        <v>801</v>
      </c>
    </row>
    <row r="373">
      <c r="A373" s="1" t="s">
        <v>802</v>
      </c>
      <c r="B373" s="1">
        <v>-15.073154</v>
      </c>
      <c r="C373" s="1">
        <v>10.0</v>
      </c>
      <c r="D373" s="1">
        <v>2.0</v>
      </c>
      <c r="E373" s="1">
        <v>0.4</v>
      </c>
      <c r="F373" s="1">
        <v>2.0</v>
      </c>
      <c r="G373" s="1">
        <v>-1.488286</v>
      </c>
      <c r="H373" s="1">
        <v>100.0</v>
      </c>
      <c r="I373" s="1">
        <v>0.0</v>
      </c>
      <c r="J373" s="1">
        <v>0.0</v>
      </c>
      <c r="K373" s="1">
        <v>97.83856</v>
      </c>
      <c r="L373" s="1" t="s">
        <v>803</v>
      </c>
    </row>
    <row r="374">
      <c r="A374" s="1" t="s">
        <v>804</v>
      </c>
      <c r="B374" s="1">
        <v>-16.216069</v>
      </c>
      <c r="C374" s="1">
        <v>7.0</v>
      </c>
      <c r="D374" s="1">
        <v>2.0</v>
      </c>
      <c r="E374" s="1">
        <v>0.285714</v>
      </c>
      <c r="F374" s="1">
        <v>2.0</v>
      </c>
      <c r="G374" s="1">
        <v>-0.390856</v>
      </c>
      <c r="H374" s="1">
        <v>100.0</v>
      </c>
      <c r="I374" s="1">
        <v>0.0</v>
      </c>
      <c r="J374" s="1">
        <v>0.0</v>
      </c>
      <c r="K374" s="1">
        <v>94.678789</v>
      </c>
      <c r="L374" s="1" t="s">
        <v>805</v>
      </c>
    </row>
    <row r="375">
      <c r="A375" s="1" t="s">
        <v>806</v>
      </c>
      <c r="B375" s="1">
        <v>-17.639319</v>
      </c>
      <c r="C375" s="1">
        <v>12.0</v>
      </c>
      <c r="D375" s="1">
        <v>3.0</v>
      </c>
      <c r="E375" s="1">
        <v>0.25</v>
      </c>
      <c r="F375" s="1">
        <v>2.0</v>
      </c>
      <c r="G375" s="1">
        <v>-0.813736</v>
      </c>
      <c r="H375" s="1">
        <v>100.0</v>
      </c>
      <c r="I375" s="1">
        <v>0.0</v>
      </c>
      <c r="J375" s="1">
        <v>0.0</v>
      </c>
      <c r="K375" s="1">
        <v>98.796945</v>
      </c>
      <c r="L375" s="1" t="s">
        <v>807</v>
      </c>
    </row>
    <row r="376">
      <c r="A376" s="1" t="s">
        <v>808</v>
      </c>
      <c r="B376" s="1">
        <v>-15.326067</v>
      </c>
      <c r="C376" s="1">
        <v>6.0</v>
      </c>
      <c r="D376" s="1">
        <v>1.0</v>
      </c>
      <c r="E376" s="1">
        <v>0.333333</v>
      </c>
      <c r="F376" s="1">
        <v>2.0</v>
      </c>
      <c r="G376" s="1">
        <v>-1.450523</v>
      </c>
      <c r="H376" s="1">
        <v>100.0</v>
      </c>
      <c r="I376" s="1">
        <v>0.0</v>
      </c>
      <c r="J376" s="1">
        <v>0.0</v>
      </c>
      <c r="K376" s="1">
        <v>92.556743</v>
      </c>
      <c r="L376" s="1" t="s">
        <v>809</v>
      </c>
    </row>
    <row r="377">
      <c r="A377" s="1" t="s">
        <v>810</v>
      </c>
      <c r="B377" s="1">
        <v>-16.419687</v>
      </c>
      <c r="C377" s="1">
        <v>11.0</v>
      </c>
      <c r="D377" s="1">
        <v>4.0</v>
      </c>
      <c r="E377" s="1">
        <v>0.272727</v>
      </c>
      <c r="F377" s="1">
        <v>2.0</v>
      </c>
      <c r="G377" s="1">
        <v>-0.954938</v>
      </c>
      <c r="H377" s="1">
        <v>100.0</v>
      </c>
      <c r="I377" s="1">
        <v>0.0</v>
      </c>
      <c r="J377" s="1">
        <v>0.0</v>
      </c>
      <c r="K377" s="1">
        <v>99.898102</v>
      </c>
      <c r="L377" s="1" t="s">
        <v>811</v>
      </c>
    </row>
    <row r="378">
      <c r="A378" s="1" t="s">
        <v>812</v>
      </c>
      <c r="B378" s="1">
        <v>-15.739191</v>
      </c>
      <c r="C378" s="1">
        <v>8.0</v>
      </c>
      <c r="D378" s="1">
        <v>3.0</v>
      </c>
      <c r="E378" s="1">
        <v>0.625</v>
      </c>
      <c r="F378" s="1">
        <v>2.0</v>
      </c>
      <c r="G378" s="1">
        <v>-0.299369999999999</v>
      </c>
      <c r="H378" s="1">
        <v>100.0</v>
      </c>
      <c r="I378" s="1">
        <v>0.0</v>
      </c>
      <c r="J378" s="1">
        <v>0.0</v>
      </c>
      <c r="K378" s="1">
        <v>97.586439</v>
      </c>
      <c r="L378" s="1" t="s">
        <v>813</v>
      </c>
    </row>
    <row r="379">
      <c r="A379" s="1" t="s">
        <v>247</v>
      </c>
      <c r="B379" s="1">
        <v>-17.375967</v>
      </c>
      <c r="C379" s="1">
        <v>8.0</v>
      </c>
      <c r="D379" s="1">
        <v>3.0</v>
      </c>
      <c r="E379" s="1">
        <v>0.25</v>
      </c>
      <c r="F379" s="1">
        <v>2.0</v>
      </c>
      <c r="G379" s="1">
        <v>-1.320226</v>
      </c>
      <c r="H379" s="1">
        <v>100.0</v>
      </c>
      <c r="I379" s="1">
        <v>0.0</v>
      </c>
      <c r="J379" s="1">
        <v>0.0</v>
      </c>
      <c r="K379" s="1">
        <v>94.553807</v>
      </c>
      <c r="L379" s="1" t="s">
        <v>110</v>
      </c>
    </row>
    <row r="380">
      <c r="A380" s="1" t="s">
        <v>1034</v>
      </c>
      <c r="B380" s="1">
        <v>-15.652489</v>
      </c>
      <c r="C380" s="1">
        <v>7.0</v>
      </c>
      <c r="D380" s="1">
        <v>3.0</v>
      </c>
      <c r="E380" s="1">
        <v>0.285714</v>
      </c>
      <c r="F380" s="1">
        <v>2.0</v>
      </c>
      <c r="G380" s="1">
        <v>-1.224364</v>
      </c>
      <c r="H380" s="1">
        <v>100.0</v>
      </c>
      <c r="I380" s="1">
        <v>0.0</v>
      </c>
      <c r="J380" s="1">
        <v>0.0</v>
      </c>
      <c r="K380" s="1">
        <v>95.408861</v>
      </c>
      <c r="L380" s="1" t="s">
        <v>1035</v>
      </c>
    </row>
    <row r="381">
      <c r="A381" s="1" t="s">
        <v>377</v>
      </c>
      <c r="B381" s="1">
        <v>-15.43829</v>
      </c>
      <c r="C381" s="1">
        <v>8.0</v>
      </c>
      <c r="D381" s="1">
        <v>3.0</v>
      </c>
      <c r="E381" s="1">
        <v>0.375</v>
      </c>
      <c r="F381" s="1">
        <v>2.0</v>
      </c>
      <c r="G381" s="1">
        <v>-1.14393</v>
      </c>
      <c r="H381" s="1">
        <v>100.0</v>
      </c>
      <c r="I381" s="1">
        <v>0.0</v>
      </c>
      <c r="J381" s="1">
        <v>0.0</v>
      </c>
      <c r="K381" s="1">
        <v>96.79278</v>
      </c>
      <c r="L381" s="1" t="s">
        <v>378</v>
      </c>
    </row>
    <row r="382">
      <c r="A382" s="1" t="s">
        <v>1036</v>
      </c>
      <c r="B382" s="1">
        <v>-15.041809</v>
      </c>
      <c r="C382" s="1">
        <v>8.0</v>
      </c>
      <c r="D382" s="1">
        <v>3.0</v>
      </c>
      <c r="E382" s="1">
        <v>0.375</v>
      </c>
      <c r="F382" s="1">
        <v>2.0</v>
      </c>
      <c r="G382" s="1">
        <v>-1.245626</v>
      </c>
      <c r="H382" s="1">
        <v>100.0</v>
      </c>
      <c r="I382" s="1">
        <v>0.0</v>
      </c>
      <c r="J382" s="1">
        <v>0.0</v>
      </c>
      <c r="K382" s="1">
        <v>97.087565</v>
      </c>
      <c r="L382" s="1" t="s">
        <v>1037</v>
      </c>
    </row>
    <row r="383">
      <c r="A383" s="1" t="s">
        <v>1038</v>
      </c>
      <c r="B383" s="1">
        <v>-19.051158</v>
      </c>
      <c r="C383" s="1">
        <v>12.0</v>
      </c>
      <c r="D383" s="1">
        <v>3.0</v>
      </c>
      <c r="E383" s="1">
        <v>0.416667</v>
      </c>
      <c r="F383" s="1">
        <v>2.0</v>
      </c>
      <c r="G383" s="1">
        <v>-1.48236</v>
      </c>
      <c r="H383" s="1">
        <v>100.0</v>
      </c>
      <c r="I383" s="1">
        <v>0.0</v>
      </c>
      <c r="J383" s="1">
        <v>0.0</v>
      </c>
      <c r="K383" s="1">
        <v>96.883149</v>
      </c>
      <c r="L383" s="1" t="s">
        <v>1039</v>
      </c>
    </row>
    <row r="384">
      <c r="A384" s="1" t="s">
        <v>1040</v>
      </c>
      <c r="B384" s="1">
        <v>-15.417922</v>
      </c>
      <c r="C384" s="1">
        <v>10.0</v>
      </c>
      <c r="D384" s="1">
        <v>4.0</v>
      </c>
      <c r="E384" s="1">
        <v>0.3</v>
      </c>
      <c r="F384" s="1">
        <v>2.0</v>
      </c>
      <c r="G384" s="1">
        <v>-1.29702</v>
      </c>
      <c r="H384" s="1">
        <v>100.0</v>
      </c>
      <c r="I384" s="1">
        <v>0.0</v>
      </c>
      <c r="J384" s="1">
        <v>0.0</v>
      </c>
      <c r="K384" s="1">
        <v>99.585058</v>
      </c>
      <c r="L384" s="1" t="s">
        <v>1041</v>
      </c>
    </row>
    <row r="385">
      <c r="A385" s="1" t="s">
        <v>814</v>
      </c>
      <c r="B385" s="1">
        <v>-15.995072</v>
      </c>
      <c r="C385" s="1">
        <v>11.0</v>
      </c>
      <c r="D385" s="1">
        <v>3.0</v>
      </c>
      <c r="E385" s="1">
        <v>0.363636</v>
      </c>
      <c r="F385" s="1">
        <v>2.0</v>
      </c>
      <c r="G385" s="1">
        <v>-1.313084</v>
      </c>
      <c r="H385" s="1">
        <v>100.0</v>
      </c>
      <c r="I385" s="1">
        <v>0.0</v>
      </c>
      <c r="J385" s="1">
        <v>0.0</v>
      </c>
      <c r="K385" s="1">
        <v>99.05548</v>
      </c>
      <c r="L385" s="1" t="s">
        <v>815</v>
      </c>
    </row>
    <row r="386">
      <c r="A386" s="1" t="s">
        <v>248</v>
      </c>
      <c r="B386" s="1">
        <v>-17.093997</v>
      </c>
      <c r="C386" s="1">
        <v>10.0</v>
      </c>
      <c r="D386" s="1">
        <v>3.0</v>
      </c>
      <c r="E386" s="1">
        <v>0.3</v>
      </c>
      <c r="F386" s="1">
        <v>2.0</v>
      </c>
      <c r="G386" s="1">
        <v>-0.77841</v>
      </c>
      <c r="H386" s="1">
        <v>100.0</v>
      </c>
      <c r="I386" s="1">
        <v>0.0</v>
      </c>
      <c r="J386" s="1">
        <v>0.0</v>
      </c>
      <c r="K386" s="1">
        <v>97.427593</v>
      </c>
      <c r="L386" s="1" t="s">
        <v>249</v>
      </c>
    </row>
    <row r="387">
      <c r="A387" s="1" t="s">
        <v>1042</v>
      </c>
      <c r="B387" s="1">
        <v>-15.379389</v>
      </c>
      <c r="C387" s="1">
        <v>8.0</v>
      </c>
      <c r="D387" s="1">
        <v>3.0</v>
      </c>
      <c r="E387" s="1">
        <v>0.375</v>
      </c>
      <c r="F387" s="1">
        <v>2.0</v>
      </c>
      <c r="G387" s="1">
        <v>-1.234147</v>
      </c>
      <c r="H387" s="1">
        <v>100.0</v>
      </c>
      <c r="I387" s="1">
        <v>0.0</v>
      </c>
      <c r="J387" s="1">
        <v>0.0</v>
      </c>
      <c r="K387" s="1">
        <v>96.761464</v>
      </c>
      <c r="L387" s="1" t="s">
        <v>1043</v>
      </c>
    </row>
    <row r="388">
      <c r="A388" s="1" t="s">
        <v>816</v>
      </c>
      <c r="B388" s="1">
        <v>-15.888689</v>
      </c>
      <c r="C388" s="1">
        <v>10.0</v>
      </c>
      <c r="D388" s="1">
        <v>2.0</v>
      </c>
      <c r="E388" s="1">
        <v>0.3</v>
      </c>
      <c r="F388" s="1">
        <v>2.0</v>
      </c>
      <c r="G388" s="1">
        <v>-0.501779</v>
      </c>
      <c r="H388" s="1">
        <v>100.0</v>
      </c>
      <c r="I388" s="1">
        <v>0.0</v>
      </c>
      <c r="J388" s="1">
        <v>0.0</v>
      </c>
      <c r="K388" s="1">
        <v>97.909532</v>
      </c>
      <c r="L388" s="1" t="s">
        <v>817</v>
      </c>
    </row>
    <row r="389">
      <c r="A389" s="1" t="s">
        <v>818</v>
      </c>
      <c r="B389" s="1">
        <v>-15.155713</v>
      </c>
      <c r="C389" s="1">
        <v>7.0</v>
      </c>
      <c r="D389" s="1">
        <v>2.0</v>
      </c>
      <c r="E389" s="1">
        <v>0.428571</v>
      </c>
      <c r="F389" s="1">
        <v>2.0</v>
      </c>
      <c r="G389" s="1">
        <v>-1.146592</v>
      </c>
      <c r="H389" s="1">
        <v>100.0</v>
      </c>
      <c r="I389" s="1">
        <v>0.0</v>
      </c>
      <c r="J389" s="1">
        <v>0.0</v>
      </c>
      <c r="K389" s="1">
        <v>95.126266</v>
      </c>
      <c r="L389" s="1" t="s">
        <v>819</v>
      </c>
    </row>
    <row r="390">
      <c r="A390" s="1" t="s">
        <v>379</v>
      </c>
      <c r="B390" s="1">
        <v>-16.179464</v>
      </c>
      <c r="C390" s="1">
        <v>11.0</v>
      </c>
      <c r="D390" s="1">
        <v>5.0</v>
      </c>
      <c r="E390" s="1">
        <v>0.454545</v>
      </c>
      <c r="F390" s="1">
        <v>2.0</v>
      </c>
      <c r="G390" s="1">
        <v>-0.328299</v>
      </c>
      <c r="H390" s="1">
        <v>100.0</v>
      </c>
      <c r="I390" s="1">
        <v>0.0</v>
      </c>
      <c r="J390" s="1">
        <v>0.0</v>
      </c>
      <c r="K390" s="1">
        <v>101.946782</v>
      </c>
      <c r="L390" s="1" t="s">
        <v>380</v>
      </c>
    </row>
    <row r="391">
      <c r="A391" s="1" t="s">
        <v>820</v>
      </c>
      <c r="B391" s="1">
        <v>-15.633367</v>
      </c>
      <c r="C391" s="1">
        <v>7.0</v>
      </c>
      <c r="D391" s="1">
        <v>1.0</v>
      </c>
      <c r="E391" s="1">
        <v>0.285714</v>
      </c>
      <c r="F391" s="1">
        <v>2.0</v>
      </c>
      <c r="G391" s="1">
        <v>-1.709096</v>
      </c>
      <c r="H391" s="1">
        <v>100.0</v>
      </c>
      <c r="I391" s="1">
        <v>0.0</v>
      </c>
      <c r="J391" s="1">
        <v>0.0</v>
      </c>
      <c r="K391" s="1">
        <v>92.943251</v>
      </c>
      <c r="L391" s="1" t="s">
        <v>821</v>
      </c>
    </row>
    <row r="392">
      <c r="A392" s="1" t="s">
        <v>250</v>
      </c>
      <c r="B392" s="1">
        <v>-17.086206</v>
      </c>
      <c r="C392" s="1">
        <v>7.0</v>
      </c>
      <c r="D392" s="1">
        <v>4.0</v>
      </c>
      <c r="E392" s="1">
        <v>0.285714</v>
      </c>
      <c r="F392" s="1">
        <v>3.0</v>
      </c>
      <c r="G392" s="1">
        <v>-1.038701</v>
      </c>
      <c r="H392" s="1">
        <v>100.0</v>
      </c>
      <c r="I392" s="1">
        <v>0.0</v>
      </c>
      <c r="J392" s="1">
        <v>0.0</v>
      </c>
      <c r="K392" s="1">
        <v>96.160807</v>
      </c>
      <c r="L392" s="1" t="s">
        <v>65</v>
      </c>
    </row>
    <row r="393">
      <c r="A393" s="1" t="s">
        <v>822</v>
      </c>
      <c r="B393" s="1">
        <v>-15.42158</v>
      </c>
      <c r="C393" s="1">
        <v>11.0</v>
      </c>
      <c r="D393" s="1">
        <v>4.0</v>
      </c>
      <c r="E393" s="1">
        <v>0.272727</v>
      </c>
      <c r="F393" s="1">
        <v>3.0</v>
      </c>
      <c r="G393" s="1">
        <v>-1.893395</v>
      </c>
      <c r="H393" s="1">
        <v>100.0</v>
      </c>
      <c r="I393" s="1">
        <v>0.0</v>
      </c>
      <c r="J393" s="1">
        <v>0.0</v>
      </c>
      <c r="K393" s="1">
        <v>100.957752</v>
      </c>
      <c r="L393" s="1" t="s">
        <v>823</v>
      </c>
    </row>
    <row r="394">
      <c r="A394" s="1" t="s">
        <v>381</v>
      </c>
      <c r="B394" s="1">
        <v>-15.935374</v>
      </c>
      <c r="C394" s="1">
        <v>10.0</v>
      </c>
      <c r="D394" s="1">
        <v>2.0</v>
      </c>
      <c r="E394" s="1">
        <v>0.3</v>
      </c>
      <c r="F394" s="1">
        <v>3.0</v>
      </c>
      <c r="G394" s="1">
        <v>-1.849118</v>
      </c>
      <c r="H394" s="1">
        <v>100.0</v>
      </c>
      <c r="I394" s="1">
        <v>0.0</v>
      </c>
      <c r="J394" s="1">
        <v>0.0</v>
      </c>
      <c r="K394" s="1">
        <v>97.515508</v>
      </c>
      <c r="L394" s="1" t="s">
        <v>177</v>
      </c>
    </row>
    <row r="395">
      <c r="A395" s="1" t="s">
        <v>824</v>
      </c>
      <c r="B395" s="1">
        <v>-15.008357</v>
      </c>
      <c r="C395" s="1">
        <v>8.0</v>
      </c>
      <c r="D395" s="1">
        <v>2.0</v>
      </c>
      <c r="E395" s="1">
        <v>0.25</v>
      </c>
      <c r="F395" s="1">
        <v>2.0</v>
      </c>
      <c r="G395" s="1">
        <v>-0.295051</v>
      </c>
      <c r="H395" s="1">
        <v>100.0</v>
      </c>
      <c r="I395" s="1">
        <v>0.0</v>
      </c>
      <c r="J395" s="1">
        <v>0.0</v>
      </c>
      <c r="K395" s="1">
        <v>96.946592</v>
      </c>
      <c r="L395" s="1" t="s">
        <v>825</v>
      </c>
    </row>
    <row r="396">
      <c r="A396" s="1" t="s">
        <v>826</v>
      </c>
      <c r="B396" s="1">
        <v>-16.467141</v>
      </c>
      <c r="C396" s="1">
        <v>9.0</v>
      </c>
      <c r="D396" s="1">
        <v>1.0</v>
      </c>
      <c r="E396" s="1">
        <v>0.333333</v>
      </c>
      <c r="F396" s="1">
        <v>2.0</v>
      </c>
      <c r="G396" s="1">
        <v>-0.424315999999999</v>
      </c>
      <c r="H396" s="1">
        <v>100.0</v>
      </c>
      <c r="I396" s="1">
        <v>0.0</v>
      </c>
      <c r="J396" s="1">
        <v>0.0</v>
      </c>
      <c r="K396" s="1">
        <v>95.441876</v>
      </c>
      <c r="L396" s="1" t="s">
        <v>827</v>
      </c>
    </row>
    <row r="397">
      <c r="A397" s="1" t="s">
        <v>251</v>
      </c>
      <c r="B397" s="1">
        <v>-15.386234</v>
      </c>
      <c r="C397" s="1">
        <v>11.0</v>
      </c>
      <c r="D397" s="1">
        <v>4.0</v>
      </c>
      <c r="E397" s="1">
        <v>0.454545</v>
      </c>
      <c r="F397" s="1">
        <v>2.0</v>
      </c>
      <c r="G397" s="1">
        <v>-0.508212</v>
      </c>
      <c r="H397" s="1">
        <v>100.0</v>
      </c>
      <c r="I397" s="1">
        <v>0.0</v>
      </c>
      <c r="J397" s="1">
        <v>0.0</v>
      </c>
      <c r="K397" s="1">
        <v>101.560099</v>
      </c>
      <c r="L397" s="1" t="s">
        <v>69</v>
      </c>
    </row>
    <row r="398">
      <c r="A398" s="1" t="s">
        <v>828</v>
      </c>
      <c r="B398" s="1">
        <v>-15.535685</v>
      </c>
      <c r="C398" s="1">
        <v>8.0</v>
      </c>
      <c r="D398" s="1">
        <v>2.0</v>
      </c>
      <c r="E398" s="1">
        <v>0.25</v>
      </c>
      <c r="F398" s="1">
        <v>2.0</v>
      </c>
      <c r="G398" s="1">
        <v>-0.527892</v>
      </c>
      <c r="H398" s="1">
        <v>100.0</v>
      </c>
      <c r="I398" s="1">
        <v>0.0</v>
      </c>
      <c r="J398" s="1">
        <v>0.0</v>
      </c>
      <c r="K398" s="1">
        <v>96.186423</v>
      </c>
      <c r="L398" s="1" t="s">
        <v>829</v>
      </c>
    </row>
    <row r="399">
      <c r="A399" s="1" t="s">
        <v>830</v>
      </c>
      <c r="B399" s="1">
        <v>-15.839717</v>
      </c>
      <c r="C399" s="1">
        <v>6.0</v>
      </c>
      <c r="D399" s="1">
        <v>1.0</v>
      </c>
      <c r="E399" s="1">
        <v>0.5</v>
      </c>
      <c r="F399" s="1">
        <v>2.0</v>
      </c>
      <c r="G399" s="1">
        <v>-0.508068</v>
      </c>
      <c r="H399" s="1">
        <v>100.0</v>
      </c>
      <c r="I399" s="1">
        <v>0.0</v>
      </c>
      <c r="J399" s="1">
        <v>0.0</v>
      </c>
      <c r="K399" s="1">
        <v>93.152215</v>
      </c>
      <c r="L399" s="1" t="s">
        <v>831</v>
      </c>
    </row>
    <row r="400">
      <c r="A400" s="1" t="s">
        <v>832</v>
      </c>
      <c r="B400" s="1">
        <v>-15.836233</v>
      </c>
      <c r="C400" s="1">
        <v>7.0</v>
      </c>
      <c r="D400" s="1">
        <v>3.0</v>
      </c>
      <c r="E400" s="1">
        <v>0.428571</v>
      </c>
      <c r="F400" s="1">
        <v>2.0</v>
      </c>
      <c r="G400" s="1">
        <v>-0.436698</v>
      </c>
      <c r="H400" s="1">
        <v>100.0</v>
      </c>
      <c r="I400" s="1">
        <v>0.0</v>
      </c>
      <c r="J400" s="1">
        <v>0.0</v>
      </c>
      <c r="K400" s="1">
        <v>96.15564</v>
      </c>
      <c r="L400" s="1" t="s">
        <v>833</v>
      </c>
    </row>
    <row r="401">
      <c r="A401" s="1" t="s">
        <v>382</v>
      </c>
      <c r="B401" s="1">
        <v>-15.953649</v>
      </c>
      <c r="C401" s="1">
        <v>12.0</v>
      </c>
      <c r="D401" s="1">
        <v>5.0</v>
      </c>
      <c r="E401" s="1">
        <v>0.416667</v>
      </c>
      <c r="F401" s="1">
        <v>3.0</v>
      </c>
      <c r="G401" s="1">
        <v>-0.584621</v>
      </c>
      <c r="H401" s="1">
        <v>100.0</v>
      </c>
      <c r="I401" s="1">
        <v>0.0</v>
      </c>
      <c r="J401" s="1">
        <v>0.0</v>
      </c>
      <c r="K401" s="1">
        <v>103.878397</v>
      </c>
      <c r="L401" s="1" t="s">
        <v>180</v>
      </c>
    </row>
    <row r="402">
      <c r="A402" s="1" t="s">
        <v>383</v>
      </c>
      <c r="B402" s="1">
        <v>-15.953649</v>
      </c>
      <c r="C402" s="1">
        <v>12.0</v>
      </c>
      <c r="D402" s="1">
        <v>5.0</v>
      </c>
      <c r="E402" s="1">
        <v>0.416667</v>
      </c>
      <c r="F402" s="1">
        <v>3.0</v>
      </c>
      <c r="G402" s="1">
        <v>-0.584621</v>
      </c>
      <c r="H402" s="1">
        <v>100.0</v>
      </c>
      <c r="I402" s="1">
        <v>0.0</v>
      </c>
      <c r="J402" s="1">
        <v>0.0</v>
      </c>
      <c r="K402" s="1">
        <v>103.878397</v>
      </c>
      <c r="L402" s="1" t="s">
        <v>183</v>
      </c>
    </row>
    <row r="403">
      <c r="A403" s="1" t="s">
        <v>834</v>
      </c>
      <c r="B403" s="1">
        <v>-16.225663</v>
      </c>
      <c r="C403" s="1">
        <v>8.0</v>
      </c>
      <c r="D403" s="1">
        <v>2.0</v>
      </c>
      <c r="E403" s="1">
        <v>0.375</v>
      </c>
      <c r="F403" s="1">
        <v>2.0</v>
      </c>
      <c r="G403" s="1">
        <v>-0.720027</v>
      </c>
      <c r="H403" s="1">
        <v>100.0</v>
      </c>
      <c r="I403" s="1">
        <v>0.0</v>
      </c>
      <c r="J403" s="1">
        <v>0.0</v>
      </c>
      <c r="K403" s="1">
        <v>95.42931</v>
      </c>
      <c r="L403" s="1" t="s">
        <v>835</v>
      </c>
    </row>
    <row r="404">
      <c r="A404" s="1" t="s">
        <v>252</v>
      </c>
      <c r="B404" s="1">
        <v>-16.231911</v>
      </c>
      <c r="C404" s="1">
        <v>12.0</v>
      </c>
      <c r="D404" s="1">
        <v>2.0</v>
      </c>
      <c r="E404" s="1">
        <v>0.25</v>
      </c>
      <c r="F404" s="1">
        <v>2.0</v>
      </c>
      <c r="G404" s="1">
        <v>-0.38947</v>
      </c>
      <c r="H404" s="1">
        <v>100.0</v>
      </c>
      <c r="I404" s="1">
        <v>0.0</v>
      </c>
      <c r="J404" s="1">
        <v>0.0</v>
      </c>
      <c r="K404" s="1">
        <v>99.628619</v>
      </c>
      <c r="L404" s="1" t="s">
        <v>114</v>
      </c>
    </row>
    <row r="405">
      <c r="A405" s="1" t="s">
        <v>836</v>
      </c>
      <c r="B405" s="1">
        <v>-15.207792</v>
      </c>
      <c r="C405" s="1">
        <v>10.0</v>
      </c>
      <c r="D405" s="1">
        <v>5.0</v>
      </c>
      <c r="E405" s="1">
        <v>0.5</v>
      </c>
      <c r="F405" s="1">
        <v>2.0</v>
      </c>
      <c r="G405" s="1">
        <v>-0.487261</v>
      </c>
      <c r="H405" s="1">
        <v>100.0</v>
      </c>
      <c r="I405" s="1">
        <v>0.0</v>
      </c>
      <c r="J405" s="1">
        <v>0.0</v>
      </c>
      <c r="K405" s="1">
        <v>101.804947</v>
      </c>
      <c r="L405" s="1" t="s">
        <v>837</v>
      </c>
    </row>
    <row r="406">
      <c r="A406" s="1" t="s">
        <v>253</v>
      </c>
      <c r="B406" s="1">
        <v>-15.527357</v>
      </c>
      <c r="C406" s="1">
        <v>8.0</v>
      </c>
      <c r="D406" s="1">
        <v>3.0</v>
      </c>
      <c r="E406" s="1">
        <v>0.25</v>
      </c>
      <c r="F406" s="1">
        <v>2.0</v>
      </c>
      <c r="G406" s="1">
        <v>-0.966032</v>
      </c>
      <c r="H406" s="1">
        <v>100.0</v>
      </c>
      <c r="I406" s="1">
        <v>0.0</v>
      </c>
      <c r="J406" s="1">
        <v>0.0</v>
      </c>
      <c r="K406" s="1">
        <v>96.756611</v>
      </c>
      <c r="L406" s="1" t="s">
        <v>254</v>
      </c>
    </row>
    <row r="407">
      <c r="A407" s="1" t="s">
        <v>384</v>
      </c>
      <c r="B407" s="1">
        <v>-15.47128</v>
      </c>
      <c r="C407" s="1">
        <v>8.0</v>
      </c>
      <c r="D407" s="1">
        <v>5.0</v>
      </c>
      <c r="E407" s="1">
        <v>0.5</v>
      </c>
      <c r="F407" s="1">
        <v>2.0</v>
      </c>
      <c r="G407" s="1">
        <v>-0.38008</v>
      </c>
      <c r="H407" s="1">
        <v>100.0</v>
      </c>
      <c r="I407" s="1">
        <v>0.0</v>
      </c>
      <c r="J407" s="1">
        <v>0.0</v>
      </c>
      <c r="K407" s="1">
        <v>99.64864</v>
      </c>
      <c r="L407" s="1" t="s">
        <v>385</v>
      </c>
    </row>
    <row r="408">
      <c r="A408" s="1" t="s">
        <v>386</v>
      </c>
      <c r="B408" s="1">
        <v>-15.47128</v>
      </c>
      <c r="C408" s="1">
        <v>8.0</v>
      </c>
      <c r="D408" s="1">
        <v>5.0</v>
      </c>
      <c r="E408" s="1">
        <v>0.5</v>
      </c>
      <c r="F408" s="1">
        <v>2.0</v>
      </c>
      <c r="G408" s="1">
        <v>-0.38008</v>
      </c>
      <c r="H408" s="1">
        <v>100.0</v>
      </c>
      <c r="I408" s="1">
        <v>0.0</v>
      </c>
      <c r="J408" s="1">
        <v>0.0</v>
      </c>
      <c r="K408" s="1">
        <v>99.64864</v>
      </c>
      <c r="L408" s="1" t="s">
        <v>185</v>
      </c>
    </row>
    <row r="409">
      <c r="A409" s="1" t="s">
        <v>387</v>
      </c>
      <c r="B409" s="1">
        <v>-15.350062</v>
      </c>
      <c r="C409" s="1">
        <v>8.0</v>
      </c>
      <c r="D409" s="1">
        <v>3.0</v>
      </c>
      <c r="E409" s="1">
        <v>0.375</v>
      </c>
      <c r="F409" s="1">
        <v>2.0</v>
      </c>
      <c r="G409" s="1">
        <v>-1.00126</v>
      </c>
      <c r="H409" s="1">
        <v>100.0</v>
      </c>
      <c r="I409" s="1">
        <v>0.0</v>
      </c>
      <c r="J409" s="1">
        <v>0.0</v>
      </c>
      <c r="K409" s="1">
        <v>97.023678</v>
      </c>
      <c r="L409" s="1" t="s">
        <v>388</v>
      </c>
    </row>
    <row r="410">
      <c r="A410" s="1" t="s">
        <v>838</v>
      </c>
      <c r="B410" s="1">
        <v>-15.388725</v>
      </c>
      <c r="C410" s="1">
        <v>8.0</v>
      </c>
      <c r="D410" s="1">
        <v>2.0</v>
      </c>
      <c r="E410" s="1">
        <v>0.25</v>
      </c>
      <c r="F410" s="1">
        <v>2.0</v>
      </c>
      <c r="G410" s="1">
        <v>-0.538614</v>
      </c>
      <c r="H410" s="1">
        <v>100.0</v>
      </c>
      <c r="I410" s="1">
        <v>0.0</v>
      </c>
      <c r="J410" s="1">
        <v>0.0</v>
      </c>
      <c r="K410" s="1">
        <v>96.322661</v>
      </c>
      <c r="L410" s="1" t="s">
        <v>839</v>
      </c>
    </row>
    <row r="411">
      <c r="A411" s="1" t="s">
        <v>840</v>
      </c>
      <c r="B411" s="1">
        <v>-15.208228</v>
      </c>
      <c r="C411" s="1">
        <v>7.0</v>
      </c>
      <c r="D411" s="1">
        <v>1.0</v>
      </c>
      <c r="E411" s="1">
        <v>0.285714</v>
      </c>
      <c r="F411" s="1">
        <v>2.0</v>
      </c>
      <c r="G411" s="1">
        <v>-0.319762</v>
      </c>
      <c r="H411" s="1">
        <v>100.0</v>
      </c>
      <c r="I411" s="1">
        <v>0.0</v>
      </c>
      <c r="J411" s="1">
        <v>0.0</v>
      </c>
      <c r="K411" s="1">
        <v>94.757724</v>
      </c>
      <c r="L411" s="1" t="s">
        <v>841</v>
      </c>
    </row>
    <row r="412">
      <c r="A412" s="1" t="s">
        <v>842</v>
      </c>
      <c r="B412" s="1">
        <v>-15.313395</v>
      </c>
      <c r="C412" s="1">
        <v>8.0</v>
      </c>
      <c r="D412" s="1">
        <v>3.0</v>
      </c>
      <c r="E412" s="1">
        <v>0.25</v>
      </c>
      <c r="F412" s="1">
        <v>2.0</v>
      </c>
      <c r="G412" s="1">
        <v>-0.692413</v>
      </c>
      <c r="H412" s="1">
        <v>100.0</v>
      </c>
      <c r="I412" s="1">
        <v>0.0</v>
      </c>
      <c r="J412" s="1">
        <v>0.0</v>
      </c>
      <c r="K412" s="1">
        <v>97.244192</v>
      </c>
      <c r="L412" s="1" t="s">
        <v>843</v>
      </c>
    </row>
    <row r="413">
      <c r="A413" s="1" t="s">
        <v>844</v>
      </c>
      <c r="B413" s="1">
        <v>-15.721708</v>
      </c>
      <c r="C413" s="1">
        <v>8.0</v>
      </c>
      <c r="D413" s="1">
        <v>2.0</v>
      </c>
      <c r="E413" s="1">
        <v>0.25</v>
      </c>
      <c r="F413" s="1">
        <v>2.0</v>
      </c>
      <c r="G413" s="1">
        <v>-0.627078</v>
      </c>
      <c r="H413" s="1">
        <v>100.0</v>
      </c>
      <c r="I413" s="1">
        <v>0.0</v>
      </c>
      <c r="J413" s="1">
        <v>0.0</v>
      </c>
      <c r="K413" s="1">
        <v>95.901214</v>
      </c>
      <c r="L413" s="1" t="s">
        <v>845</v>
      </c>
    </row>
    <row r="414">
      <c r="A414" s="1" t="s">
        <v>389</v>
      </c>
      <c r="B414" s="1">
        <v>-17.013166</v>
      </c>
      <c r="C414" s="1">
        <v>10.0</v>
      </c>
      <c r="D414" s="1">
        <v>3.0</v>
      </c>
      <c r="E414" s="1">
        <v>0.4</v>
      </c>
      <c r="F414" s="1">
        <v>2.0</v>
      </c>
      <c r="G414" s="1">
        <v>-0.429581</v>
      </c>
      <c r="H414" s="1">
        <v>100.0</v>
      </c>
      <c r="I414" s="1">
        <v>0.0</v>
      </c>
      <c r="J414" s="1">
        <v>0.0</v>
      </c>
      <c r="K414" s="1">
        <v>97.957253</v>
      </c>
      <c r="L414" s="1" t="s">
        <v>390</v>
      </c>
    </row>
    <row r="415">
      <c r="A415" s="1" t="s">
        <v>846</v>
      </c>
      <c r="B415" s="1">
        <v>-15.366705</v>
      </c>
      <c r="C415" s="1">
        <v>8.0</v>
      </c>
      <c r="D415" s="1">
        <v>5.0</v>
      </c>
      <c r="E415" s="1">
        <v>0.375</v>
      </c>
      <c r="F415" s="1">
        <v>2.0</v>
      </c>
      <c r="G415" s="1">
        <v>-1.175689</v>
      </c>
      <c r="H415" s="1">
        <v>100.0</v>
      </c>
      <c r="I415" s="1">
        <v>0.0</v>
      </c>
      <c r="J415" s="1">
        <v>0.0</v>
      </c>
      <c r="K415" s="1">
        <v>98.832606</v>
      </c>
      <c r="L415" s="1" t="s">
        <v>847</v>
      </c>
    </row>
    <row r="416">
      <c r="A416" s="1" t="s">
        <v>1044</v>
      </c>
      <c r="B416" s="1">
        <v>-15.952925</v>
      </c>
      <c r="C416" s="1">
        <v>11.0</v>
      </c>
      <c r="D416" s="1">
        <v>4.0</v>
      </c>
      <c r="E416" s="1">
        <v>0.272727</v>
      </c>
      <c r="F416" s="1">
        <v>3.0</v>
      </c>
      <c r="G416" s="1">
        <v>-1.559703</v>
      </c>
      <c r="H416" s="1">
        <v>100.0</v>
      </c>
      <c r="I416" s="1">
        <v>0.0</v>
      </c>
      <c r="J416" s="1">
        <v>0.0</v>
      </c>
      <c r="K416" s="1">
        <v>100.760099</v>
      </c>
      <c r="L416" s="1" t="s">
        <v>1045</v>
      </c>
    </row>
    <row r="417">
      <c r="A417" s="1" t="s">
        <v>848</v>
      </c>
      <c r="B417" s="1">
        <v>-16.609541</v>
      </c>
      <c r="C417" s="1">
        <v>13.0</v>
      </c>
      <c r="D417" s="1">
        <v>3.0</v>
      </c>
      <c r="E417" s="1">
        <v>0.307692</v>
      </c>
      <c r="F417" s="1">
        <v>2.0</v>
      </c>
      <c r="G417" s="1">
        <v>-0.78753</v>
      </c>
      <c r="H417" s="1">
        <v>100.0</v>
      </c>
      <c r="I417" s="1">
        <v>0.0</v>
      </c>
      <c r="J417" s="1">
        <v>0.0</v>
      </c>
      <c r="K417" s="1">
        <v>100.910621</v>
      </c>
      <c r="L417" s="1" t="s">
        <v>849</v>
      </c>
    </row>
    <row r="418">
      <c r="A418" s="1" t="s">
        <v>391</v>
      </c>
      <c r="B418" s="1">
        <v>-17.033126</v>
      </c>
      <c r="C418" s="1">
        <v>11.0</v>
      </c>
      <c r="D418" s="1">
        <v>5.0</v>
      </c>
      <c r="E418" s="1">
        <v>0.363636</v>
      </c>
      <c r="F418" s="1">
        <v>2.0</v>
      </c>
      <c r="G418" s="1">
        <v>-1.0082</v>
      </c>
      <c r="H418" s="1">
        <v>100.0</v>
      </c>
      <c r="I418" s="1">
        <v>0.0</v>
      </c>
      <c r="J418" s="1">
        <v>0.0</v>
      </c>
      <c r="K418" s="1">
        <v>100.32231</v>
      </c>
      <c r="L418" s="1" t="s">
        <v>392</v>
      </c>
    </row>
    <row r="419">
      <c r="A419" s="1" t="s">
        <v>850</v>
      </c>
      <c r="B419" s="1">
        <v>-17.462623</v>
      </c>
      <c r="C419" s="1">
        <v>7.0</v>
      </c>
      <c r="D419" s="1">
        <v>3.0</v>
      </c>
      <c r="E419" s="1">
        <v>0.571429</v>
      </c>
      <c r="F419" s="1">
        <v>2.0</v>
      </c>
      <c r="G419" s="1">
        <v>-0.909463</v>
      </c>
      <c r="H419" s="1">
        <v>100.0</v>
      </c>
      <c r="I419" s="1">
        <v>0.0</v>
      </c>
      <c r="J419" s="1">
        <v>0.0</v>
      </c>
      <c r="K419" s="1">
        <v>94.199343</v>
      </c>
      <c r="L419" s="1" t="s">
        <v>851</v>
      </c>
    </row>
    <row r="420">
      <c r="A420" s="1" t="s">
        <v>852</v>
      </c>
      <c r="B420" s="1">
        <v>-16.083759</v>
      </c>
      <c r="C420" s="1">
        <v>8.0</v>
      </c>
      <c r="D420" s="1">
        <v>3.0</v>
      </c>
      <c r="E420" s="1">
        <v>0.25</v>
      </c>
      <c r="F420" s="1">
        <v>3.0</v>
      </c>
      <c r="G420" s="1">
        <v>-1.577405</v>
      </c>
      <c r="H420" s="1">
        <v>100.0</v>
      </c>
      <c r="I420" s="1">
        <v>0.0</v>
      </c>
      <c r="J420" s="1">
        <v>0.0</v>
      </c>
      <c r="K420" s="1">
        <v>96.588836</v>
      </c>
      <c r="L420" s="1" t="s">
        <v>853</v>
      </c>
    </row>
    <row r="421">
      <c r="A421" s="1" t="s">
        <v>854</v>
      </c>
      <c r="B421" s="1">
        <v>-15.73636</v>
      </c>
      <c r="C421" s="1">
        <v>6.0</v>
      </c>
      <c r="D421" s="1">
        <v>3.0</v>
      </c>
      <c r="E421" s="1">
        <v>0.5</v>
      </c>
      <c r="F421" s="1">
        <v>2.0</v>
      </c>
      <c r="G421" s="1">
        <v>-0.341348999999999</v>
      </c>
      <c r="H421" s="1">
        <v>100.0</v>
      </c>
      <c r="I421" s="1">
        <v>0.0</v>
      </c>
      <c r="J421" s="1">
        <v>0.0</v>
      </c>
      <c r="K421" s="1">
        <v>95.422291</v>
      </c>
      <c r="L421" s="1" t="s">
        <v>855</v>
      </c>
    </row>
    <row r="422">
      <c r="A422" s="1" t="s">
        <v>856</v>
      </c>
      <c r="B422" s="1">
        <v>-15.16839</v>
      </c>
      <c r="C422" s="1">
        <v>10.0</v>
      </c>
      <c r="D422" s="1">
        <v>3.0</v>
      </c>
      <c r="E422" s="1">
        <v>0.4</v>
      </c>
      <c r="F422" s="1">
        <v>2.0</v>
      </c>
      <c r="G422" s="1">
        <v>-1.293499</v>
      </c>
      <c r="H422" s="1">
        <v>100.0</v>
      </c>
      <c r="I422" s="1">
        <v>0.0</v>
      </c>
      <c r="J422" s="1">
        <v>0.0</v>
      </c>
      <c r="K422" s="1">
        <v>98.938111</v>
      </c>
      <c r="L422" s="1" t="s">
        <v>857</v>
      </c>
    </row>
    <row r="423">
      <c r="A423" s="1" t="s">
        <v>858</v>
      </c>
      <c r="B423" s="1">
        <v>-15.267258</v>
      </c>
      <c r="C423" s="1">
        <v>10.0</v>
      </c>
      <c r="D423" s="1">
        <v>3.0</v>
      </c>
      <c r="E423" s="1">
        <v>0.4</v>
      </c>
      <c r="F423" s="1">
        <v>2.0</v>
      </c>
      <c r="G423" s="1">
        <v>-0.752593</v>
      </c>
      <c r="H423" s="1">
        <v>100.0</v>
      </c>
      <c r="I423" s="1">
        <v>0.0</v>
      </c>
      <c r="J423" s="1">
        <v>0.0</v>
      </c>
      <c r="K423" s="1">
        <v>99.380149</v>
      </c>
      <c r="L423" s="1" t="s">
        <v>859</v>
      </c>
    </row>
    <row r="424">
      <c r="A424" s="1" t="s">
        <v>860</v>
      </c>
      <c r="B424" s="1">
        <v>-15.466833</v>
      </c>
      <c r="C424" s="1">
        <v>8.0</v>
      </c>
      <c r="D424" s="1">
        <v>3.0</v>
      </c>
      <c r="E424" s="1">
        <v>0.5</v>
      </c>
      <c r="F424" s="1">
        <v>2.0</v>
      </c>
      <c r="G424" s="1">
        <v>-0.908309</v>
      </c>
      <c r="H424" s="1">
        <v>100.0</v>
      </c>
      <c r="I424" s="1">
        <v>0.0</v>
      </c>
      <c r="J424" s="1">
        <v>0.0</v>
      </c>
      <c r="K424" s="1">
        <v>97.124858</v>
      </c>
      <c r="L424" s="1" t="s">
        <v>861</v>
      </c>
    </row>
    <row r="425">
      <c r="A425" s="1" t="s">
        <v>1046</v>
      </c>
      <c r="B425" s="1">
        <v>-16.345306</v>
      </c>
      <c r="C425" s="1">
        <v>6.0</v>
      </c>
      <c r="D425" s="1">
        <v>2.0</v>
      </c>
      <c r="E425" s="1">
        <v>0.333333</v>
      </c>
      <c r="F425" s="1">
        <v>2.0</v>
      </c>
      <c r="G425" s="1">
        <v>-1.398216</v>
      </c>
      <c r="H425" s="1">
        <v>100.0</v>
      </c>
      <c r="I425" s="1">
        <v>0.0</v>
      </c>
      <c r="J425" s="1">
        <v>0.0</v>
      </c>
      <c r="K425" s="1">
        <v>92.589811</v>
      </c>
      <c r="L425" s="1" t="s">
        <v>1047</v>
      </c>
    </row>
    <row r="426">
      <c r="A426" s="1" t="s">
        <v>862</v>
      </c>
      <c r="B426" s="1">
        <v>-15.440269</v>
      </c>
      <c r="C426" s="1">
        <v>9.0</v>
      </c>
      <c r="D426" s="1">
        <v>2.0</v>
      </c>
      <c r="E426" s="1">
        <v>0.333333</v>
      </c>
      <c r="F426" s="1">
        <v>2.0</v>
      </c>
      <c r="G426" s="1">
        <v>-0.877261</v>
      </c>
      <c r="H426" s="1">
        <v>100.0</v>
      </c>
      <c r="I426" s="1">
        <v>0.0</v>
      </c>
      <c r="J426" s="1">
        <v>0.0</v>
      </c>
      <c r="K426" s="1">
        <v>97.015803</v>
      </c>
      <c r="L426" s="1" t="s">
        <v>863</v>
      </c>
    </row>
    <row r="427">
      <c r="A427" s="1" t="s">
        <v>864</v>
      </c>
      <c r="B427" s="1">
        <v>-15.95213</v>
      </c>
      <c r="C427" s="1">
        <v>10.0</v>
      </c>
      <c r="D427" s="1">
        <v>2.0</v>
      </c>
      <c r="E427" s="1">
        <v>0.3</v>
      </c>
      <c r="F427" s="1">
        <v>3.0</v>
      </c>
      <c r="G427" s="1">
        <v>-0.719791</v>
      </c>
      <c r="H427" s="1">
        <v>100.0</v>
      </c>
      <c r="I427" s="1">
        <v>0.0</v>
      </c>
      <c r="J427" s="1">
        <v>0.0</v>
      </c>
      <c r="K427" s="1">
        <v>98.628079</v>
      </c>
      <c r="L427" s="1" t="s">
        <v>865</v>
      </c>
    </row>
    <row r="428">
      <c r="A428" s="1" t="s">
        <v>1048</v>
      </c>
      <c r="B428" s="1">
        <v>-15.497532</v>
      </c>
      <c r="C428" s="1">
        <v>11.0</v>
      </c>
      <c r="D428" s="1">
        <v>4.0</v>
      </c>
      <c r="E428" s="1">
        <v>0.363636</v>
      </c>
      <c r="F428" s="1">
        <v>2.0</v>
      </c>
      <c r="G428" s="1">
        <v>-1.243276</v>
      </c>
      <c r="H428" s="1">
        <v>100.0</v>
      </c>
      <c r="I428" s="1">
        <v>0.0</v>
      </c>
      <c r="J428" s="1">
        <v>0.0</v>
      </c>
      <c r="K428" s="1">
        <v>100.622828</v>
      </c>
      <c r="L428" s="1" t="s">
        <v>1049</v>
      </c>
    </row>
    <row r="429">
      <c r="A429" s="1" t="s">
        <v>866</v>
      </c>
      <c r="B429" s="1">
        <v>-15.017663</v>
      </c>
      <c r="C429" s="1">
        <v>9.0</v>
      </c>
      <c r="D429" s="1">
        <v>2.0</v>
      </c>
      <c r="E429" s="1">
        <v>0.333333</v>
      </c>
      <c r="F429" s="1">
        <v>2.0</v>
      </c>
      <c r="G429" s="1">
        <v>-0.893776999999999</v>
      </c>
      <c r="H429" s="1">
        <v>100.0</v>
      </c>
      <c r="I429" s="1">
        <v>0.0</v>
      </c>
      <c r="J429" s="1">
        <v>0.0</v>
      </c>
      <c r="K429" s="1">
        <v>97.421893</v>
      </c>
      <c r="L429" s="1" t="s">
        <v>867</v>
      </c>
    </row>
    <row r="430">
      <c r="A430" s="1" t="s">
        <v>393</v>
      </c>
      <c r="B430" s="1">
        <v>-15.889195</v>
      </c>
      <c r="C430" s="1">
        <v>10.0</v>
      </c>
      <c r="D430" s="1">
        <v>4.0</v>
      </c>
      <c r="E430" s="1">
        <v>0.3</v>
      </c>
      <c r="F430" s="1">
        <v>2.0</v>
      </c>
      <c r="G430" s="1">
        <v>-1.177871</v>
      </c>
      <c r="H430" s="1">
        <v>100.0</v>
      </c>
      <c r="I430" s="1">
        <v>0.0</v>
      </c>
      <c r="J430" s="1">
        <v>0.0</v>
      </c>
      <c r="K430" s="1">
        <v>99.232934</v>
      </c>
      <c r="L430" s="1" t="s">
        <v>394</v>
      </c>
    </row>
    <row r="431">
      <c r="A431" s="1" t="s">
        <v>868</v>
      </c>
      <c r="B431" s="1">
        <v>-15.798237</v>
      </c>
      <c r="C431" s="1">
        <v>10.0</v>
      </c>
      <c r="D431" s="1">
        <v>5.0</v>
      </c>
      <c r="E431" s="1">
        <v>0.3</v>
      </c>
      <c r="F431" s="1">
        <v>2.0</v>
      </c>
      <c r="G431" s="1">
        <v>-0.411076</v>
      </c>
      <c r="H431" s="1">
        <v>100.0</v>
      </c>
      <c r="I431" s="1">
        <v>0.0</v>
      </c>
      <c r="J431" s="1">
        <v>0.0</v>
      </c>
      <c r="K431" s="1">
        <v>101.090687</v>
      </c>
      <c r="L431" s="1" t="s">
        <v>869</v>
      </c>
    </row>
    <row r="432">
      <c r="A432" s="1" t="s">
        <v>870</v>
      </c>
      <c r="B432" s="1">
        <v>-16.621533</v>
      </c>
      <c r="C432" s="1">
        <v>7.0</v>
      </c>
      <c r="D432" s="1">
        <v>4.0</v>
      </c>
      <c r="E432" s="1">
        <v>0.285714</v>
      </c>
      <c r="F432" s="1">
        <v>2.0</v>
      </c>
      <c r="G432" s="1">
        <v>-0.270832</v>
      </c>
      <c r="H432" s="1">
        <v>100.0</v>
      </c>
      <c r="I432" s="1">
        <v>0.0</v>
      </c>
      <c r="J432" s="1">
        <v>0.0</v>
      </c>
      <c r="K432" s="1">
        <v>96.393349</v>
      </c>
      <c r="L432" s="1" t="s">
        <v>871</v>
      </c>
    </row>
    <row r="433">
      <c r="A433" s="1" t="s">
        <v>872</v>
      </c>
      <c r="B433" s="1">
        <v>-16.35205</v>
      </c>
      <c r="C433" s="1">
        <v>8.0</v>
      </c>
      <c r="D433" s="1">
        <v>2.0</v>
      </c>
      <c r="E433" s="1">
        <v>0.25</v>
      </c>
      <c r="F433" s="1">
        <v>2.0</v>
      </c>
      <c r="G433" s="1">
        <v>-0.15387</v>
      </c>
      <c r="H433" s="1">
        <v>100.0</v>
      </c>
      <c r="I433" s="1">
        <v>0.0</v>
      </c>
      <c r="J433" s="1">
        <v>0.0</v>
      </c>
      <c r="K433" s="1">
        <v>95.74408</v>
      </c>
      <c r="L433" s="1" t="s">
        <v>873</v>
      </c>
    </row>
    <row r="434">
      <c r="A434" s="1" t="s">
        <v>255</v>
      </c>
      <c r="B434" s="1">
        <v>-15.777823</v>
      </c>
      <c r="C434" s="1">
        <v>9.0</v>
      </c>
      <c r="D434" s="1">
        <v>4.0</v>
      </c>
      <c r="E434" s="1">
        <v>0.333333</v>
      </c>
      <c r="F434" s="1">
        <v>2.0</v>
      </c>
      <c r="G434" s="1">
        <v>-1.671146</v>
      </c>
      <c r="H434" s="1">
        <v>100.0</v>
      </c>
      <c r="I434" s="1">
        <v>0.0</v>
      </c>
      <c r="J434" s="1">
        <v>0.0</v>
      </c>
      <c r="K434" s="1">
        <v>97.884364</v>
      </c>
      <c r="L434" s="1" t="s">
        <v>256</v>
      </c>
    </row>
    <row r="435">
      <c r="A435" s="1" t="s">
        <v>874</v>
      </c>
      <c r="B435" s="1">
        <v>-15.406217</v>
      </c>
      <c r="C435" s="1">
        <v>8.0</v>
      </c>
      <c r="D435" s="1">
        <v>5.0</v>
      </c>
      <c r="E435" s="1">
        <v>0.25</v>
      </c>
      <c r="F435" s="1">
        <v>2.0</v>
      </c>
      <c r="G435" s="1">
        <v>-0.966931</v>
      </c>
      <c r="H435" s="1">
        <v>100.0</v>
      </c>
      <c r="I435" s="1">
        <v>0.0</v>
      </c>
      <c r="J435" s="1">
        <v>0.0</v>
      </c>
      <c r="K435" s="1">
        <v>98.876852</v>
      </c>
      <c r="L435" s="1" t="s">
        <v>875</v>
      </c>
    </row>
    <row r="436">
      <c r="A436" s="1" t="s">
        <v>876</v>
      </c>
      <c r="B436" s="1">
        <v>-17.556171</v>
      </c>
      <c r="C436" s="1">
        <v>8.0</v>
      </c>
      <c r="D436" s="1">
        <v>3.0</v>
      </c>
      <c r="E436" s="1">
        <v>0.25</v>
      </c>
      <c r="F436" s="1">
        <v>2.0</v>
      </c>
      <c r="G436" s="1">
        <v>-1.35943</v>
      </c>
      <c r="H436" s="1">
        <v>100.0</v>
      </c>
      <c r="I436" s="1">
        <v>0.0</v>
      </c>
      <c r="J436" s="1">
        <v>0.0</v>
      </c>
      <c r="K436" s="1">
        <v>94.334399</v>
      </c>
      <c r="L436" s="1" t="s">
        <v>877</v>
      </c>
    </row>
    <row r="437">
      <c r="A437" s="1" t="s">
        <v>1050</v>
      </c>
      <c r="B437" s="1">
        <v>-15.111201</v>
      </c>
      <c r="C437" s="1">
        <v>9.0</v>
      </c>
      <c r="D437" s="1">
        <v>4.0</v>
      </c>
      <c r="E437" s="1">
        <v>0.444444</v>
      </c>
      <c r="F437" s="1">
        <v>2.0</v>
      </c>
      <c r="G437" s="1">
        <v>-0.653188999999999</v>
      </c>
      <c r="H437" s="1">
        <v>100.0</v>
      </c>
      <c r="I437" s="1">
        <v>0.0</v>
      </c>
      <c r="J437" s="1">
        <v>0.0</v>
      </c>
      <c r="K437" s="1">
        <v>99.680054</v>
      </c>
      <c r="L437" s="1" t="s">
        <v>1051</v>
      </c>
    </row>
    <row r="438">
      <c r="A438" s="1" t="s">
        <v>878</v>
      </c>
      <c r="B438" s="1">
        <v>-15.508555</v>
      </c>
      <c r="C438" s="1">
        <v>11.0</v>
      </c>
      <c r="D438" s="1">
        <v>1.0</v>
      </c>
      <c r="E438" s="1">
        <v>0.272727</v>
      </c>
      <c r="F438" s="1">
        <v>2.0</v>
      </c>
      <c r="G438" s="1">
        <v>-0.8107</v>
      </c>
      <c r="H438" s="1">
        <v>100.0</v>
      </c>
      <c r="I438" s="1">
        <v>0.0</v>
      </c>
      <c r="J438" s="1">
        <v>0.0</v>
      </c>
      <c r="K438" s="1">
        <v>97.953472</v>
      </c>
      <c r="L438" s="1" t="s">
        <v>879</v>
      </c>
    </row>
    <row r="439">
      <c r="A439" s="1" t="s">
        <v>880</v>
      </c>
      <c r="B439" s="1">
        <v>-16.108989</v>
      </c>
      <c r="C439" s="1">
        <v>9.0</v>
      </c>
      <c r="D439" s="1">
        <v>4.0</v>
      </c>
      <c r="E439" s="1">
        <v>0.333333</v>
      </c>
      <c r="F439" s="1">
        <v>2.0</v>
      </c>
      <c r="G439" s="1">
        <v>-0.91906</v>
      </c>
      <c r="H439" s="1">
        <v>100.0</v>
      </c>
      <c r="I439" s="1">
        <v>0.0</v>
      </c>
      <c r="J439" s="1">
        <v>0.0</v>
      </c>
      <c r="K439" s="1">
        <v>98.305284</v>
      </c>
      <c r="L439" s="1" t="s">
        <v>881</v>
      </c>
    </row>
  </sheetData>
  <drawing r:id="rId1"/>
</worksheet>
</file>